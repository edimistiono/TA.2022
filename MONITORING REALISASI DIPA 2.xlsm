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00A2AF0B-B33A-4115-8401-690BB670BB0C}" xr6:coauthVersionLast="47" xr6:coauthVersionMax="47" xr10:uidLastSave="{00000000-0000-0000-0000-000000000000}"/>
  <bookViews>
    <workbookView xWindow="-108" yWindow="-108" windowWidth="23256" windowHeight="12576" firstSheet="1" activeTab="1"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PERSUBBID" sheetId="14" r:id="rId13"/>
    <sheet name="TANPA GAJI" sheetId="17" r:id="rId14"/>
    <sheet name="PERSUBBID GAJI" sheetId="25" r:id="rId15"/>
    <sheet name="DENGAN GAJI" sheetId="27" r:id="rId16"/>
  </sheets>
  <functionGroups builtInGroupCount="19"/>
  <externalReferences>
    <externalReference r:id="rId17"/>
    <externalReference r:id="rId18"/>
    <externalReference r:id="rId19"/>
    <externalReference r:id="rId20"/>
    <externalReference r:id="rId21"/>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BULAN'!$B$12:$BE$231</definedName>
    <definedName name="_xlnm._FilterDatabase" localSheetId="8" hidden="1">PERAKUN!$C$1:$H$246</definedName>
    <definedName name="_xlnm._FilterDatabase" localSheetId="10" hidden="1">SP2D!$A$3:$AT$144</definedName>
    <definedName name="_xlnm._FilterDatabase" localSheetId="7" hidden="1">'SP2D ON'!$B$10:$K$100</definedName>
    <definedName name="cAkun" localSheetId="4">'626402'!$M$21</definedName>
    <definedName name="cAkun" localSheetId="5">Cetak_Pusdik!#REF!</definedName>
    <definedName name="cAkun" localSheetId="3">'Cetak_Pusdik (2)'!#REF!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0">'DIPA4_PUSDIK (2)'!$J$21</definedName>
    <definedName name="chkAkun" localSheetId="1">GAJI!#REF!</definedName>
    <definedName name="chkAkun" localSheetId="2">'non 51'!#REF!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'626402'!$N$17</definedName>
    <definedName name="chkKRO" localSheetId="5">Cetak_Pusdik!#REF!</definedName>
    <definedName name="chkKRO" localSheetId="3">'Cetak_Pusdik (2)'!#REF!</definedName>
    <definedName name="chkKRO" localSheetId="0">'DIPA4_PUSDIK (2)'!$J$17</definedName>
    <definedName name="chkKRO" localSheetId="1">GAJI!#REF!</definedName>
    <definedName name="chkKRO" localSheetId="2">'non 51'!#REF!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'626402'!$N$18</definedName>
    <definedName name="chkRO" localSheetId="5">Cetak_Pusdik!#REF!</definedName>
    <definedName name="chkRO" localSheetId="3">'Cetak_Pusdik (2)'!#REF!</definedName>
    <definedName name="chkRO" localSheetId="0">'DIPA4_PUSDIK (2)'!$J$18</definedName>
    <definedName name="chkRO" localSheetId="1">GAJI!#REF!</definedName>
    <definedName name="chkRO" localSheetId="2">'non 51'!#REF!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0">'DIPA4_PUSDIK (2)'!$I$19</definedName>
    <definedName name="cKomponen" localSheetId="1">GAJI!#REF!</definedName>
    <definedName name="cKomponen" localSheetId="2">'non 51'!#REF!</definedName>
    <definedName name="cKomponen">#REF!</definedName>
    <definedName name="cKRO" localSheetId="4">'626402'!$M$17</definedName>
    <definedName name="cKRO" localSheetId="5">Cetak_Pusdik!#REF!</definedName>
    <definedName name="cKRO" localSheetId="3">'Cetak_Pusdik (2)'!#REF!</definedName>
    <definedName name="cKRO" localSheetId="0">'DIPA4_PUSDIK (2)'!$I$17</definedName>
    <definedName name="cKRO" localSheetId="1">GAJI!#REF!</definedName>
    <definedName name="cKRO" localSheetId="2">'non 51'!#REF!</definedName>
    <definedName name="cKRO">#REF!</definedName>
    <definedName name="cProgram" localSheetId="4">'626402'!$M$15</definedName>
    <definedName name="cProgram" localSheetId="5">Cetak_Pusdik!#REF!</definedName>
    <definedName name="cProgram" localSheetId="3">'Cetak_Pusdik (2)'!#REF!</definedName>
    <definedName name="cProgram" localSheetId="0">'DIPA4_PUSDIK (2)'!$I$15</definedName>
    <definedName name="cProgram" localSheetId="1">GAJI!#REF!</definedName>
    <definedName name="cProgram" localSheetId="2">'non 51'!#REF!</definedName>
    <definedName name="cProgram">#REF!</definedName>
    <definedName name="cRO" localSheetId="4">'626402'!$M$18</definedName>
    <definedName name="cRO" localSheetId="5">Cetak_Pusdik!#REF!</definedName>
    <definedName name="cRO" localSheetId="3">'Cetak_Pusdik (2)'!#REF!</definedName>
    <definedName name="cRO" localSheetId="0">'DIPA4_PUSDIK (2)'!$I$18</definedName>
    <definedName name="cRO" localSheetId="1">GAJI!#REF!</definedName>
    <definedName name="cRO" localSheetId="2">'non 51'!#REF!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GAJI!#REF!</definedName>
    <definedName name="Entri_Es2" localSheetId="2">'non 51'!#REF!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GAJI!#REF!</definedName>
    <definedName name="Entri_Es3" localSheetId="2">'non 51'!#REF!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GAJI!#REF!</definedName>
    <definedName name="kegiatan" localSheetId="2">'non 51'!#REF!</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5">'DENGAN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BULAN'!$B$4:$AT$231</definedName>
    <definedName name="_xlnm.Print_Area" localSheetId="8">PERAKUN!$C$1:$H$246</definedName>
    <definedName name="_xlnm.Print_Area" localSheetId="12">PERSUBBID!$A$1:$G$55</definedName>
    <definedName name="_xlnm.Print_Area" localSheetId="14">'PERSUBBID GAJI'!$A$1:$G$60</definedName>
    <definedName name="_xlnm.Print_Area" localSheetId="13">'TANPA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'[3]Tambahan Realisasi'!$C$2</definedName>
    <definedName name="rowEselon2" localSheetId="4">'626402'!$Q$2</definedName>
    <definedName name="rowEselon2" localSheetId="5">Cetak_Pusdik!#REF!</definedName>
    <definedName name="rowEselon2" localSheetId="3">'Cetak_Pusdik (2)'!#REF!</definedName>
    <definedName name="rowEselon2" localSheetId="1">GAJI!#REF!</definedName>
    <definedName name="rowEselon2" localSheetId="2">'non 51'!#REF!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GAJI!#REF!</definedName>
    <definedName name="rowKoord" localSheetId="2">'non 51'!#REF!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GAJI!#REF!</definedName>
    <definedName name="rowSelect" localSheetId="2">'non 51'!#REF!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GAJI!#REF!</definedName>
    <definedName name="rowSubKoord" localSheetId="2">'non 51'!#REF!</definedName>
    <definedName name="rowSubKoord">#REF!</definedName>
    <definedName name="Slicer_koordinator">#N/A</definedName>
    <definedName name="Slicer_Subkoordinator">#N/A</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13" r:id="rId22"/>
    <pivotCache cacheId="14"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17" i="13" l="1"/>
  <c r="H330" i="11"/>
  <c r="V176" i="13" l="1"/>
  <c r="T10" i="23" a="1"/>
  <c r="T10" i="23" s="1"/>
  <c r="V112" i="13"/>
  <c r="V47" i="13"/>
  <c r="O4" i="23" l="1"/>
  <c r="H511" i="10"/>
  <c r="M16" i="24"/>
  <c r="L17" i="24"/>
  <c r="O9" i="23" l="1"/>
  <c r="J37" i="25" s="1"/>
  <c r="O7" i="23"/>
  <c r="J34" i="25" s="1"/>
  <c r="O2" i="23"/>
  <c r="O5" i="2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X144" i="16" l="1"/>
  <c r="BE20" i="13"/>
  <c r="BE24" i="13"/>
  <c r="BE19" i="13" s="1"/>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207" i="13" l="1"/>
  <c r="BE206" i="13" s="1"/>
  <c r="BE205" i="13" s="1"/>
  <c r="BE204" i="13" s="1"/>
  <c r="BE148" i="13"/>
  <c r="BE147" i="13" s="1"/>
  <c r="BE183" i="13"/>
  <c r="BE182" i="13" s="1"/>
  <c r="BE166" i="13"/>
  <c r="BE165" i="13" s="1"/>
  <c r="BE124" i="13"/>
  <c r="BE123" i="13" s="1"/>
  <c r="BE77" i="13"/>
  <c r="BE76" i="13" s="1"/>
  <c r="BE32" i="13"/>
  <c r="BE18" i="13" s="1"/>
  <c r="BE17" i="13" s="1"/>
  <c r="BE16" i="13" s="1"/>
  <c r="BE15" i="13" s="1"/>
  <c r="O3" i="23"/>
  <c r="V107" i="13"/>
  <c r="J246" i="20"/>
  <c r="V220" i="13"/>
  <c r="J247" i="20"/>
  <c r="BE146" i="13" l="1"/>
  <c r="BE67" i="13"/>
  <c r="BE61" i="13" s="1"/>
  <c r="BE60" i="13" s="1"/>
  <c r="BE14" i="13" s="1"/>
  <c r="V59" i="13"/>
  <c r="F70" i="13"/>
  <c r="F69" i="13" s="1"/>
  <c r="T185" i="13"/>
  <c r="T135" i="13"/>
  <c r="AV4" i="16"/>
  <c r="AV5"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56" i="16"/>
  <c r="AV57" i="16"/>
  <c r="AV58" i="16"/>
  <c r="AV59" i="16"/>
  <c r="AV60" i="16"/>
  <c r="AV61" i="16"/>
  <c r="AV62" i="16"/>
  <c r="AV63" i="16"/>
  <c r="AV64" i="16"/>
  <c r="AV65" i="16"/>
  <c r="AV66" i="16"/>
  <c r="AV67" i="16"/>
  <c r="AV68" i="16"/>
  <c r="AV69" i="16"/>
  <c r="AV70" i="16"/>
  <c r="AV71" i="16"/>
  <c r="AV72" i="16"/>
  <c r="AV73" i="16"/>
  <c r="AV74" i="16"/>
  <c r="AV75" i="16"/>
  <c r="AV76" i="16"/>
  <c r="AV77" i="16"/>
  <c r="AV78" i="16"/>
  <c r="AV79" i="16"/>
  <c r="AV80" i="16"/>
  <c r="AV81" i="16"/>
  <c r="AV82" i="16"/>
  <c r="AV83" i="16"/>
  <c r="AV84" i="16"/>
  <c r="AV85" i="16"/>
  <c r="AV86" i="16"/>
  <c r="AV87" i="16"/>
  <c r="AV88" i="16"/>
  <c r="AV89" i="16"/>
  <c r="AV90" i="16"/>
  <c r="AV91" i="16"/>
  <c r="AV92" i="16"/>
  <c r="AV93" i="16"/>
  <c r="AV94" i="16"/>
  <c r="AW94" i="16"/>
  <c r="AV95" i="16"/>
  <c r="AW95" i="16"/>
  <c r="AV96" i="16"/>
  <c r="AW96" i="16"/>
  <c r="AV97" i="16"/>
  <c r="AW97" i="16"/>
  <c r="AV98" i="16"/>
  <c r="AW98" i="16"/>
  <c r="AV99" i="16"/>
  <c r="AW99" i="16"/>
  <c r="AV100" i="16"/>
  <c r="AW100" i="16"/>
  <c r="AV101" i="16"/>
  <c r="AW101" i="16"/>
  <c r="AV102" i="16"/>
  <c r="AW102" i="16"/>
  <c r="AV103" i="16"/>
  <c r="AW103" i="16"/>
  <c r="AV104" i="16"/>
  <c r="AW104" i="16"/>
  <c r="AV105" i="16"/>
  <c r="AW105" i="16"/>
  <c r="AV106" i="16"/>
  <c r="AW106" i="16"/>
  <c r="AV107" i="16"/>
  <c r="AW107" i="16"/>
  <c r="AV108" i="16"/>
  <c r="AW108" i="16"/>
  <c r="AV109" i="16"/>
  <c r="AW109" i="16"/>
  <c r="AV110" i="16"/>
  <c r="AW110" i="16"/>
  <c r="AV111" i="16"/>
  <c r="AW111" i="16"/>
  <c r="AV112" i="16"/>
  <c r="AW112" i="16"/>
  <c r="AV113" i="16"/>
  <c r="AW113" i="16"/>
  <c r="AV114" i="16"/>
  <c r="AW114" i="16"/>
  <c r="AV115" i="16"/>
  <c r="AW115" i="16"/>
  <c r="AV116" i="16"/>
  <c r="AW116" i="16"/>
  <c r="AV117" i="16"/>
  <c r="AW117" i="16"/>
  <c r="AV118" i="16"/>
  <c r="AW118" i="16"/>
  <c r="AV119" i="16"/>
  <c r="AW119" i="16"/>
  <c r="AV120" i="16"/>
  <c r="AW120" i="16"/>
  <c r="AV121" i="16"/>
  <c r="AW121" i="16"/>
  <c r="AV122" i="16"/>
  <c r="AW122" i="16"/>
  <c r="AV123" i="16"/>
  <c r="AW123" i="16"/>
  <c r="AV124" i="16"/>
  <c r="AW124" i="16"/>
  <c r="AV125" i="16"/>
  <c r="AW125" i="16"/>
  <c r="AV126" i="16"/>
  <c r="AW126" i="16"/>
  <c r="AV127" i="16"/>
  <c r="AW127" i="16"/>
  <c r="AV128" i="16"/>
  <c r="AW128" i="16"/>
  <c r="AV129" i="16"/>
  <c r="AW129" i="16"/>
  <c r="AV130" i="16"/>
  <c r="AW130" i="16"/>
  <c r="AV131" i="16"/>
  <c r="AW131" i="16"/>
  <c r="AV132" i="16"/>
  <c r="AW132" i="16"/>
  <c r="AV133" i="16"/>
  <c r="AW133" i="16"/>
  <c r="AV134" i="16"/>
  <c r="AW134" i="16"/>
  <c r="AV135" i="16"/>
  <c r="AW135" i="16"/>
  <c r="AV136" i="16"/>
  <c r="AW136" i="16"/>
  <c r="AV137" i="16"/>
  <c r="AW137" i="16"/>
  <c r="AV138" i="16"/>
  <c r="AW138" i="16"/>
  <c r="AV139" i="16"/>
  <c r="AW139" i="16"/>
  <c r="AV140" i="16"/>
  <c r="AW140" i="16"/>
  <c r="AV141" i="16"/>
  <c r="AW141" i="16"/>
  <c r="AV142" i="16"/>
  <c r="AW142" i="16"/>
  <c r="AV143" i="16"/>
  <c r="AW143" i="16"/>
  <c r="S112" i="13"/>
  <c r="S159" i="13"/>
  <c r="S153" i="13"/>
  <c r="T194" i="13"/>
  <c r="T132" i="13"/>
  <c r="T129" i="13"/>
  <c r="T127" i="13"/>
  <c r="T126" i="13"/>
  <c r="T104" i="13"/>
  <c r="T100" i="13"/>
  <c r="T89" i="13"/>
  <c r="T85" i="13"/>
  <c r="BC20" i="13"/>
  <c r="BD20" i="13"/>
  <c r="BC24" i="13"/>
  <c r="BD24" i="13"/>
  <c r="BC29" i="13"/>
  <c r="BC28" i="13" s="1"/>
  <c r="BD29" i="13"/>
  <c r="BD28" i="13" s="1"/>
  <c r="BC33" i="13"/>
  <c r="BD33" i="13"/>
  <c r="BC41" i="13"/>
  <c r="BD41" i="13"/>
  <c r="BC48" i="13"/>
  <c r="BD48" i="13"/>
  <c r="BC54" i="13"/>
  <c r="BC53" i="13" s="1"/>
  <c r="BD54" i="13"/>
  <c r="BD53" i="13" s="1"/>
  <c r="BC65" i="13"/>
  <c r="BC64" i="13" s="1"/>
  <c r="BC63" i="13" s="1"/>
  <c r="BC62" i="13" s="1"/>
  <c r="BD65" i="13"/>
  <c r="BD64" i="13" s="1"/>
  <c r="BD63" i="13" s="1"/>
  <c r="BD62" i="13" s="1"/>
  <c r="BC70" i="13"/>
  <c r="BC69" i="13" s="1"/>
  <c r="BC68" i="13" s="1"/>
  <c r="BD70" i="13"/>
  <c r="BD69" i="13" s="1"/>
  <c r="BD68" i="13" s="1"/>
  <c r="BC78" i="13"/>
  <c r="BD78" i="13"/>
  <c r="BC82" i="13"/>
  <c r="BD82" i="13"/>
  <c r="BC86" i="13"/>
  <c r="BD86" i="13"/>
  <c r="BC91" i="13"/>
  <c r="BD91" i="13"/>
  <c r="BC95" i="13"/>
  <c r="BD95" i="13"/>
  <c r="BC102" i="13"/>
  <c r="BD102" i="13"/>
  <c r="BC108" i="13"/>
  <c r="BD108" i="13"/>
  <c r="BC113" i="13"/>
  <c r="BD113" i="13"/>
  <c r="BC118" i="13"/>
  <c r="BD118" i="13"/>
  <c r="BC125" i="13"/>
  <c r="BD125" i="13"/>
  <c r="BC128" i="13"/>
  <c r="BD128" i="13"/>
  <c r="BC131" i="13"/>
  <c r="BD131" i="13"/>
  <c r="BC134" i="13"/>
  <c r="BD134" i="13"/>
  <c r="BC137" i="13"/>
  <c r="BD137" i="13"/>
  <c r="BC144" i="13"/>
  <c r="BC143" i="13" s="1"/>
  <c r="BC142" i="13" s="1"/>
  <c r="BC141" i="13" s="1"/>
  <c r="BD144" i="13"/>
  <c r="BD143" i="13" s="1"/>
  <c r="BD142" i="13" s="1"/>
  <c r="BD141" i="13" s="1"/>
  <c r="BC149" i="13"/>
  <c r="BD149" i="13"/>
  <c r="BC154" i="13"/>
  <c r="BD154" i="13"/>
  <c r="BC160" i="13"/>
  <c r="BD160" i="13"/>
  <c r="BC167" i="13"/>
  <c r="BD167" i="13"/>
  <c r="BC171" i="13"/>
  <c r="BD171" i="13"/>
  <c r="BC178" i="13"/>
  <c r="BC177" i="13" s="1"/>
  <c r="BD178" i="13"/>
  <c r="BD177" i="13" s="1"/>
  <c r="BC184" i="13"/>
  <c r="BD184" i="13"/>
  <c r="BC187" i="13"/>
  <c r="BD187" i="13"/>
  <c r="BC190" i="13"/>
  <c r="BD190" i="13"/>
  <c r="BC193" i="13"/>
  <c r="BD193" i="13"/>
  <c r="BC197" i="13"/>
  <c r="BD197" i="13"/>
  <c r="BC200" i="13"/>
  <c r="BD200" i="13"/>
  <c r="BC208" i="13"/>
  <c r="BD208" i="13"/>
  <c r="BC215" i="13"/>
  <c r="BD215" i="13"/>
  <c r="BC221" i="13"/>
  <c r="BD221" i="13"/>
  <c r="BC225" i="13"/>
  <c r="BD225" i="13"/>
  <c r="BC228" i="13"/>
  <c r="BC227" i="13" s="1"/>
  <c r="BD228" i="13"/>
  <c r="BD227" i="13" s="1"/>
  <c r="AW144" i="16" l="1"/>
  <c r="AV144" i="16"/>
  <c r="BC166" i="13"/>
  <c r="BD183" i="13"/>
  <c r="BD182" i="13" s="1"/>
  <c r="BC32" i="13"/>
  <c r="BD207" i="13"/>
  <c r="BD206" i="13" s="1"/>
  <c r="BD205" i="13" s="1"/>
  <c r="BD204" i="13" s="1"/>
  <c r="BD77" i="13"/>
  <c r="BD76" i="13" s="1"/>
  <c r="BD32" i="13"/>
  <c r="BD166" i="13"/>
  <c r="BD165" i="13" s="1"/>
  <c r="BD148" i="13"/>
  <c r="BD147" i="13" s="1"/>
  <c r="BD124" i="13"/>
  <c r="BD123" i="13" s="1"/>
  <c r="BD19" i="13"/>
  <c r="BC77" i="13"/>
  <c r="BC76" i="13" s="1"/>
  <c r="BC207" i="13"/>
  <c r="BC206" i="13" s="1"/>
  <c r="BC205" i="13" s="1"/>
  <c r="BC204" i="13" s="1"/>
  <c r="BC183" i="13"/>
  <c r="BC182" i="13" s="1"/>
  <c r="BC148" i="13"/>
  <c r="BC147" i="13" s="1"/>
  <c r="BC124" i="13"/>
  <c r="BC123" i="13" s="1"/>
  <c r="BC19" i="13"/>
  <c r="BC165" i="13"/>
  <c r="BC18" i="13" l="1"/>
  <c r="BC17" i="13" s="1"/>
  <c r="BC16" i="13" s="1"/>
  <c r="BC15" i="13" s="1"/>
  <c r="BD146" i="13"/>
  <c r="BD18" i="13"/>
  <c r="BD17" i="13" s="1"/>
  <c r="BD16" i="13" s="1"/>
  <c r="BD15" i="13" s="1"/>
  <c r="BC146" i="13"/>
  <c r="BC67" i="13"/>
  <c r="BD67" i="13"/>
  <c r="BC61" i="13" l="1"/>
  <c r="BC60" i="13" s="1"/>
  <c r="BC14" i="13" s="1"/>
  <c r="BD61" i="13"/>
  <c r="BD60" i="13" s="1"/>
  <c r="BD14" i="13" s="1"/>
  <c r="T86" i="13" l="1"/>
  <c r="U24" i="13"/>
  <c r="U29" i="13"/>
  <c r="U28" i="13" s="1"/>
  <c r="U33" i="13"/>
  <c r="U41" i="13"/>
  <c r="U48" i="13"/>
  <c r="U54" i="13"/>
  <c r="U53" i="13" s="1"/>
  <c r="U65" i="13"/>
  <c r="U64" i="13" s="1"/>
  <c r="U63" i="13" s="1"/>
  <c r="U62" i="13" s="1"/>
  <c r="U70" i="13"/>
  <c r="U69" i="13" s="1"/>
  <c r="U68" i="13" s="1"/>
  <c r="U78" i="13"/>
  <c r="U82" i="13"/>
  <c r="U86" i="13"/>
  <c r="U91" i="13"/>
  <c r="U95" i="13"/>
  <c r="U102" i="13"/>
  <c r="U108" i="13"/>
  <c r="U113" i="13"/>
  <c r="U118" i="13"/>
  <c r="U125" i="13"/>
  <c r="U128" i="13"/>
  <c r="U131" i="13"/>
  <c r="U134" i="13"/>
  <c r="U137" i="13"/>
  <c r="U144" i="13"/>
  <c r="U143" i="13" s="1"/>
  <c r="U142" i="13" s="1"/>
  <c r="U141" i="13" s="1"/>
  <c r="U149" i="13"/>
  <c r="U154" i="13"/>
  <c r="U160" i="13"/>
  <c r="U148" i="13" l="1"/>
  <c r="U147" i="13" s="1"/>
  <c r="U124" i="13"/>
  <c r="U123" i="13" s="1"/>
  <c r="U32" i="13"/>
  <c r="U77" i="13"/>
  <c r="U76" i="13" s="1"/>
  <c r="U67" i="13" l="1"/>
  <c r="AU143" i="16" l="1"/>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U144" i="16" l="1"/>
  <c r="BB20" i="13"/>
  <c r="BB24" i="13"/>
  <c r="BB29" i="13"/>
  <c r="BB28" i="13" s="1"/>
  <c r="BB33" i="13"/>
  <c r="BB41" i="13"/>
  <c r="BB48" i="13"/>
  <c r="BB54" i="13"/>
  <c r="BB53" i="13" s="1"/>
  <c r="BB65" i="13"/>
  <c r="BB64" i="13" s="1"/>
  <c r="BB63" i="13" s="1"/>
  <c r="BB62" i="13" s="1"/>
  <c r="BB70" i="13"/>
  <c r="BB69" i="13" s="1"/>
  <c r="BB68" i="13" s="1"/>
  <c r="BB78" i="13"/>
  <c r="BB82" i="13"/>
  <c r="BB86" i="13"/>
  <c r="BB91" i="13"/>
  <c r="BB95" i="13"/>
  <c r="BB102" i="13"/>
  <c r="BB108" i="13"/>
  <c r="BB113" i="13"/>
  <c r="BB118" i="13"/>
  <c r="BB125" i="13"/>
  <c r="BB128" i="13"/>
  <c r="BB131" i="13"/>
  <c r="BB134" i="13"/>
  <c r="BB137" i="13"/>
  <c r="BB144" i="13"/>
  <c r="BB143" i="13" s="1"/>
  <c r="BB142" i="13" s="1"/>
  <c r="BB141" i="13" s="1"/>
  <c r="BB149" i="13"/>
  <c r="BB154" i="13"/>
  <c r="BB160" i="13"/>
  <c r="BB167" i="13"/>
  <c r="BB171" i="13"/>
  <c r="BB178" i="13"/>
  <c r="BB177" i="13" s="1"/>
  <c r="BB184" i="13"/>
  <c r="BB187" i="13"/>
  <c r="BB190" i="13"/>
  <c r="BB193" i="13"/>
  <c r="BB197" i="13"/>
  <c r="BB200" i="13"/>
  <c r="BB208" i="13"/>
  <c r="BB215" i="13"/>
  <c r="BB221" i="13"/>
  <c r="BB225" i="13"/>
  <c r="BB228" i="13"/>
  <c r="BB227" i="13" s="1"/>
  <c r="A3" i="25"/>
  <c r="BB166" i="13" l="1"/>
  <c r="BB165" i="13" s="1"/>
  <c r="BB77" i="13"/>
  <c r="BB76" i="13" s="1"/>
  <c r="BB148" i="13"/>
  <c r="BB147" i="13" s="1"/>
  <c r="BB19" i="13"/>
  <c r="BB32" i="13"/>
  <c r="BB207" i="13"/>
  <c r="BB206" i="13" s="1"/>
  <c r="BB205" i="13" s="1"/>
  <c r="BB204" i="13" s="1"/>
  <c r="BB183" i="13"/>
  <c r="BB182" i="13" s="1"/>
  <c r="BB124" i="13"/>
  <c r="BB123" i="13" s="1"/>
  <c r="P181" i="13"/>
  <c r="P217" i="13"/>
  <c r="BB18" i="13" l="1"/>
  <c r="BB17" i="13" s="1"/>
  <c r="BB16" i="13" s="1"/>
  <c r="BB15" i="13" s="1"/>
  <c r="BB67" i="13"/>
  <c r="BB146" i="13"/>
  <c r="D13" i="25"/>
  <c r="C13" i="25"/>
  <c r="C37" i="25" s="1"/>
  <c r="C12" i="25"/>
  <c r="C36" i="25" s="1"/>
  <c r="BB61" i="13" l="1"/>
  <c r="BB60" i="13" s="1"/>
  <c r="BB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L53" i="24"/>
  <c r="L49" i="24"/>
  <c r="L47" i="24"/>
  <c r="L45" i="24"/>
  <c r="L41" i="24"/>
  <c r="L37" i="24"/>
  <c r="L33" i="24"/>
  <c r="L29" i="24"/>
  <c r="L25" i="24"/>
  <c r="L21" i="24"/>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P126" i="13"/>
  <c r="F65" i="23"/>
  <c r="P23" i="13"/>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4" i="16"/>
  <c r="BA225" i="13"/>
  <c r="BA228" i="13"/>
  <c r="BA227" i="13" s="1"/>
  <c r="BA221" i="13"/>
  <c r="BA215" i="13"/>
  <c r="BA208" i="13"/>
  <c r="BA200" i="13"/>
  <c r="BA197" i="13"/>
  <c r="BA193" i="13"/>
  <c r="BA190" i="13"/>
  <c r="BA187" i="13"/>
  <c r="BA184" i="13"/>
  <c r="BA178" i="13"/>
  <c r="BA177" i="13" s="1"/>
  <c r="BA171" i="13"/>
  <c r="BA167" i="13"/>
  <c r="BA160" i="13"/>
  <c r="BA154" i="13"/>
  <c r="BA149" i="13"/>
  <c r="BA144" i="13"/>
  <c r="BA143" i="13" s="1"/>
  <c r="BA142" i="13" s="1"/>
  <c r="BA141" i="13" s="1"/>
  <c r="BA137" i="13"/>
  <c r="BA134" i="13"/>
  <c r="BA131" i="13"/>
  <c r="BA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G13" i="24" l="1"/>
  <c r="J14" i="24"/>
  <c r="K14" i="24" s="1"/>
  <c r="I14" i="24"/>
  <c r="O8" i="23"/>
  <c r="J31" i="25" s="1"/>
  <c r="BA166" i="13"/>
  <c r="BA124" i="13"/>
  <c r="BA123" i="13" s="1"/>
  <c r="BA183" i="13"/>
  <c r="BA182" i="13" s="1"/>
  <c r="AT144" i="16"/>
  <c r="BA207" i="13"/>
  <c r="BA206" i="13" s="1"/>
  <c r="BA205" i="13" s="1"/>
  <c r="BA204" i="13" s="1"/>
  <c r="BA148" i="13"/>
  <c r="BA147" i="13" s="1"/>
  <c r="BA77" i="13"/>
  <c r="BA76" i="13" s="1"/>
  <c r="BA67" i="13" s="1"/>
  <c r="BA165" i="13"/>
  <c r="BA32" i="13"/>
  <c r="BA19" i="13"/>
  <c r="P31" i="13"/>
  <c r="AZ178" i="13"/>
  <c r="AZ177" i="13" s="1"/>
  <c r="AZ167" i="13"/>
  <c r="AY167" i="13"/>
  <c r="AZ154" i="13"/>
  <c r="AY154" i="13"/>
  <c r="AX154" i="13"/>
  <c r="AZ144" i="13"/>
  <c r="AY144" i="13"/>
  <c r="AY143" i="13" s="1"/>
  <c r="AY142" i="13" s="1"/>
  <c r="AY141" i="13" s="1"/>
  <c r="AQ231" i="13"/>
  <c r="AQ152" i="13"/>
  <c r="AR152" i="13" s="1"/>
  <c r="AQ150" i="13"/>
  <c r="AS150" i="13" s="1"/>
  <c r="AT150" i="13" s="1"/>
  <c r="AQ145" i="13"/>
  <c r="AS145" i="13" s="1"/>
  <c r="AQ140" i="13"/>
  <c r="AS140" i="13" s="1"/>
  <c r="AT140" i="13" s="1"/>
  <c r="AQ139" i="13"/>
  <c r="AR139" i="13" s="1"/>
  <c r="AQ138" i="13"/>
  <c r="AS138" i="13" s="1"/>
  <c r="AT138" i="13" s="1"/>
  <c r="AQ135" i="13"/>
  <c r="AS135" i="13" s="1"/>
  <c r="AT135" i="13" s="1"/>
  <c r="AQ136" i="13"/>
  <c r="AS136" i="13" s="1"/>
  <c r="AQ133" i="13"/>
  <c r="AS133" i="13" s="1"/>
  <c r="AT133" i="13" s="1"/>
  <c r="AQ130" i="13"/>
  <c r="AR130" i="13" s="1"/>
  <c r="AX128" i="13"/>
  <c r="AQ155" i="13"/>
  <c r="AQ151" i="13"/>
  <c r="AR151" i="13" s="1"/>
  <c r="AQ153" i="13"/>
  <c r="AR153" i="13" s="1"/>
  <c r="AC55" i="16"/>
  <c r="AB55" i="16"/>
  <c r="AA55" i="16"/>
  <c r="Z55" i="16"/>
  <c r="Y55" i="16"/>
  <c r="X55" i="16"/>
  <c r="W55" i="16"/>
  <c r="V55" i="16"/>
  <c r="U55" i="16"/>
  <c r="T55" i="16"/>
  <c r="S55" i="16"/>
  <c r="R55" i="16"/>
  <c r="S54" i="16"/>
  <c r="R54" i="16"/>
  <c r="R53" i="16"/>
  <c r="R142" i="16"/>
  <c r="R141" i="16"/>
  <c r="R138" i="16"/>
  <c r="R137" i="16"/>
  <c r="R135" i="16"/>
  <c r="R134" i="16"/>
  <c r="R133" i="16"/>
  <c r="R132" i="16"/>
  <c r="R130" i="16"/>
  <c r="R129" i="16"/>
  <c r="R128" i="16"/>
  <c r="R127" i="16"/>
  <c r="R126" i="16"/>
  <c r="R124" i="16"/>
  <c r="R123" i="16"/>
  <c r="R121" i="16"/>
  <c r="R119" i="16"/>
  <c r="R118" i="16"/>
  <c r="R116" i="16"/>
  <c r="R114" i="16"/>
  <c r="R112" i="16"/>
  <c r="R110" i="16"/>
  <c r="R109" i="16"/>
  <c r="R107" i="16"/>
  <c r="R106" i="16"/>
  <c r="R105" i="16"/>
  <c r="R104" i="16"/>
  <c r="R102" i="16"/>
  <c r="R101" i="16"/>
  <c r="R99" i="16"/>
  <c r="R98" i="16"/>
  <c r="R97" i="16"/>
  <c r="R95" i="16"/>
  <c r="R94" i="16"/>
  <c r="R93" i="16"/>
  <c r="R92" i="16"/>
  <c r="R90" i="16"/>
  <c r="R89" i="16"/>
  <c r="R88" i="16"/>
  <c r="R85" i="16"/>
  <c r="R84" i="16"/>
  <c r="R82" i="16"/>
  <c r="R80" i="16"/>
  <c r="R78" i="16"/>
  <c r="R76" i="16"/>
  <c r="R74" i="16"/>
  <c r="R73" i="16"/>
  <c r="R72" i="16"/>
  <c r="R70" i="16"/>
  <c r="R69" i="16"/>
  <c r="R68" i="16"/>
  <c r="R66" i="16"/>
  <c r="R65" i="16"/>
  <c r="R64" i="16"/>
  <c r="R62" i="16"/>
  <c r="R61" i="16"/>
  <c r="R60" i="16"/>
  <c r="R59" i="16"/>
  <c r="R57" i="16"/>
  <c r="R56"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24" i="16"/>
  <c r="AR23" i="16"/>
  <c r="AR22" i="16"/>
  <c r="AR21" i="16"/>
  <c r="AR20" i="16"/>
  <c r="AR19" i="16"/>
  <c r="AR18" i="16"/>
  <c r="AR17" i="16"/>
  <c r="AR16" i="16"/>
  <c r="AR15" i="16"/>
  <c r="AR14" i="16"/>
  <c r="AR13" i="16"/>
  <c r="AR12" i="16"/>
  <c r="AR11" i="16"/>
  <c r="AR10" i="16"/>
  <c r="AR9" i="16"/>
  <c r="AR8" i="16"/>
  <c r="AR7" i="16"/>
  <c r="AR6" i="16"/>
  <c r="AR5" i="16"/>
  <c r="AR4" i="16"/>
  <c r="AQ143" i="16"/>
  <c r="AQ142" i="16"/>
  <c r="AQ141" i="16"/>
  <c r="AQ140" i="16"/>
  <c r="AQ139" i="16"/>
  <c r="AQ138" i="16"/>
  <c r="AQ137" i="16"/>
  <c r="AQ136" i="16"/>
  <c r="AQ135" i="16"/>
  <c r="AQ134" i="16"/>
  <c r="AQ133" i="16"/>
  <c r="AQ132" i="16"/>
  <c r="AQ131" i="16"/>
  <c r="AQ130" i="16"/>
  <c r="AQ129" i="16"/>
  <c r="AQ128" i="16"/>
  <c r="AQ127" i="16"/>
  <c r="AQ126" i="16"/>
  <c r="AQ125" i="16"/>
  <c r="AQ124" i="16"/>
  <c r="AQ123" i="16"/>
  <c r="AQ122" i="16"/>
  <c r="AQ121" i="16"/>
  <c r="AQ120" i="16"/>
  <c r="AQ119" i="16"/>
  <c r="AQ118" i="16"/>
  <c r="AQ117" i="16"/>
  <c r="AQ116" i="16"/>
  <c r="AQ115" i="16"/>
  <c r="AQ114" i="16"/>
  <c r="AQ113" i="16"/>
  <c r="AQ112" i="16"/>
  <c r="AQ111" i="16"/>
  <c r="AQ110" i="16"/>
  <c r="AQ109" i="16"/>
  <c r="AQ108" i="16"/>
  <c r="AQ107" i="16"/>
  <c r="AQ106" i="16"/>
  <c r="AQ105" i="16"/>
  <c r="AQ104" i="16"/>
  <c r="AQ103" i="16"/>
  <c r="AQ102" i="16"/>
  <c r="AQ101" i="16"/>
  <c r="AQ100" i="16"/>
  <c r="AQ99" i="16"/>
  <c r="AQ98" i="16"/>
  <c r="AQ97" i="16"/>
  <c r="AQ96" i="16"/>
  <c r="AQ95" i="16"/>
  <c r="AQ94" i="16"/>
  <c r="AQ93" i="16"/>
  <c r="AQ92" i="16"/>
  <c r="AQ91" i="16"/>
  <c r="AQ90" i="16"/>
  <c r="AQ89" i="16"/>
  <c r="AQ88" i="16"/>
  <c r="AQ87" i="16"/>
  <c r="AQ86" i="16"/>
  <c r="AQ85" i="16"/>
  <c r="AQ84" i="16"/>
  <c r="AQ83" i="16"/>
  <c r="AQ82" i="16"/>
  <c r="AQ81" i="16"/>
  <c r="AQ80" i="16"/>
  <c r="AQ79" i="16"/>
  <c r="AQ78" i="16"/>
  <c r="AQ77" i="16"/>
  <c r="AQ76" i="16"/>
  <c r="AQ75" i="16"/>
  <c r="AQ74" i="16"/>
  <c r="AQ73" i="16"/>
  <c r="AQ72" i="16"/>
  <c r="AQ71" i="16"/>
  <c r="AQ70" i="16"/>
  <c r="AQ69" i="16"/>
  <c r="AQ68" i="16"/>
  <c r="AQ67" i="16"/>
  <c r="AQ66" i="16"/>
  <c r="AQ65" i="16"/>
  <c r="AQ64" i="16"/>
  <c r="AQ63" i="16"/>
  <c r="AQ62" i="16"/>
  <c r="AQ61" i="16"/>
  <c r="AQ60" i="16"/>
  <c r="AQ59" i="16"/>
  <c r="AQ58" i="16"/>
  <c r="AQ57" i="16"/>
  <c r="AQ56" i="16"/>
  <c r="AQ54" i="16"/>
  <c r="AQ53" i="16"/>
  <c r="AQ52" i="16"/>
  <c r="AQ51" i="16"/>
  <c r="AQ50" i="16"/>
  <c r="AQ49" i="16"/>
  <c r="AQ48" i="16"/>
  <c r="AQ47" i="16"/>
  <c r="AQ46" i="16"/>
  <c r="AQ45" i="16"/>
  <c r="AQ44" i="16"/>
  <c r="AQ43" i="16"/>
  <c r="AQ42" i="16"/>
  <c r="AQ41" i="16"/>
  <c r="AQ40" i="16"/>
  <c r="AQ39" i="16"/>
  <c r="AQ38" i="16"/>
  <c r="AQ37" i="16"/>
  <c r="AQ36" i="16"/>
  <c r="AQ35" i="16"/>
  <c r="AQ34" i="16"/>
  <c r="AQ33" i="16"/>
  <c r="AQ32" i="16"/>
  <c r="AQ31" i="16"/>
  <c r="AQ30" i="16"/>
  <c r="AQ29" i="16"/>
  <c r="AQ28" i="16"/>
  <c r="AQ27" i="16"/>
  <c r="AQ26" i="16"/>
  <c r="AQ25" i="16"/>
  <c r="AQ18" i="16"/>
  <c r="AQ17" i="16"/>
  <c r="AQ16" i="16"/>
  <c r="AQ15" i="16"/>
  <c r="AQ14" i="16"/>
  <c r="AQ13" i="16"/>
  <c r="AQ12" i="16"/>
  <c r="AQ11" i="16"/>
  <c r="AQ10" i="16"/>
  <c r="AQ9" i="16"/>
  <c r="AQ8" i="16"/>
  <c r="AQ7" i="16"/>
  <c r="AQ6" i="16"/>
  <c r="AQ5" i="16"/>
  <c r="AQ4" i="16"/>
  <c r="AQ20" i="16"/>
  <c r="AQ21" i="16"/>
  <c r="AQ22" i="16"/>
  <c r="AQ23" i="16"/>
  <c r="AQ24" i="16"/>
  <c r="AQ19" i="16"/>
  <c r="AY225" i="13"/>
  <c r="AZ225" i="13"/>
  <c r="AY228" i="13"/>
  <c r="AY227" i="13" s="1"/>
  <c r="AZ228" i="13"/>
  <c r="AZ227" i="13" s="1"/>
  <c r="AY221" i="13"/>
  <c r="AZ221" i="13"/>
  <c r="AY215" i="13"/>
  <c r="AZ215" i="13"/>
  <c r="AY208" i="13"/>
  <c r="AZ208" i="13"/>
  <c r="AY200" i="13"/>
  <c r="AZ200" i="13"/>
  <c r="AY197" i="13"/>
  <c r="AZ197" i="13"/>
  <c r="AY193" i="13"/>
  <c r="AZ193" i="13"/>
  <c r="AY190" i="13"/>
  <c r="AZ190" i="13"/>
  <c r="AY187" i="13"/>
  <c r="AZ187" i="13"/>
  <c r="AY184" i="13"/>
  <c r="AZ184" i="13"/>
  <c r="AY178" i="13"/>
  <c r="AY177" i="13" s="1"/>
  <c r="AY171" i="13"/>
  <c r="AZ171" i="13"/>
  <c r="AY160" i="13"/>
  <c r="AZ160" i="13"/>
  <c r="AZ143" i="13"/>
  <c r="AZ142" i="13" s="1"/>
  <c r="AZ141" i="13" s="1"/>
  <c r="AY149" i="13"/>
  <c r="AZ149" i="13"/>
  <c r="AY137" i="13"/>
  <c r="AZ137" i="13"/>
  <c r="AY134" i="13"/>
  <c r="AZ134" i="13"/>
  <c r="AY131" i="13"/>
  <c r="AZ131" i="13"/>
  <c r="AY128" i="13"/>
  <c r="AZ128" i="13"/>
  <c r="AY125" i="13"/>
  <c r="AZ125" i="13"/>
  <c r="AY118" i="13"/>
  <c r="AZ118" i="13"/>
  <c r="AY113" i="13"/>
  <c r="AZ113" i="13"/>
  <c r="AY108" i="13"/>
  <c r="AZ108" i="13"/>
  <c r="AY102" i="13"/>
  <c r="AZ102" i="13"/>
  <c r="AY95" i="13"/>
  <c r="AZ95" i="13"/>
  <c r="AY91" i="13"/>
  <c r="AZ91" i="13"/>
  <c r="AY86" i="13"/>
  <c r="AZ86" i="13"/>
  <c r="AY82" i="13"/>
  <c r="AZ82" i="13"/>
  <c r="AY78" i="13"/>
  <c r="AZ78" i="13"/>
  <c r="AY70" i="13"/>
  <c r="AY69" i="13" s="1"/>
  <c r="AY68" i="13" s="1"/>
  <c r="AZ70" i="13"/>
  <c r="AZ69" i="13" s="1"/>
  <c r="AZ68" i="13" s="1"/>
  <c r="AY65" i="13"/>
  <c r="AY64" i="13" s="1"/>
  <c r="AY63" i="13" s="1"/>
  <c r="AY62" i="13" s="1"/>
  <c r="AZ65" i="13"/>
  <c r="AZ64" i="13" s="1"/>
  <c r="AZ63" i="13" s="1"/>
  <c r="AZ62" i="13" s="1"/>
  <c r="AY54" i="13"/>
  <c r="AY53" i="13" s="1"/>
  <c r="AZ54" i="13"/>
  <c r="AZ53" i="13" s="1"/>
  <c r="AY48" i="13"/>
  <c r="AZ48" i="13"/>
  <c r="AZ41" i="13"/>
  <c r="AY33" i="13"/>
  <c r="AZ33" i="13"/>
  <c r="AY29" i="13"/>
  <c r="AY28" i="13" s="1"/>
  <c r="AZ29" i="13"/>
  <c r="AZ28" i="13" s="1"/>
  <c r="AY24" i="13"/>
  <c r="AZ24" i="13"/>
  <c r="AZ20" i="13"/>
  <c r="AY41" i="13"/>
  <c r="AY20" i="13"/>
  <c r="AX228" i="13"/>
  <c r="AX227" i="13" s="1"/>
  <c r="AX225" i="13"/>
  <c r="AX221" i="13"/>
  <c r="AX215" i="13"/>
  <c r="AX208" i="13"/>
  <c r="AX200" i="13"/>
  <c r="AX197" i="13"/>
  <c r="AX193" i="13"/>
  <c r="AX190" i="13"/>
  <c r="AX187" i="13"/>
  <c r="AX184" i="13"/>
  <c r="AX178" i="13"/>
  <c r="AX177" i="13" s="1"/>
  <c r="AX171" i="13"/>
  <c r="AX167" i="13"/>
  <c r="AX160" i="13"/>
  <c r="H154" i="13"/>
  <c r="I154" i="13"/>
  <c r="J154" i="13"/>
  <c r="K154" i="13"/>
  <c r="L154" i="13"/>
  <c r="M154" i="13"/>
  <c r="N154" i="13"/>
  <c r="O154" i="13"/>
  <c r="P154" i="13"/>
  <c r="Q154" i="13"/>
  <c r="R154" i="13"/>
  <c r="S154" i="13"/>
  <c r="T154" i="13"/>
  <c r="V154" i="13"/>
  <c r="W154" i="13"/>
  <c r="X154" i="13"/>
  <c r="Y154" i="13"/>
  <c r="Z154" i="13"/>
  <c r="AA154" i="13"/>
  <c r="AB154" i="13"/>
  <c r="AC154" i="13"/>
  <c r="AD154" i="13"/>
  <c r="AE154" i="13"/>
  <c r="AF154" i="13"/>
  <c r="AG154" i="13"/>
  <c r="AH154" i="13"/>
  <c r="AI154" i="13"/>
  <c r="AJ154" i="13"/>
  <c r="AK154" i="13"/>
  <c r="AL154" i="13"/>
  <c r="AM154" i="13"/>
  <c r="AN154" i="13"/>
  <c r="AO154" i="13"/>
  <c r="AP154" i="13"/>
  <c r="H149" i="13"/>
  <c r="I149" i="13"/>
  <c r="J149" i="13"/>
  <c r="K149" i="13"/>
  <c r="L149" i="13"/>
  <c r="M149" i="13"/>
  <c r="N149" i="13"/>
  <c r="O149" i="13"/>
  <c r="P149" i="13"/>
  <c r="Q149" i="13"/>
  <c r="R149" i="13"/>
  <c r="S149" i="13"/>
  <c r="T149" i="13"/>
  <c r="V149" i="13"/>
  <c r="W149" i="13"/>
  <c r="X149" i="13"/>
  <c r="Y149" i="13"/>
  <c r="Z149" i="13"/>
  <c r="AA149" i="13"/>
  <c r="AB149" i="13"/>
  <c r="AC149" i="13"/>
  <c r="AD149" i="13"/>
  <c r="AE149" i="13"/>
  <c r="AF149" i="13"/>
  <c r="AG149" i="13"/>
  <c r="AH149" i="13"/>
  <c r="AI149" i="13"/>
  <c r="AJ149" i="13"/>
  <c r="AK149" i="13"/>
  <c r="AL149" i="13"/>
  <c r="AM149" i="13"/>
  <c r="AN149" i="13"/>
  <c r="AO149" i="13"/>
  <c r="AP149" i="13"/>
  <c r="AX149" i="13"/>
  <c r="H144" i="13"/>
  <c r="H143" i="13" s="1"/>
  <c r="H142" i="13" s="1"/>
  <c r="H141" i="13" s="1"/>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V144" i="13"/>
  <c r="V143" i="13" s="1"/>
  <c r="V142" i="13" s="1"/>
  <c r="V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X144" i="13"/>
  <c r="AX143" i="13" s="1"/>
  <c r="AX142" i="13" s="1"/>
  <c r="AX141" i="13" s="1"/>
  <c r="H137" i="13"/>
  <c r="I137" i="13"/>
  <c r="J137" i="13"/>
  <c r="K137" i="13"/>
  <c r="L137" i="13"/>
  <c r="M137" i="13"/>
  <c r="N137" i="13"/>
  <c r="O137" i="13"/>
  <c r="P137" i="13"/>
  <c r="Q137" i="13"/>
  <c r="R137" i="13"/>
  <c r="S137" i="13"/>
  <c r="T137" i="13"/>
  <c r="V137" i="13"/>
  <c r="W137" i="13"/>
  <c r="X137" i="13"/>
  <c r="Y137" i="13"/>
  <c r="Z137" i="13"/>
  <c r="AA137" i="13"/>
  <c r="AB137" i="13"/>
  <c r="AC137" i="13"/>
  <c r="AD137" i="13"/>
  <c r="AE137" i="13"/>
  <c r="AF137" i="13"/>
  <c r="AG137" i="13"/>
  <c r="AH137" i="13"/>
  <c r="AI137" i="13"/>
  <c r="AJ137" i="13"/>
  <c r="AK137" i="13"/>
  <c r="AL137" i="13"/>
  <c r="AM137" i="13"/>
  <c r="AN137" i="13"/>
  <c r="AO137" i="13"/>
  <c r="AP137" i="13"/>
  <c r="AX137" i="13"/>
  <c r="H134" i="13"/>
  <c r="I134" i="13"/>
  <c r="J134" i="13"/>
  <c r="K134" i="13"/>
  <c r="L134" i="13"/>
  <c r="M134" i="13"/>
  <c r="N134" i="13"/>
  <c r="O134" i="13"/>
  <c r="P134" i="13"/>
  <c r="Q134" i="13"/>
  <c r="R134" i="13"/>
  <c r="S134" i="13"/>
  <c r="T134" i="13"/>
  <c r="V134" i="13"/>
  <c r="W134" i="13"/>
  <c r="X134" i="13"/>
  <c r="Y134" i="13"/>
  <c r="Z134" i="13"/>
  <c r="AA134" i="13"/>
  <c r="AB134" i="13"/>
  <c r="AC134" i="13"/>
  <c r="AD134" i="13"/>
  <c r="AE134" i="13"/>
  <c r="AF134" i="13"/>
  <c r="AG134" i="13"/>
  <c r="AH134" i="13"/>
  <c r="AI134" i="13"/>
  <c r="AJ134" i="13"/>
  <c r="AK134" i="13"/>
  <c r="AL134" i="13"/>
  <c r="AM134" i="13"/>
  <c r="AN134" i="13"/>
  <c r="AO134" i="13"/>
  <c r="AP134" i="13"/>
  <c r="AX134" i="13"/>
  <c r="H131" i="13"/>
  <c r="I131" i="13"/>
  <c r="J131" i="13"/>
  <c r="K131" i="13"/>
  <c r="L131" i="13"/>
  <c r="M131" i="13"/>
  <c r="O131" i="13"/>
  <c r="P131" i="13"/>
  <c r="Q131" i="13"/>
  <c r="R131" i="13"/>
  <c r="S131" i="13"/>
  <c r="T131" i="13"/>
  <c r="V131" i="13"/>
  <c r="W131" i="13"/>
  <c r="X131" i="13"/>
  <c r="Y131" i="13"/>
  <c r="Z131" i="13"/>
  <c r="AA131" i="13"/>
  <c r="AB131" i="13"/>
  <c r="AC131" i="13"/>
  <c r="AD131" i="13"/>
  <c r="AE131" i="13"/>
  <c r="AF131" i="13"/>
  <c r="AG131" i="13"/>
  <c r="AH131" i="13"/>
  <c r="AI131" i="13"/>
  <c r="AJ131" i="13"/>
  <c r="AK131" i="13"/>
  <c r="AL131" i="13"/>
  <c r="AM131" i="13"/>
  <c r="AN131" i="13"/>
  <c r="AO131" i="13"/>
  <c r="AP131" i="13"/>
  <c r="AX131" i="13"/>
  <c r="N132" i="13"/>
  <c r="AQ132" i="13" s="1"/>
  <c r="AS132" i="13" s="1"/>
  <c r="AT132" i="13" s="1"/>
  <c r="H128" i="13"/>
  <c r="I128" i="13"/>
  <c r="J128" i="13"/>
  <c r="K128" i="13"/>
  <c r="L128" i="13"/>
  <c r="M128" i="13"/>
  <c r="O128" i="13"/>
  <c r="P128" i="13"/>
  <c r="Q128" i="13"/>
  <c r="R128" i="13"/>
  <c r="S128" i="13"/>
  <c r="T128" i="13"/>
  <c r="V128" i="13"/>
  <c r="W128" i="13"/>
  <c r="X128" i="13"/>
  <c r="Y128" i="13"/>
  <c r="Z128" i="13"/>
  <c r="AA128" i="13"/>
  <c r="AB128" i="13"/>
  <c r="AC128" i="13"/>
  <c r="AD128" i="13"/>
  <c r="AE128" i="13"/>
  <c r="AF128" i="13"/>
  <c r="AG128" i="13"/>
  <c r="AH128" i="13"/>
  <c r="AI128" i="13"/>
  <c r="AJ128" i="13"/>
  <c r="AK128" i="13"/>
  <c r="AL128" i="13"/>
  <c r="AM128" i="13"/>
  <c r="AN128" i="13"/>
  <c r="AO128" i="13"/>
  <c r="AP128" i="13"/>
  <c r="AX125" i="13"/>
  <c r="AX118" i="13"/>
  <c r="AX113" i="13"/>
  <c r="AX108" i="13"/>
  <c r="AX102" i="13"/>
  <c r="AX95" i="13"/>
  <c r="AX91" i="13"/>
  <c r="AX86" i="13"/>
  <c r="AX82" i="13"/>
  <c r="AX78" i="13"/>
  <c r="AX70" i="13"/>
  <c r="AX69" i="13" s="1"/>
  <c r="AX68" i="13" s="1"/>
  <c r="AX65" i="13"/>
  <c r="AX64" i="13" s="1"/>
  <c r="AX63" i="13" s="1"/>
  <c r="AX62" i="13" s="1"/>
  <c r="AX54" i="13"/>
  <c r="AX53" i="13" s="1"/>
  <c r="AX48" i="13"/>
  <c r="AX41" i="13"/>
  <c r="AX33" i="13"/>
  <c r="AX29" i="13"/>
  <c r="AX28" i="13" s="1"/>
  <c r="AX24" i="13"/>
  <c r="AX20" i="13"/>
  <c r="G20" i="13"/>
  <c r="G12" i="24" l="1"/>
  <c r="J13" i="24"/>
  <c r="K13" i="24" s="1"/>
  <c r="I13" i="24"/>
  <c r="BA146" i="13"/>
  <c r="BA61" i="13" s="1"/>
  <c r="BA60" i="13" s="1"/>
  <c r="AR136" i="13"/>
  <c r="AS151" i="13"/>
  <c r="AT151" i="13" s="1"/>
  <c r="BA18" i="13"/>
  <c r="BA17" i="13" s="1"/>
  <c r="BA16" i="13" s="1"/>
  <c r="BA15" i="13" s="1"/>
  <c r="AS153" i="13"/>
  <c r="AT153" i="13" s="1"/>
  <c r="AR133" i="13"/>
  <c r="AS152" i="13"/>
  <c r="AT152" i="13" s="1"/>
  <c r="AT145" i="13"/>
  <c r="AR145" i="13"/>
  <c r="AR140" i="13"/>
  <c r="AS139" i="13"/>
  <c r="AT139" i="13" s="1"/>
  <c r="AR138" i="13"/>
  <c r="AR135" i="13"/>
  <c r="AR132" i="13"/>
  <c r="AS130" i="13"/>
  <c r="AT130" i="13" s="1"/>
  <c r="AR150" i="13"/>
  <c r="AI55" i="16"/>
  <c r="AJ55" i="16" s="1"/>
  <c r="AY166" i="13"/>
  <c r="AY165" i="13" s="1"/>
  <c r="AZ124" i="13"/>
  <c r="AZ123" i="13" s="1"/>
  <c r="AX166" i="13"/>
  <c r="AX165" i="13" s="1"/>
  <c r="AY77" i="13"/>
  <c r="AY76" i="13" s="1"/>
  <c r="AZ148" i="13"/>
  <c r="AZ147" i="13" s="1"/>
  <c r="AZ166" i="13"/>
  <c r="AZ165" i="13" s="1"/>
  <c r="AY207" i="13"/>
  <c r="AZ77" i="13"/>
  <c r="AZ76" i="13" s="1"/>
  <c r="AY148" i="13"/>
  <c r="AY147" i="13" s="1"/>
  <c r="AY32" i="13"/>
  <c r="N131" i="13"/>
  <c r="AX124" i="13"/>
  <c r="AX123" i="13" s="1"/>
  <c r="AY124" i="13"/>
  <c r="AY123" i="13" s="1"/>
  <c r="AZ183" i="13"/>
  <c r="AZ182" i="13" s="1"/>
  <c r="AZ207" i="13"/>
  <c r="AZ206" i="13" s="1"/>
  <c r="AZ205" i="13" s="1"/>
  <c r="AZ204" i="13" s="1"/>
  <c r="AR144" i="16"/>
  <c r="AS144" i="16"/>
  <c r="AQ144" i="16"/>
  <c r="AY206" i="13"/>
  <c r="AY205" i="13" s="1"/>
  <c r="AY204" i="13" s="1"/>
  <c r="AY183" i="13"/>
  <c r="AY182" i="13" s="1"/>
  <c r="AZ32" i="13"/>
  <c r="AZ19" i="13"/>
  <c r="AX148" i="13"/>
  <c r="AX147" i="13" s="1"/>
  <c r="AX19" i="13"/>
  <c r="AX183" i="13"/>
  <c r="AX182" i="13" s="1"/>
  <c r="AX207" i="13"/>
  <c r="AX206" i="13" s="1"/>
  <c r="AX205" i="13" s="1"/>
  <c r="AX204" i="13" s="1"/>
  <c r="AY19" i="13"/>
  <c r="AT136" i="13"/>
  <c r="AX77" i="13"/>
  <c r="AX76" i="13" s="1"/>
  <c r="AX32" i="13"/>
  <c r="I12" i="24" l="1"/>
  <c r="J12" i="24"/>
  <c r="K12" i="24" s="1"/>
  <c r="C7" i="24"/>
  <c r="BA14" i="13"/>
  <c r="AK55" i="16"/>
  <c r="AL55" i="16" s="1"/>
  <c r="AX67" i="13"/>
  <c r="AZ67" i="13"/>
  <c r="AY67" i="13"/>
  <c r="AZ146" i="13"/>
  <c r="AY146" i="13"/>
  <c r="AX18" i="13"/>
  <c r="AX17" i="13" s="1"/>
  <c r="AX16" i="13" s="1"/>
  <c r="AX15" i="13" s="1"/>
  <c r="AY18" i="13"/>
  <c r="AY17" i="13" s="1"/>
  <c r="AY16" i="13" s="1"/>
  <c r="AY15" i="13" s="1"/>
  <c r="AX146" i="13"/>
  <c r="AZ18" i="13"/>
  <c r="AZ17" i="13" s="1"/>
  <c r="AZ16" i="13" s="1"/>
  <c r="AZ15" i="13" s="1"/>
  <c r="AX61" i="13" l="1"/>
  <c r="AX60" i="13" s="1"/>
  <c r="AX14" i="13" s="1"/>
  <c r="AZ61" i="13"/>
  <c r="AZ60" i="13" s="1"/>
  <c r="AZ14" i="13" s="1"/>
  <c r="AY61" i="13"/>
  <c r="AY60" i="13" s="1"/>
  <c r="AY14" i="13" s="1"/>
  <c r="N129" i="13"/>
  <c r="N126" i="13"/>
  <c r="AQ126" i="13" s="1"/>
  <c r="AS126" i="13" s="1"/>
  <c r="AT126" i="13" s="1"/>
  <c r="N84" i="13"/>
  <c r="N128" i="13" l="1"/>
  <c r="AQ129" i="13"/>
  <c r="T4" i="16"/>
  <c r="AP48" i="13"/>
  <c r="T54" i="16"/>
  <c r="U54" i="16"/>
  <c r="V54" i="16"/>
  <c r="W54" i="16"/>
  <c r="X54" i="16"/>
  <c r="Y54" i="16"/>
  <c r="Z54" i="16"/>
  <c r="AA54" i="16"/>
  <c r="AB54" i="16"/>
  <c r="AC54" i="16"/>
  <c r="T56" i="16"/>
  <c r="U56" i="16"/>
  <c r="V56" i="16"/>
  <c r="W56" i="16"/>
  <c r="X56" i="16"/>
  <c r="Y56" i="16"/>
  <c r="Z56" i="16"/>
  <c r="AA56" i="16"/>
  <c r="AB56" i="16"/>
  <c r="AC56" i="16"/>
  <c r="T57" i="16"/>
  <c r="U57" i="16"/>
  <c r="V57" i="16"/>
  <c r="W57" i="16"/>
  <c r="X57" i="16"/>
  <c r="Y57" i="16"/>
  <c r="Z57" i="16"/>
  <c r="AA57" i="16"/>
  <c r="AB57" i="16"/>
  <c r="AC57" i="16"/>
  <c r="T58" i="16"/>
  <c r="U58" i="16"/>
  <c r="V58" i="16"/>
  <c r="W58" i="16"/>
  <c r="X58" i="16"/>
  <c r="Y58" i="16"/>
  <c r="Z58" i="16"/>
  <c r="AA58" i="16"/>
  <c r="AB58" i="16"/>
  <c r="AC58" i="16"/>
  <c r="AC53" i="16"/>
  <c r="AB53" i="16"/>
  <c r="AA53" i="16"/>
  <c r="Z53" i="16"/>
  <c r="Y53" i="16"/>
  <c r="X53" i="16"/>
  <c r="W53" i="16"/>
  <c r="V53" i="16"/>
  <c r="U53" i="16"/>
  <c r="T53" i="16"/>
  <c r="G228" i="13"/>
  <c r="H228" i="13"/>
  <c r="H227" i="13" s="1"/>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G208" i="13"/>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G184"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G167"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G149" i="13"/>
  <c r="G144" i="13"/>
  <c r="AQ144" i="13" s="1"/>
  <c r="G128" i="13"/>
  <c r="G125" i="13"/>
  <c r="H125" i="13"/>
  <c r="I125" i="13"/>
  <c r="J125" i="13"/>
  <c r="K125" i="13"/>
  <c r="L125" i="13"/>
  <c r="M125" i="13"/>
  <c r="N125" i="13"/>
  <c r="O125" i="13"/>
  <c r="P125" i="13"/>
  <c r="Q125" i="13"/>
  <c r="R125" i="13"/>
  <c r="S125" i="13"/>
  <c r="T125" i="13"/>
  <c r="V125" i="13"/>
  <c r="W125" i="13"/>
  <c r="X125" i="13"/>
  <c r="Y125" i="13"/>
  <c r="Z125" i="13"/>
  <c r="AA125" i="13"/>
  <c r="AB125" i="13"/>
  <c r="AC125" i="13"/>
  <c r="AD125" i="13"/>
  <c r="AE125" i="13"/>
  <c r="AF125" i="13"/>
  <c r="AG125" i="13"/>
  <c r="AH125" i="13"/>
  <c r="AI125" i="13"/>
  <c r="AJ125" i="13"/>
  <c r="AK125" i="13"/>
  <c r="AL125" i="13"/>
  <c r="AM125" i="13"/>
  <c r="AN125" i="13"/>
  <c r="AO125" i="13"/>
  <c r="AP125" i="13"/>
  <c r="G118" i="13"/>
  <c r="H118" i="13"/>
  <c r="I118" i="13"/>
  <c r="J118" i="13"/>
  <c r="K118" i="13"/>
  <c r="L118" i="13"/>
  <c r="M118" i="13"/>
  <c r="N118" i="13"/>
  <c r="O118" i="13"/>
  <c r="P118" i="13"/>
  <c r="Q118" i="13"/>
  <c r="R118" i="13"/>
  <c r="S118" i="13"/>
  <c r="T118" i="13"/>
  <c r="V118" i="13"/>
  <c r="W118" i="13"/>
  <c r="X118" i="13"/>
  <c r="Y118" i="13"/>
  <c r="Z118" i="13"/>
  <c r="AA118" i="13"/>
  <c r="AB118" i="13"/>
  <c r="AC118" i="13"/>
  <c r="AD118" i="13"/>
  <c r="AE118" i="13"/>
  <c r="AF118" i="13"/>
  <c r="AG118" i="13"/>
  <c r="AH118" i="13"/>
  <c r="AI118" i="13"/>
  <c r="AJ118" i="13"/>
  <c r="AK118" i="13"/>
  <c r="AL118" i="13"/>
  <c r="AM118" i="13"/>
  <c r="AN118" i="13"/>
  <c r="AO118" i="13"/>
  <c r="AP118" i="13"/>
  <c r="AP113" i="13"/>
  <c r="AO113" i="13"/>
  <c r="AN113" i="13"/>
  <c r="AM113" i="13"/>
  <c r="AL113" i="13"/>
  <c r="AK113" i="13"/>
  <c r="AJ113" i="13"/>
  <c r="AI113" i="13"/>
  <c r="AH113" i="13"/>
  <c r="AG113" i="13"/>
  <c r="AF113" i="13"/>
  <c r="AE113" i="13"/>
  <c r="AD113" i="13"/>
  <c r="AC113" i="13"/>
  <c r="AB113" i="13"/>
  <c r="AA113" i="13"/>
  <c r="Z113" i="13"/>
  <c r="Y113" i="13"/>
  <c r="X113" i="13"/>
  <c r="W113" i="13"/>
  <c r="V113" i="13"/>
  <c r="T113" i="13"/>
  <c r="S113" i="13"/>
  <c r="R113" i="13"/>
  <c r="Q113" i="13"/>
  <c r="P113" i="13"/>
  <c r="O113" i="13"/>
  <c r="N113" i="13"/>
  <c r="M113" i="13"/>
  <c r="L113" i="13"/>
  <c r="K113" i="13"/>
  <c r="J113" i="13"/>
  <c r="I113" i="13"/>
  <c r="H113" i="13"/>
  <c r="G113" i="13"/>
  <c r="AP108" i="13"/>
  <c r="AO108" i="13"/>
  <c r="AN108" i="13"/>
  <c r="AM108" i="13"/>
  <c r="AL108" i="13"/>
  <c r="AK108" i="13"/>
  <c r="AJ108" i="13"/>
  <c r="AI108" i="13"/>
  <c r="AH108" i="13"/>
  <c r="AG108" i="13"/>
  <c r="AF108" i="13"/>
  <c r="AE108" i="13"/>
  <c r="AD108" i="13"/>
  <c r="AC108" i="13"/>
  <c r="AB108" i="13"/>
  <c r="AA108" i="13"/>
  <c r="Z108" i="13"/>
  <c r="Y108" i="13"/>
  <c r="X108" i="13"/>
  <c r="W108" i="13"/>
  <c r="V108" i="13"/>
  <c r="T108" i="13"/>
  <c r="S108" i="13"/>
  <c r="R108" i="13"/>
  <c r="Q108" i="13"/>
  <c r="P108" i="13"/>
  <c r="O108" i="13"/>
  <c r="N108" i="13"/>
  <c r="M108" i="13"/>
  <c r="L108" i="13"/>
  <c r="K108" i="13"/>
  <c r="J108" i="13"/>
  <c r="I108" i="13"/>
  <c r="H108" i="13"/>
  <c r="G108" i="13"/>
  <c r="AP102" i="13"/>
  <c r="AO102" i="13"/>
  <c r="AN102" i="13"/>
  <c r="AM102" i="13"/>
  <c r="AL102" i="13"/>
  <c r="AK102" i="13"/>
  <c r="AJ102" i="13"/>
  <c r="AI102" i="13"/>
  <c r="AH102" i="13"/>
  <c r="AG102" i="13"/>
  <c r="AF102" i="13"/>
  <c r="AE102" i="13"/>
  <c r="AD102" i="13"/>
  <c r="AC102" i="13"/>
  <c r="AB102" i="13"/>
  <c r="AA102" i="13"/>
  <c r="Z102" i="13"/>
  <c r="Y102" i="13"/>
  <c r="X102" i="13"/>
  <c r="W102" i="13"/>
  <c r="V102" i="13"/>
  <c r="T102" i="13"/>
  <c r="S102" i="13"/>
  <c r="R102" i="13"/>
  <c r="Q102" i="13"/>
  <c r="P102" i="13"/>
  <c r="O102" i="13"/>
  <c r="N102" i="13"/>
  <c r="M102" i="13"/>
  <c r="L102" i="13"/>
  <c r="K102" i="13"/>
  <c r="J102" i="13"/>
  <c r="I102" i="13"/>
  <c r="H102" i="13"/>
  <c r="G102" i="13"/>
  <c r="AP95" i="13"/>
  <c r="AO95" i="13"/>
  <c r="AN95" i="13"/>
  <c r="AM95" i="13"/>
  <c r="AL95" i="13"/>
  <c r="AK95" i="13"/>
  <c r="AJ95" i="13"/>
  <c r="AI95" i="13"/>
  <c r="AH95" i="13"/>
  <c r="AG95" i="13"/>
  <c r="AF95" i="13"/>
  <c r="AE95" i="13"/>
  <c r="AD95" i="13"/>
  <c r="AC95" i="13"/>
  <c r="AB95" i="13"/>
  <c r="AA95" i="13"/>
  <c r="Z95" i="13"/>
  <c r="Y95" i="13"/>
  <c r="X95" i="13"/>
  <c r="W95" i="13"/>
  <c r="V95" i="13"/>
  <c r="T95" i="13"/>
  <c r="S95" i="13"/>
  <c r="R95" i="13"/>
  <c r="Q95" i="13"/>
  <c r="P95" i="13"/>
  <c r="O95" i="13"/>
  <c r="N95" i="13"/>
  <c r="M95" i="13"/>
  <c r="L95" i="13"/>
  <c r="K95" i="13"/>
  <c r="J95" i="13"/>
  <c r="I95" i="13"/>
  <c r="H95" i="13"/>
  <c r="G95" i="13"/>
  <c r="AP91" i="13"/>
  <c r="AO91" i="13"/>
  <c r="AN91" i="13"/>
  <c r="AM91" i="13"/>
  <c r="AL91" i="13"/>
  <c r="AK91" i="13"/>
  <c r="AJ91" i="13"/>
  <c r="AI91" i="13"/>
  <c r="AH91" i="13"/>
  <c r="AG91" i="13"/>
  <c r="AF91" i="13"/>
  <c r="AE91" i="13"/>
  <c r="AD91" i="13"/>
  <c r="AC91" i="13"/>
  <c r="AB91" i="13"/>
  <c r="AA91" i="13"/>
  <c r="Z91" i="13"/>
  <c r="Y91" i="13"/>
  <c r="X91" i="13"/>
  <c r="W91" i="13"/>
  <c r="V91" i="13"/>
  <c r="T91" i="13"/>
  <c r="S91" i="13"/>
  <c r="R91" i="13"/>
  <c r="Q91" i="13"/>
  <c r="P91" i="13"/>
  <c r="O91" i="13"/>
  <c r="N91" i="13"/>
  <c r="M91" i="13"/>
  <c r="L91" i="13"/>
  <c r="K91" i="13"/>
  <c r="J91" i="13"/>
  <c r="I91" i="13"/>
  <c r="H91" i="13"/>
  <c r="G91" i="13"/>
  <c r="AP86" i="13"/>
  <c r="AO86" i="13"/>
  <c r="AN86" i="13"/>
  <c r="AM86" i="13"/>
  <c r="AL86" i="13"/>
  <c r="AK86" i="13"/>
  <c r="AJ86" i="13"/>
  <c r="AI86" i="13"/>
  <c r="AH86" i="13"/>
  <c r="AG86" i="13"/>
  <c r="AF86" i="13"/>
  <c r="AE86" i="13"/>
  <c r="AD86" i="13"/>
  <c r="AC86" i="13"/>
  <c r="AB86" i="13"/>
  <c r="AA86" i="13"/>
  <c r="Z86" i="13"/>
  <c r="Y86" i="13"/>
  <c r="X86" i="13"/>
  <c r="W86" i="13"/>
  <c r="V86" i="13"/>
  <c r="S86" i="13"/>
  <c r="R86" i="13"/>
  <c r="Q86" i="13"/>
  <c r="P86" i="13"/>
  <c r="O86" i="13"/>
  <c r="N86" i="13"/>
  <c r="M86" i="13"/>
  <c r="L86" i="13"/>
  <c r="K86" i="13"/>
  <c r="J86" i="13"/>
  <c r="I86" i="13"/>
  <c r="H86" i="13"/>
  <c r="G86" i="13"/>
  <c r="AP82" i="13"/>
  <c r="AO82" i="13"/>
  <c r="AN82" i="13"/>
  <c r="AM82" i="13"/>
  <c r="AL82" i="13"/>
  <c r="AK82" i="13"/>
  <c r="AJ82" i="13"/>
  <c r="AI82" i="13"/>
  <c r="AH82" i="13"/>
  <c r="AG82" i="13"/>
  <c r="AF82" i="13"/>
  <c r="AE82" i="13"/>
  <c r="AD82" i="13"/>
  <c r="AC82" i="13"/>
  <c r="AB82" i="13"/>
  <c r="AA82" i="13"/>
  <c r="Z82" i="13"/>
  <c r="Y82" i="13"/>
  <c r="X82" i="13"/>
  <c r="W82" i="13"/>
  <c r="V82" i="13"/>
  <c r="T82" i="13"/>
  <c r="S82" i="13"/>
  <c r="R82" i="13"/>
  <c r="Q82" i="13"/>
  <c r="P82" i="13"/>
  <c r="O82" i="13"/>
  <c r="N82" i="13"/>
  <c r="M82" i="13"/>
  <c r="L82" i="13"/>
  <c r="K82" i="13"/>
  <c r="J82" i="13"/>
  <c r="I82" i="13"/>
  <c r="H82" i="13"/>
  <c r="G82" i="13"/>
  <c r="AP78" i="13"/>
  <c r="AO78" i="13"/>
  <c r="AN78" i="13"/>
  <c r="AM78" i="13"/>
  <c r="AL78" i="13"/>
  <c r="AK78" i="13"/>
  <c r="AJ78" i="13"/>
  <c r="AI78" i="13"/>
  <c r="AH78" i="13"/>
  <c r="AG78" i="13"/>
  <c r="AF78" i="13"/>
  <c r="AE78" i="13"/>
  <c r="AD78" i="13"/>
  <c r="AC78" i="13"/>
  <c r="AB78" i="13"/>
  <c r="AA78" i="13"/>
  <c r="Z78" i="13"/>
  <c r="Y78" i="13"/>
  <c r="X78" i="13"/>
  <c r="W78" i="13"/>
  <c r="V78" i="13"/>
  <c r="T78" i="13"/>
  <c r="S78" i="13"/>
  <c r="R78" i="13"/>
  <c r="Q78" i="13"/>
  <c r="P78" i="13"/>
  <c r="O78" i="13"/>
  <c r="N78" i="13"/>
  <c r="M78" i="13"/>
  <c r="L78" i="13"/>
  <c r="K78" i="13"/>
  <c r="J78" i="13"/>
  <c r="I78" i="13"/>
  <c r="H78" i="13"/>
  <c r="G78" i="13"/>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X70" i="13"/>
  <c r="X69" i="13" s="1"/>
  <c r="X68" i="13" s="1"/>
  <c r="W70" i="13"/>
  <c r="W69" i="13" s="1"/>
  <c r="W68" i="13" s="1"/>
  <c r="V70" i="13"/>
  <c r="V69" i="13" s="1"/>
  <c r="V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G70" i="13"/>
  <c r="G69" i="13" s="1"/>
  <c r="G68" i="13" s="1"/>
  <c r="AI69" i="13"/>
  <c r="AI68"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X65" i="13"/>
  <c r="X64" i="13" s="1"/>
  <c r="X63" i="13" s="1"/>
  <c r="X62" i="13" s="1"/>
  <c r="W65" i="13"/>
  <c r="W64" i="13" s="1"/>
  <c r="W63" i="13" s="1"/>
  <c r="W62" i="13" s="1"/>
  <c r="V65" i="13"/>
  <c r="V64" i="13" s="1"/>
  <c r="V63" i="13" s="1"/>
  <c r="V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H63" i="13" s="1"/>
  <c r="H62" i="13" s="1"/>
  <c r="G65" i="13"/>
  <c r="G64"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V54" i="13"/>
  <c r="V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H53" i="13" s="1"/>
  <c r="G54" i="13"/>
  <c r="AO48" i="13"/>
  <c r="AN48" i="13"/>
  <c r="AM48" i="13"/>
  <c r="AL48" i="13"/>
  <c r="AK48" i="13"/>
  <c r="AJ48" i="13"/>
  <c r="AI48" i="13"/>
  <c r="AH48" i="13"/>
  <c r="AG48" i="13"/>
  <c r="AF48" i="13"/>
  <c r="AE48" i="13"/>
  <c r="AD48" i="13"/>
  <c r="AC48" i="13"/>
  <c r="AB48" i="13"/>
  <c r="AA48" i="13"/>
  <c r="Z48" i="13"/>
  <c r="Y48" i="13"/>
  <c r="X48" i="13"/>
  <c r="W48" i="13"/>
  <c r="V48" i="13"/>
  <c r="T48" i="13"/>
  <c r="S48" i="13"/>
  <c r="R48" i="13"/>
  <c r="Q48" i="13"/>
  <c r="P48" i="13"/>
  <c r="O48" i="13"/>
  <c r="N48" i="13"/>
  <c r="M48" i="13"/>
  <c r="L48" i="13"/>
  <c r="K48" i="13"/>
  <c r="J48" i="13"/>
  <c r="I48" i="13"/>
  <c r="H48" i="13"/>
  <c r="G48" i="13"/>
  <c r="AP41" i="13"/>
  <c r="AO41" i="13"/>
  <c r="AN41" i="13"/>
  <c r="AM41" i="13"/>
  <c r="AL41" i="13"/>
  <c r="AK41" i="13"/>
  <c r="AJ41" i="13"/>
  <c r="AI41" i="13"/>
  <c r="AH41" i="13"/>
  <c r="AG41" i="13"/>
  <c r="AF41" i="13"/>
  <c r="AE41" i="13"/>
  <c r="AD41" i="13"/>
  <c r="AC41" i="13"/>
  <c r="AB41" i="13"/>
  <c r="AA41" i="13"/>
  <c r="Z41" i="13"/>
  <c r="Y41" i="13"/>
  <c r="X41" i="13"/>
  <c r="W41" i="13"/>
  <c r="V41" i="13"/>
  <c r="T41" i="13"/>
  <c r="S41" i="13"/>
  <c r="R41" i="13"/>
  <c r="Q41" i="13"/>
  <c r="P41" i="13"/>
  <c r="O41" i="13"/>
  <c r="N41" i="13"/>
  <c r="M41" i="13"/>
  <c r="L41" i="13"/>
  <c r="K41" i="13"/>
  <c r="J41" i="13"/>
  <c r="I41" i="13"/>
  <c r="H41" i="13"/>
  <c r="G41" i="13"/>
  <c r="AP33" i="13"/>
  <c r="AO33" i="13"/>
  <c r="AN33" i="13"/>
  <c r="AM33" i="13"/>
  <c r="AL33" i="13"/>
  <c r="AK33" i="13"/>
  <c r="AJ33" i="13"/>
  <c r="AI33" i="13"/>
  <c r="AH33" i="13"/>
  <c r="AG33" i="13"/>
  <c r="AF33" i="13"/>
  <c r="AE33" i="13"/>
  <c r="AD33" i="13"/>
  <c r="AC33" i="13"/>
  <c r="AB33" i="13"/>
  <c r="AA33" i="13"/>
  <c r="Z33" i="13"/>
  <c r="Y33" i="13"/>
  <c r="X33" i="13"/>
  <c r="W33" i="13"/>
  <c r="V33" i="13"/>
  <c r="T33" i="13"/>
  <c r="S33" i="13"/>
  <c r="R33" i="13"/>
  <c r="Q33" i="13"/>
  <c r="P33" i="13"/>
  <c r="O33" i="13"/>
  <c r="N33" i="13"/>
  <c r="M33" i="13"/>
  <c r="L33" i="13"/>
  <c r="K33" i="13"/>
  <c r="J33" i="13"/>
  <c r="I33" i="13"/>
  <c r="H33" i="13"/>
  <c r="G33" i="13"/>
  <c r="G29" i="13"/>
  <c r="G28" i="13" s="1"/>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V29" i="13"/>
  <c r="V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G24" i="13"/>
  <c r="H24" i="13"/>
  <c r="I24" i="13"/>
  <c r="J24" i="13"/>
  <c r="K24" i="13"/>
  <c r="L24" i="13"/>
  <c r="M24" i="13"/>
  <c r="N24" i="13"/>
  <c r="O24" i="13"/>
  <c r="P24" i="13"/>
  <c r="Q24" i="13"/>
  <c r="R24" i="13"/>
  <c r="S24" i="13"/>
  <c r="T24" i="13"/>
  <c r="V24" i="13"/>
  <c r="W24" i="13"/>
  <c r="X24" i="13"/>
  <c r="Y24" i="13"/>
  <c r="Z24" i="13"/>
  <c r="AA24" i="13"/>
  <c r="AB24" i="13"/>
  <c r="AC24" i="13"/>
  <c r="AD24" i="13"/>
  <c r="AE24" i="13"/>
  <c r="AF24" i="13"/>
  <c r="AG24" i="13"/>
  <c r="AH24" i="13"/>
  <c r="AI24" i="13"/>
  <c r="AJ24" i="13"/>
  <c r="AK24" i="13"/>
  <c r="AL24" i="13"/>
  <c r="AM24" i="13"/>
  <c r="AN24" i="13"/>
  <c r="AO24" i="13"/>
  <c r="AP24"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F24" i="13"/>
  <c r="G154" i="13"/>
  <c r="G134" i="13"/>
  <c r="G131" i="13"/>
  <c r="G178" i="13"/>
  <c r="H178" i="13"/>
  <c r="H177" i="13" s="1"/>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G171" i="13"/>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G160" i="13"/>
  <c r="H160" i="13"/>
  <c r="H148" i="13" s="1"/>
  <c r="H147" i="13" s="1"/>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V32" i="13" l="1"/>
  <c r="AD32" i="13"/>
  <c r="AH32" i="13"/>
  <c r="AL32" i="13"/>
  <c r="H32" i="13"/>
  <c r="L32" i="13"/>
  <c r="P32" i="13"/>
  <c r="AK32" i="13"/>
  <c r="J32" i="13"/>
  <c r="R32" i="13"/>
  <c r="AF32" i="13"/>
  <c r="AJ32" i="13"/>
  <c r="R71" i="16"/>
  <c r="AR129" i="13"/>
  <c r="AS129" i="13"/>
  <c r="AT129" i="13" s="1"/>
  <c r="R63" i="16"/>
  <c r="R75" i="16"/>
  <c r="R67" i="16"/>
  <c r="R58" i="16"/>
  <c r="AN19" i="13"/>
  <c r="AF19" i="13"/>
  <c r="X19" i="13"/>
  <c r="T19" i="13"/>
  <c r="H19" i="13"/>
  <c r="G143" i="13"/>
  <c r="R86" i="16"/>
  <c r="AQ134" i="13"/>
  <c r="R81" i="16"/>
  <c r="AQ154" i="13"/>
  <c r="R91" i="16"/>
  <c r="AJ19" i="13"/>
  <c r="AB19" i="13"/>
  <c r="P19" i="13"/>
  <c r="L19" i="13"/>
  <c r="L18" i="13" s="1"/>
  <c r="L17" i="13" s="1"/>
  <c r="L16" i="13" s="1"/>
  <c r="L15" i="13" s="1"/>
  <c r="AQ128" i="13"/>
  <c r="R77" i="16"/>
  <c r="R96" i="16"/>
  <c r="R103" i="16"/>
  <c r="R108" i="16"/>
  <c r="R79" i="16"/>
  <c r="AQ131" i="13"/>
  <c r="AQ125" i="13"/>
  <c r="AQ149" i="13"/>
  <c r="R87" i="16"/>
  <c r="R100" i="16"/>
  <c r="R111" i="16"/>
  <c r="R125" i="16"/>
  <c r="G227" i="13"/>
  <c r="AQ228" i="13"/>
  <c r="R140" i="16"/>
  <c r="Z32" i="13"/>
  <c r="N32" i="13"/>
  <c r="AO19" i="13"/>
  <c r="AK19" i="13"/>
  <c r="AG19" i="13"/>
  <c r="AC19" i="13"/>
  <c r="Y19" i="13"/>
  <c r="U19" i="13"/>
  <c r="Q19" i="13"/>
  <c r="M19" i="13"/>
  <c r="I19" i="13"/>
  <c r="AM19" i="13"/>
  <c r="AE19" i="13"/>
  <c r="W19" i="13"/>
  <c r="K19" i="13"/>
  <c r="AE77" i="13"/>
  <c r="AE76" i="13" s="1"/>
  <c r="AA19" i="13"/>
  <c r="S19" i="13"/>
  <c r="O19" i="13"/>
  <c r="AP19" i="13"/>
  <c r="AL19" i="13"/>
  <c r="AH19" i="13"/>
  <c r="AH18" i="13" s="1"/>
  <c r="AH17" i="13" s="1"/>
  <c r="AH16" i="13" s="1"/>
  <c r="AH15" i="13" s="1"/>
  <c r="AD19" i="13"/>
  <c r="Z19" i="13"/>
  <c r="V19" i="13"/>
  <c r="R19" i="13"/>
  <c r="N19" i="13"/>
  <c r="G19" i="13"/>
  <c r="AQ20" i="13"/>
  <c r="X32" i="13"/>
  <c r="AN32" i="13"/>
  <c r="AP32" i="13"/>
  <c r="AI19" i="13"/>
  <c r="J19" i="13"/>
  <c r="T32" i="13"/>
  <c r="AB32" i="13"/>
  <c r="AC77" i="13"/>
  <c r="AC76" i="13" s="1"/>
  <c r="I77" i="13"/>
  <c r="I76" i="13" s="1"/>
  <c r="M77" i="13"/>
  <c r="M76" i="13" s="1"/>
  <c r="Q77" i="13"/>
  <c r="Q76" i="13" s="1"/>
  <c r="Y77" i="13"/>
  <c r="Y76" i="13" s="1"/>
  <c r="AG77" i="13"/>
  <c r="AG76" i="13" s="1"/>
  <c r="AK77" i="13"/>
  <c r="AK76" i="13" s="1"/>
  <c r="AO77" i="13"/>
  <c r="AO76" i="13" s="1"/>
  <c r="J77" i="13"/>
  <c r="J76" i="13" s="1"/>
  <c r="AM77" i="13"/>
  <c r="AM76" i="13" s="1"/>
  <c r="AI77" i="13"/>
  <c r="AI76" i="13" s="1"/>
  <c r="AA77" i="13"/>
  <c r="AA76" i="13" s="1"/>
  <c r="W77" i="13"/>
  <c r="W76" i="13" s="1"/>
  <c r="S77" i="13"/>
  <c r="S76" i="13" s="1"/>
  <c r="O77" i="13"/>
  <c r="O76" i="13" s="1"/>
  <c r="AQ65" i="13"/>
  <c r="AQ70" i="13"/>
  <c r="I32" i="13"/>
  <c r="M32" i="13"/>
  <c r="Q32" i="13"/>
  <c r="Y32" i="13"/>
  <c r="AC32" i="13"/>
  <c r="AG32" i="13"/>
  <c r="AO32" i="13"/>
  <c r="AN77" i="13"/>
  <c r="AN76" i="13" s="1"/>
  <c r="AJ77" i="13"/>
  <c r="AJ76" i="13" s="1"/>
  <c r="AF77" i="13"/>
  <c r="AF76" i="13" s="1"/>
  <c r="AB77" i="13"/>
  <c r="AB76" i="13" s="1"/>
  <c r="X77" i="13"/>
  <c r="X76" i="13" s="1"/>
  <c r="T77" i="13"/>
  <c r="T76" i="13" s="1"/>
  <c r="P77" i="13"/>
  <c r="P76" i="13" s="1"/>
  <c r="L77" i="13"/>
  <c r="L76" i="13" s="1"/>
  <c r="AQ41" i="13"/>
  <c r="AQ54" i="13"/>
  <c r="G53" i="13"/>
  <c r="AQ53" i="13" s="1"/>
  <c r="AQ64" i="13"/>
  <c r="G63" i="13"/>
  <c r="AN166" i="13"/>
  <c r="AN165" i="13" s="1"/>
  <c r="AJ166" i="13"/>
  <c r="AJ165" i="13" s="1"/>
  <c r="AF166" i="13"/>
  <c r="AF165" i="13" s="1"/>
  <c r="AB166" i="13"/>
  <c r="AB165" i="13" s="1"/>
  <c r="X166" i="13"/>
  <c r="X165" i="13" s="1"/>
  <c r="T166" i="13"/>
  <c r="T165" i="13" s="1"/>
  <c r="P166" i="13"/>
  <c r="P165" i="13" s="1"/>
  <c r="L166" i="13"/>
  <c r="L165" i="13" s="1"/>
  <c r="H166" i="13"/>
  <c r="H165" i="13" s="1"/>
  <c r="AQ24" i="13"/>
  <c r="AR24" i="13" s="1"/>
  <c r="AQ28" i="13"/>
  <c r="AQ171" i="13"/>
  <c r="AM166" i="13"/>
  <c r="AM165" i="13" s="1"/>
  <c r="AE166" i="13"/>
  <c r="AE165" i="13" s="1"/>
  <c r="W166" i="13"/>
  <c r="W165" i="13" s="1"/>
  <c r="O166" i="13"/>
  <c r="O165" i="13" s="1"/>
  <c r="G166" i="13"/>
  <c r="AQ167" i="13"/>
  <c r="G32" i="13"/>
  <c r="AQ48" i="13"/>
  <c r="K32" i="13"/>
  <c r="O32" i="13"/>
  <c r="S32" i="13"/>
  <c r="W32" i="13"/>
  <c r="AA32" i="13"/>
  <c r="AE32" i="13"/>
  <c r="AI32" i="13"/>
  <c r="AM32" i="13"/>
  <c r="G177" i="13"/>
  <c r="AQ177" i="13" s="1"/>
  <c r="AQ178" i="13"/>
  <c r="G148" i="13"/>
  <c r="AI166" i="13"/>
  <c r="AI165" i="13" s="1"/>
  <c r="AA166" i="13"/>
  <c r="AA165" i="13" s="1"/>
  <c r="S166" i="13"/>
  <c r="S165" i="13" s="1"/>
  <c r="K166" i="13"/>
  <c r="K165" i="13" s="1"/>
  <c r="K77" i="13"/>
  <c r="K76" i="13" s="1"/>
  <c r="G77" i="13"/>
  <c r="G76" i="13" s="1"/>
  <c r="AP77" i="13"/>
  <c r="AP76" i="13" s="1"/>
  <c r="AL77" i="13"/>
  <c r="AL76" i="13" s="1"/>
  <c r="AH77" i="13"/>
  <c r="AH76" i="13" s="1"/>
  <c r="AD77" i="13"/>
  <c r="AD76" i="13" s="1"/>
  <c r="Z77" i="13"/>
  <c r="Z76" i="13" s="1"/>
  <c r="V77" i="13"/>
  <c r="V76" i="13" s="1"/>
  <c r="R77" i="13"/>
  <c r="R76" i="13" s="1"/>
  <c r="N77" i="13"/>
  <c r="N76" i="13" s="1"/>
  <c r="AP166" i="13"/>
  <c r="AP165" i="13" s="1"/>
  <c r="AL166" i="13"/>
  <c r="AL165" i="13" s="1"/>
  <c r="AH166" i="13"/>
  <c r="AH165" i="13" s="1"/>
  <c r="AD166" i="13"/>
  <c r="AD165" i="13" s="1"/>
  <c r="Z166" i="13"/>
  <c r="Z165" i="13" s="1"/>
  <c r="V166" i="13"/>
  <c r="V165" i="13" s="1"/>
  <c r="R166" i="13"/>
  <c r="R165" i="13" s="1"/>
  <c r="N166" i="13"/>
  <c r="N165" i="13" s="1"/>
  <c r="J166" i="13"/>
  <c r="J165" i="13" s="1"/>
  <c r="H77" i="13"/>
  <c r="H76" i="13" s="1"/>
  <c r="AO166" i="13"/>
  <c r="AO165" i="13" s="1"/>
  <c r="AK166" i="13"/>
  <c r="AK165" i="13" s="1"/>
  <c r="AG166" i="13"/>
  <c r="AG165" i="13" s="1"/>
  <c r="AC166" i="13"/>
  <c r="AC165" i="13" s="1"/>
  <c r="Y166" i="13"/>
  <c r="Y165" i="13" s="1"/>
  <c r="U166" i="13"/>
  <c r="U165" i="13" s="1"/>
  <c r="Q166" i="13"/>
  <c r="Q165" i="13" s="1"/>
  <c r="M166" i="13"/>
  <c r="M165" i="13" s="1"/>
  <c r="I166" i="13"/>
  <c r="I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1"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U4" i="16"/>
  <c r="T71" i="16"/>
  <c r="S71" i="16"/>
  <c r="S58" i="16"/>
  <c r="S57" i="16"/>
  <c r="T143" i="16"/>
  <c r="T142" i="16"/>
  <c r="T141" i="16"/>
  <c r="T140" i="16"/>
  <c r="T139" i="16"/>
  <c r="T138" i="16"/>
  <c r="T137" i="16"/>
  <c r="T136" i="16"/>
  <c r="T135" i="16"/>
  <c r="T134" i="16"/>
  <c r="T133" i="16"/>
  <c r="T132" i="16"/>
  <c r="T131" i="16"/>
  <c r="T130" i="16"/>
  <c r="T129" i="16"/>
  <c r="T128" i="16"/>
  <c r="T127" i="16"/>
  <c r="T126" i="16"/>
  <c r="T125" i="16"/>
  <c r="T124" i="16"/>
  <c r="T123" i="16"/>
  <c r="T122" i="16"/>
  <c r="T121" i="16"/>
  <c r="T120" i="16"/>
  <c r="T119" i="16"/>
  <c r="T118" i="16"/>
  <c r="T117" i="16"/>
  <c r="T116" i="16"/>
  <c r="T115" i="16"/>
  <c r="T114" i="16"/>
  <c r="T113" i="16"/>
  <c r="T112" i="16"/>
  <c r="T111" i="16"/>
  <c r="T110" i="16"/>
  <c r="T109" i="16"/>
  <c r="T108" i="16"/>
  <c r="T107" i="16"/>
  <c r="T106" i="16"/>
  <c r="T105" i="16"/>
  <c r="T104" i="16"/>
  <c r="T103" i="16"/>
  <c r="T102" i="16"/>
  <c r="T101" i="16"/>
  <c r="T100" i="16"/>
  <c r="T99" i="16"/>
  <c r="T98" i="16"/>
  <c r="T97" i="16"/>
  <c r="T96" i="16"/>
  <c r="T95" i="16"/>
  <c r="T94" i="16"/>
  <c r="T93" i="16"/>
  <c r="T92" i="16"/>
  <c r="T91" i="16"/>
  <c r="T90" i="16"/>
  <c r="T89" i="16"/>
  <c r="T88" i="16"/>
  <c r="T87" i="16"/>
  <c r="T86" i="16"/>
  <c r="T85" i="16"/>
  <c r="T84" i="16"/>
  <c r="T83" i="16"/>
  <c r="T82" i="16"/>
  <c r="T81" i="16"/>
  <c r="T80" i="16"/>
  <c r="T79" i="16"/>
  <c r="T78" i="16"/>
  <c r="T77" i="16"/>
  <c r="T76" i="16"/>
  <c r="T75" i="16"/>
  <c r="T74" i="16"/>
  <c r="T73" i="16"/>
  <c r="T72" i="16"/>
  <c r="T70" i="16"/>
  <c r="T69" i="16"/>
  <c r="T68" i="16"/>
  <c r="T67" i="16"/>
  <c r="T66" i="16"/>
  <c r="T65" i="16"/>
  <c r="T64" i="16"/>
  <c r="T63" i="16"/>
  <c r="T62" i="16"/>
  <c r="T61" i="16"/>
  <c r="T60" i="16"/>
  <c r="T59"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AK18" i="13" l="1"/>
  <c r="AK17" i="13" s="1"/>
  <c r="AK16" i="13" s="1"/>
  <c r="AK15" i="13" s="1"/>
  <c r="J18" i="13"/>
  <c r="J17" i="13" s="1"/>
  <c r="J16" i="13" s="1"/>
  <c r="J15" i="13" s="1"/>
  <c r="R18" i="13"/>
  <c r="R17" i="13" s="1"/>
  <c r="R16" i="13" s="1"/>
  <c r="R15" i="13" s="1"/>
  <c r="H18" i="13"/>
  <c r="H17" i="13" s="1"/>
  <c r="H16" i="13" s="1"/>
  <c r="H15" i="13" s="1"/>
  <c r="Y18" i="13"/>
  <c r="Y17" i="13" s="1"/>
  <c r="Y16" i="13" s="1"/>
  <c r="Y15" i="13" s="1"/>
  <c r="V18" i="13"/>
  <c r="V17" i="13" s="1"/>
  <c r="V16" i="13" s="1"/>
  <c r="V15" i="13" s="1"/>
  <c r="AD18" i="13"/>
  <c r="AD17" i="13" s="1"/>
  <c r="AD16" i="13" s="1"/>
  <c r="AD15" i="13" s="1"/>
  <c r="P18" i="13"/>
  <c r="P17" i="13" s="1"/>
  <c r="P16" i="13" s="1"/>
  <c r="P15" i="13" s="1"/>
  <c r="AL18" i="13"/>
  <c r="AL17" i="13" s="1"/>
  <c r="AL16" i="13" s="1"/>
  <c r="AL15" i="13" s="1"/>
  <c r="AF18" i="13"/>
  <c r="AF17" i="13" s="1"/>
  <c r="AF16" i="13" s="1"/>
  <c r="AF15" i="13" s="1"/>
  <c r="AJ18" i="13"/>
  <c r="AJ17" i="13" s="1"/>
  <c r="AJ16" i="13" s="1"/>
  <c r="AJ15" i="13" s="1"/>
  <c r="S18" i="13"/>
  <c r="S17" i="13" s="1"/>
  <c r="S16" i="13" s="1"/>
  <c r="S15" i="13" s="1"/>
  <c r="AG18" i="13"/>
  <c r="AG17" i="13" s="1"/>
  <c r="AG16" i="13" s="1"/>
  <c r="AG15" i="13" s="1"/>
  <c r="AB18" i="13"/>
  <c r="AB17" i="13" s="1"/>
  <c r="AB16" i="13" s="1"/>
  <c r="AB15" i="13" s="1"/>
  <c r="AN18" i="13"/>
  <c r="AN17" i="13" s="1"/>
  <c r="AN16" i="13" s="1"/>
  <c r="AN15" i="13" s="1"/>
  <c r="N18" i="13"/>
  <c r="N17" i="13" s="1"/>
  <c r="N16" i="13" s="1"/>
  <c r="N15" i="13" s="1"/>
  <c r="AA18" i="13"/>
  <c r="AA17" i="13" s="1"/>
  <c r="AA16" i="13" s="1"/>
  <c r="AA15" i="13" s="1"/>
  <c r="Q18" i="13"/>
  <c r="Q17" i="13" s="1"/>
  <c r="Q16" i="13" s="1"/>
  <c r="Q15" i="13" s="1"/>
  <c r="D10" i="25"/>
  <c r="D38" i="25" s="1"/>
  <c r="J38" i="25" s="1"/>
  <c r="J39" i="25" s="1"/>
  <c r="D10" i="14"/>
  <c r="D17" i="25"/>
  <c r="I18" i="13"/>
  <c r="I17" i="13" s="1"/>
  <c r="I16" i="13" s="1"/>
  <c r="I15" i="13" s="1"/>
  <c r="Z18" i="13"/>
  <c r="Z17" i="13" s="1"/>
  <c r="Z16" i="13" s="1"/>
  <c r="Z15" i="13" s="1"/>
  <c r="X18" i="13"/>
  <c r="X17" i="13" s="1"/>
  <c r="X16" i="13" s="1"/>
  <c r="X15" i="13" s="1"/>
  <c r="G142" i="13"/>
  <c r="AQ143" i="13"/>
  <c r="T18" i="13"/>
  <c r="T17" i="13" s="1"/>
  <c r="T16" i="13" s="1"/>
  <c r="T15" i="13" s="1"/>
  <c r="AO18" i="13"/>
  <c r="AO17" i="13" s="1"/>
  <c r="AO16" i="13" s="1"/>
  <c r="AO15" i="13" s="1"/>
  <c r="U18" i="13"/>
  <c r="U17" i="13" s="1"/>
  <c r="U16" i="13" s="1"/>
  <c r="U15" i="13" s="1"/>
  <c r="M18" i="13"/>
  <c r="M17" i="13" s="1"/>
  <c r="M16" i="13" s="1"/>
  <c r="M15" i="13" s="1"/>
  <c r="AC18" i="13"/>
  <c r="AC17" i="13" s="1"/>
  <c r="AC16" i="13" s="1"/>
  <c r="AC15" i="13" s="1"/>
  <c r="AP18" i="13"/>
  <c r="AP17" i="13" s="1"/>
  <c r="AP16" i="13" s="1"/>
  <c r="AP15" i="13" s="1"/>
  <c r="AM18" i="13"/>
  <c r="AM17" i="13" s="1"/>
  <c r="AM16" i="13" s="1"/>
  <c r="AM15" i="13" s="1"/>
  <c r="G18" i="13"/>
  <c r="G17" i="13" s="1"/>
  <c r="K18" i="13"/>
  <c r="K17" i="13" s="1"/>
  <c r="K16" i="13" s="1"/>
  <c r="K15" i="13" s="1"/>
  <c r="O18" i="13"/>
  <c r="O17" i="13" s="1"/>
  <c r="O16" i="13" s="1"/>
  <c r="O15" i="13" s="1"/>
  <c r="W18" i="13"/>
  <c r="W17" i="13" s="1"/>
  <c r="W16" i="13" s="1"/>
  <c r="W15" i="13" s="1"/>
  <c r="AE18" i="13"/>
  <c r="AE17" i="13" s="1"/>
  <c r="AE16" i="13" s="1"/>
  <c r="AE15" i="13" s="1"/>
  <c r="AI18" i="13"/>
  <c r="AI17" i="13" s="1"/>
  <c r="AI16" i="13" s="1"/>
  <c r="AI15" i="13" s="1"/>
  <c r="G165" i="13"/>
  <c r="G147" i="13"/>
  <c r="AQ63" i="13"/>
  <c r="G62" i="13"/>
  <c r="AQ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G141" i="13"/>
  <c r="AQ141" i="13" s="1"/>
  <c r="AQ142" i="13"/>
  <c r="AQ18" i="13"/>
  <c r="G16" i="13"/>
  <c r="AQ17" i="13"/>
  <c r="G343" i="21"/>
  <c r="G122" i="21"/>
  <c r="G115" i="21" s="1"/>
  <c r="G114" i="21" s="1"/>
  <c r="G12" i="21" s="1"/>
  <c r="C7" i="21" s="1"/>
  <c r="U144" i="16"/>
  <c r="V144" i="16"/>
  <c r="W144" i="16"/>
  <c r="X144" i="16"/>
  <c r="Y144" i="16"/>
  <c r="Z144" i="16"/>
  <c r="AA144" i="16"/>
  <c r="AB144" i="16"/>
  <c r="AC144" i="16"/>
  <c r="S143" i="16"/>
  <c r="S142" i="16"/>
  <c r="S141" i="16"/>
  <c r="S140" i="16"/>
  <c r="S139" i="16"/>
  <c r="S138" i="16"/>
  <c r="S137" i="16"/>
  <c r="S136" i="16"/>
  <c r="S135" i="16"/>
  <c r="S134" i="16"/>
  <c r="S133" i="16"/>
  <c r="S132" i="16"/>
  <c r="S131" i="16"/>
  <c r="S130" i="16"/>
  <c r="S129" i="16"/>
  <c r="S128" i="16"/>
  <c r="S127" i="16"/>
  <c r="AI127" i="16" s="1"/>
  <c r="AK127" i="16" s="1"/>
  <c r="AL127" i="16" s="1"/>
  <c r="S126" i="16"/>
  <c r="S125" i="16"/>
  <c r="S124" i="16"/>
  <c r="S123" i="16"/>
  <c r="S122" i="16"/>
  <c r="S121" i="16"/>
  <c r="AI121" i="16" s="1"/>
  <c r="AK121" i="16" s="1"/>
  <c r="AL121" i="16" s="1"/>
  <c r="S120" i="16"/>
  <c r="S119" i="16"/>
  <c r="S118" i="16"/>
  <c r="S117" i="16"/>
  <c r="S116" i="16"/>
  <c r="S115" i="16"/>
  <c r="S114" i="16"/>
  <c r="S113" i="16"/>
  <c r="S112" i="16"/>
  <c r="S111" i="16"/>
  <c r="S110" i="16"/>
  <c r="S109" i="16"/>
  <c r="S108" i="16"/>
  <c r="S107" i="16"/>
  <c r="S106" i="16"/>
  <c r="S105" i="16"/>
  <c r="S104" i="16"/>
  <c r="S103" i="16"/>
  <c r="S102" i="16"/>
  <c r="S101" i="16"/>
  <c r="AI101" i="16" s="1"/>
  <c r="AK101" i="16" s="1"/>
  <c r="AL101" i="16" s="1"/>
  <c r="S100" i="16"/>
  <c r="S99" i="16"/>
  <c r="S98" i="16"/>
  <c r="S97" i="16"/>
  <c r="AI97" i="16" s="1"/>
  <c r="AK97" i="16" s="1"/>
  <c r="AL97" i="16" s="1"/>
  <c r="S96" i="16"/>
  <c r="S95" i="16"/>
  <c r="S94" i="16"/>
  <c r="S93" i="16"/>
  <c r="S92" i="16"/>
  <c r="S91" i="16"/>
  <c r="S90" i="16"/>
  <c r="S89" i="16"/>
  <c r="S88" i="16"/>
  <c r="AI88" i="16" s="1"/>
  <c r="S87" i="16"/>
  <c r="S86" i="16"/>
  <c r="S85" i="16"/>
  <c r="S84" i="16"/>
  <c r="AI84" i="16" s="1"/>
  <c r="S83" i="16"/>
  <c r="S82" i="16"/>
  <c r="S81" i="16"/>
  <c r="S80" i="16"/>
  <c r="S79" i="16"/>
  <c r="S78" i="16"/>
  <c r="S77" i="16"/>
  <c r="AI77" i="16" s="1"/>
  <c r="AK77" i="16" s="1"/>
  <c r="AL77" i="16" s="1"/>
  <c r="S75" i="16"/>
  <c r="S74" i="16"/>
  <c r="S73" i="16"/>
  <c r="S72" i="16"/>
  <c r="S70" i="16"/>
  <c r="S69" i="16"/>
  <c r="S68" i="16"/>
  <c r="S67" i="16"/>
  <c r="S66" i="16"/>
  <c r="S65" i="16"/>
  <c r="S64" i="16"/>
  <c r="S63" i="16"/>
  <c r="S62" i="16"/>
  <c r="S61" i="16"/>
  <c r="S60" i="16"/>
  <c r="S59" i="16"/>
  <c r="S56"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76" i="16"/>
  <c r="AI57" i="16"/>
  <c r="R143" i="16"/>
  <c r="R51" i="16"/>
  <c r="R52" i="16"/>
  <c r="R50" i="16"/>
  <c r="R47" i="16"/>
  <c r="R48" i="16"/>
  <c r="R49" i="16"/>
  <c r="R46" i="16"/>
  <c r="R45" i="16"/>
  <c r="R44" i="16"/>
  <c r="R43" i="16"/>
  <c r="R41" i="16"/>
  <c r="R42" i="16"/>
  <c r="R40" i="16"/>
  <c r="R36" i="16"/>
  <c r="R37" i="16"/>
  <c r="R38" i="16"/>
  <c r="R39" i="16"/>
  <c r="R34" i="16"/>
  <c r="R35" i="16"/>
  <c r="R33" i="16"/>
  <c r="R30" i="16"/>
  <c r="R31" i="16"/>
  <c r="R32" i="16"/>
  <c r="R29" i="16"/>
  <c r="R26" i="16"/>
  <c r="R27" i="16"/>
  <c r="R28" i="16"/>
  <c r="R25" i="16"/>
  <c r="R24" i="16"/>
  <c r="R20" i="16"/>
  <c r="R21" i="16"/>
  <c r="R22" i="16"/>
  <c r="R23" i="16"/>
  <c r="R19" i="16"/>
  <c r="R18" i="16"/>
  <c r="R13" i="16"/>
  <c r="R14" i="16"/>
  <c r="R15" i="16"/>
  <c r="R16" i="16"/>
  <c r="R17" i="16"/>
  <c r="R12" i="16"/>
  <c r="R11" i="16"/>
  <c r="R10" i="16"/>
  <c r="R8" i="16"/>
  <c r="R9" i="16"/>
  <c r="R7" i="16"/>
  <c r="R5" i="16"/>
  <c r="R6" i="16"/>
  <c r="R4" i="16"/>
  <c r="AI51" i="16" l="1"/>
  <c r="AK51" i="16" s="1"/>
  <c r="AL51" i="16" s="1"/>
  <c r="AI8" i="16"/>
  <c r="AI37" i="16"/>
  <c r="AK37" i="16" s="1"/>
  <c r="AL37" i="16" s="1"/>
  <c r="AI138" i="16"/>
  <c r="AK138" i="16" s="1"/>
  <c r="AL138" i="16" s="1"/>
  <c r="AI142" i="16"/>
  <c r="AJ142" i="16" s="1"/>
  <c r="G15" i="13"/>
  <c r="AQ15" i="13" s="1"/>
  <c r="AQ16" i="13"/>
  <c r="AI32" i="16"/>
  <c r="AK32" i="16" s="1"/>
  <c r="AL32" i="16" s="1"/>
  <c r="AI47" i="16"/>
  <c r="AJ47" i="16" s="1"/>
  <c r="AI20" i="16"/>
  <c r="AJ20" i="16" s="1"/>
  <c r="AI36" i="16"/>
  <c r="AJ36" i="16" s="1"/>
  <c r="AI56" i="16"/>
  <c r="AJ56" i="16" s="1"/>
  <c r="AI62" i="16"/>
  <c r="AK62" i="16" s="1"/>
  <c r="AL62" i="16" s="1"/>
  <c r="AI100" i="16"/>
  <c r="AK100" i="16" s="1"/>
  <c r="AL100" i="16" s="1"/>
  <c r="AI66" i="16"/>
  <c r="AK66" i="16" s="1"/>
  <c r="AL66" i="16" s="1"/>
  <c r="AI135" i="16"/>
  <c r="AK135" i="16" s="1"/>
  <c r="AL135" i="16" s="1"/>
  <c r="AI76" i="16"/>
  <c r="AJ76" i="16" s="1"/>
  <c r="AI12" i="16"/>
  <c r="AJ12" i="16" s="1"/>
  <c r="AI6" i="16"/>
  <c r="AI22" i="16"/>
  <c r="AJ22" i="16" s="1"/>
  <c r="AI38" i="16"/>
  <c r="AK38" i="16" s="1"/>
  <c r="AL38" i="16" s="1"/>
  <c r="AI42" i="16"/>
  <c r="AJ42" i="16" s="1"/>
  <c r="AI128" i="16"/>
  <c r="AJ128" i="16" s="1"/>
  <c r="AI85" i="16"/>
  <c r="AK85" i="16" s="1"/>
  <c r="AL85" i="16" s="1"/>
  <c r="AI124" i="16"/>
  <c r="AK124" i="16" s="1"/>
  <c r="AL124" i="16" s="1"/>
  <c r="AI89" i="16"/>
  <c r="AJ89" i="16" s="1"/>
  <c r="AI105" i="16"/>
  <c r="AJ105" i="16" s="1"/>
  <c r="AI23" i="16"/>
  <c r="AK23" i="16" s="1"/>
  <c r="AL23" i="16" s="1"/>
  <c r="AI61" i="16"/>
  <c r="AJ61" i="16" s="1"/>
  <c r="AI79" i="16"/>
  <c r="AK79" i="16" s="1"/>
  <c r="AL79" i="16" s="1"/>
  <c r="AI114" i="16"/>
  <c r="AK114" i="16" s="1"/>
  <c r="AL114" i="16" s="1"/>
  <c r="AI48" i="16"/>
  <c r="AK48" i="16" s="1"/>
  <c r="AL48" i="16" s="1"/>
  <c r="AI59" i="16"/>
  <c r="AK59" i="16" s="1"/>
  <c r="AL59" i="16" s="1"/>
  <c r="AI72" i="16"/>
  <c r="AJ72" i="16" s="1"/>
  <c r="AI93" i="16"/>
  <c r="AK93" i="16" s="1"/>
  <c r="AL93" i="16" s="1"/>
  <c r="AI143" i="16"/>
  <c r="AK143" i="16" s="1"/>
  <c r="AL143" i="16" s="1"/>
  <c r="AI10" i="16"/>
  <c r="AK10" i="16" s="1"/>
  <c r="AL10" i="16" s="1"/>
  <c r="AI18" i="16"/>
  <c r="AK18" i="16" s="1"/>
  <c r="AL18" i="16" s="1"/>
  <c r="AI64" i="16"/>
  <c r="AJ64" i="16" s="1"/>
  <c r="AI86" i="16"/>
  <c r="AJ86" i="16" s="1"/>
  <c r="AI34" i="16"/>
  <c r="AK34" i="16" s="1"/>
  <c r="AL34" i="16" s="1"/>
  <c r="AI46" i="16"/>
  <c r="AK46" i="16" s="1"/>
  <c r="AL46" i="16" s="1"/>
  <c r="AI103" i="16"/>
  <c r="AK103" i="16" s="1"/>
  <c r="AL103" i="16" s="1"/>
  <c r="AI132" i="16"/>
  <c r="AJ132" i="16" s="1"/>
  <c r="AI45" i="16"/>
  <c r="AJ45" i="16" s="1"/>
  <c r="AI53" i="16"/>
  <c r="AJ53" i="16" s="1"/>
  <c r="AI68" i="16"/>
  <c r="AK68" i="16" s="1"/>
  <c r="AL68" i="16" s="1"/>
  <c r="AI26" i="16"/>
  <c r="AJ26" i="16" s="1"/>
  <c r="AI30" i="16"/>
  <c r="AK30" i="16" s="1"/>
  <c r="AL30" i="16" s="1"/>
  <c r="AI110" i="16"/>
  <c r="AK110" i="16" s="1"/>
  <c r="AL110" i="16" s="1"/>
  <c r="AI29" i="16"/>
  <c r="AK29" i="16" s="1"/>
  <c r="AL29" i="16" s="1"/>
  <c r="AI14" i="16"/>
  <c r="AK14" i="16" s="1"/>
  <c r="AL14" i="16" s="1"/>
  <c r="S144" i="16"/>
  <c r="AI74" i="16"/>
  <c r="AJ74" i="16" s="1"/>
  <c r="AI129" i="16"/>
  <c r="AK129" i="16" s="1"/>
  <c r="AL129" i="16" s="1"/>
  <c r="AI24" i="16"/>
  <c r="AJ24" i="16" s="1"/>
  <c r="AI134" i="16"/>
  <c r="AJ134" i="16" s="1"/>
  <c r="AI87" i="16"/>
  <c r="AK87" i="16" s="1"/>
  <c r="AL87" i="16" s="1"/>
  <c r="AI40" i="16"/>
  <c r="AJ40" i="16" s="1"/>
  <c r="AI5" i="16"/>
  <c r="AI13" i="16"/>
  <c r="AK13" i="16" s="1"/>
  <c r="AL13" i="16" s="1"/>
  <c r="AI21" i="16"/>
  <c r="AK21" i="16" s="1"/>
  <c r="AL21" i="16" s="1"/>
  <c r="AI25" i="16"/>
  <c r="AJ25" i="16" s="1"/>
  <c r="AI41" i="16"/>
  <c r="AK41" i="16" s="1"/>
  <c r="AL41" i="16" s="1"/>
  <c r="AI44" i="16"/>
  <c r="AK44" i="16" s="1"/>
  <c r="AL44" i="16" s="1"/>
  <c r="AI78" i="16"/>
  <c r="AK78" i="16" s="1"/>
  <c r="AL78" i="16" s="1"/>
  <c r="AI90" i="16"/>
  <c r="AJ90" i="16" s="1"/>
  <c r="AI94" i="16"/>
  <c r="AK94" i="16" s="1"/>
  <c r="AL94" i="16" s="1"/>
  <c r="AI98" i="16"/>
  <c r="AK98" i="16" s="1"/>
  <c r="AL98" i="16" s="1"/>
  <c r="AI102" i="16"/>
  <c r="AJ102" i="16" s="1"/>
  <c r="AI106" i="16"/>
  <c r="AJ106" i="16" s="1"/>
  <c r="AI116" i="16"/>
  <c r="AJ116" i="16" s="1"/>
  <c r="AI125" i="16"/>
  <c r="AI140" i="16"/>
  <c r="AK140" i="16" s="1"/>
  <c r="AL140" i="16" s="1"/>
  <c r="AI104" i="16"/>
  <c r="AJ104" i="16" s="1"/>
  <c r="AI9" i="16"/>
  <c r="AI33" i="16"/>
  <c r="AK33" i="16" s="1"/>
  <c r="AL33" i="16" s="1"/>
  <c r="AI112" i="16"/>
  <c r="AJ112" i="16" s="1"/>
  <c r="AI123" i="16"/>
  <c r="AK123" i="16" s="1"/>
  <c r="AL123" i="16" s="1"/>
  <c r="AI126" i="16"/>
  <c r="AJ126" i="16" s="1"/>
  <c r="AI80" i="16"/>
  <c r="AJ80" i="16" s="1"/>
  <c r="AI108" i="16"/>
  <c r="AJ108" i="16" s="1"/>
  <c r="AI17" i="16"/>
  <c r="AK17" i="16" s="1"/>
  <c r="AL17" i="16" s="1"/>
  <c r="AI92" i="16"/>
  <c r="AJ92" i="16" s="1"/>
  <c r="AI54" i="16"/>
  <c r="AK54" i="16" s="1"/>
  <c r="AL54" i="16" s="1"/>
  <c r="AI50" i="16"/>
  <c r="AK50" i="16" s="1"/>
  <c r="AL50" i="16" s="1"/>
  <c r="AI137" i="16"/>
  <c r="AK137" i="16" s="1"/>
  <c r="AL137" i="16" s="1"/>
  <c r="AI141" i="16"/>
  <c r="AK141" i="16" s="1"/>
  <c r="AL141" i="16" s="1"/>
  <c r="AI19" i="16"/>
  <c r="AJ19" i="16" s="1"/>
  <c r="AI91" i="16"/>
  <c r="AK91" i="16" s="1"/>
  <c r="AL91" i="16" s="1"/>
  <c r="AI95" i="16"/>
  <c r="AK95" i="16" s="1"/>
  <c r="AL95" i="16" s="1"/>
  <c r="AI99" i="16"/>
  <c r="AK99" i="16" s="1"/>
  <c r="AL99" i="16" s="1"/>
  <c r="AI39" i="16"/>
  <c r="AK39" i="16" s="1"/>
  <c r="AL39" i="16" s="1"/>
  <c r="AI49" i="16"/>
  <c r="AK49" i="16" s="1"/>
  <c r="AL49" i="16" s="1"/>
  <c r="AI63" i="16"/>
  <c r="AK63" i="16" s="1"/>
  <c r="AL63" i="16" s="1"/>
  <c r="AI27" i="16"/>
  <c r="AK27" i="16" s="1"/>
  <c r="AL27" i="16" s="1"/>
  <c r="AI31" i="16"/>
  <c r="AJ31" i="16" s="1"/>
  <c r="AI35" i="16"/>
  <c r="AJ35" i="16" s="1"/>
  <c r="AI67" i="16"/>
  <c r="AK67" i="16" s="1"/>
  <c r="AL67" i="16" s="1"/>
  <c r="AI71" i="16"/>
  <c r="AK71" i="16" s="1"/>
  <c r="AL71" i="16" s="1"/>
  <c r="AI75" i="16"/>
  <c r="AK75" i="16" s="1"/>
  <c r="AL75" i="16" s="1"/>
  <c r="AI107" i="16"/>
  <c r="AK107" i="16" s="1"/>
  <c r="AL107" i="16" s="1"/>
  <c r="AI111" i="16"/>
  <c r="AK111" i="16" s="1"/>
  <c r="AL111" i="16" s="1"/>
  <c r="AI7" i="16"/>
  <c r="AI133" i="16"/>
  <c r="AK133" i="16" s="1"/>
  <c r="AL133" i="16" s="1"/>
  <c r="AI52" i="16"/>
  <c r="AK52" i="16" s="1"/>
  <c r="AL52" i="16" s="1"/>
  <c r="AI65" i="16"/>
  <c r="AK65" i="16" s="1"/>
  <c r="AL65" i="16" s="1"/>
  <c r="AI73" i="16"/>
  <c r="AK73" i="16" s="1"/>
  <c r="AL73" i="16" s="1"/>
  <c r="AK57" i="16"/>
  <c r="AL57" i="16" s="1"/>
  <c r="AJ57" i="16"/>
  <c r="AI70" i="16"/>
  <c r="AJ70" i="16" s="1"/>
  <c r="AI96" i="16"/>
  <c r="AJ96" i="16" s="1"/>
  <c r="AI118" i="16"/>
  <c r="AJ118" i="16" s="1"/>
  <c r="AI16" i="16"/>
  <c r="AJ16" i="16" s="1"/>
  <c r="AI28" i="16"/>
  <c r="AJ28" i="16" s="1"/>
  <c r="AI69" i="16"/>
  <c r="AK69" i="16" s="1"/>
  <c r="AL69" i="16" s="1"/>
  <c r="AI82" i="16"/>
  <c r="AJ82" i="16" s="1"/>
  <c r="AI130" i="16"/>
  <c r="AJ130" i="16" s="1"/>
  <c r="AI81" i="16"/>
  <c r="AK81" i="16" s="1"/>
  <c r="AL81" i="16" s="1"/>
  <c r="AI109" i="16"/>
  <c r="AK109" i="16" s="1"/>
  <c r="AL109" i="16" s="1"/>
  <c r="AI11" i="16"/>
  <c r="AK11" i="16" s="1"/>
  <c r="AL11" i="16" s="1"/>
  <c r="AI15" i="16"/>
  <c r="AK15" i="16" s="1"/>
  <c r="AL15" i="16" s="1"/>
  <c r="AI43" i="16"/>
  <c r="AK43" i="16" s="1"/>
  <c r="AL43" i="16" s="1"/>
  <c r="AI60" i="16"/>
  <c r="AJ60" i="16" s="1"/>
  <c r="AI119" i="16"/>
  <c r="AJ119" i="16" s="1"/>
  <c r="AJ121" i="16"/>
  <c r="AI4" i="16"/>
  <c r="AJ77" i="16"/>
  <c r="AJ88" i="16"/>
  <c r="AK88" i="16"/>
  <c r="AL88" i="16" s="1"/>
  <c r="AJ84" i="16"/>
  <c r="AK84" i="16"/>
  <c r="AL84" i="16" s="1"/>
  <c r="AJ51" i="16"/>
  <c r="AJ97" i="16"/>
  <c r="AJ127" i="16"/>
  <c r="AJ101" i="16"/>
  <c r="AJ37" i="16" l="1"/>
  <c r="AK142" i="16"/>
  <c r="AL142" i="16" s="1"/>
  <c r="AJ138" i="16"/>
  <c r="AJ32" i="16"/>
  <c r="AJ135" i="16"/>
  <c r="AK47" i="16"/>
  <c r="AL47" i="16" s="1"/>
  <c r="AK56" i="16"/>
  <c r="AL56" i="16" s="1"/>
  <c r="AJ62" i="16"/>
  <c r="AK22" i="16"/>
  <c r="AL22" i="16" s="1"/>
  <c r="AJ100" i="16"/>
  <c r="AK20" i="16"/>
  <c r="AL20" i="16" s="1"/>
  <c r="AK76" i="16"/>
  <c r="AL76" i="16" s="1"/>
  <c r="AK36" i="16"/>
  <c r="AL36" i="16" s="1"/>
  <c r="AJ66" i="16"/>
  <c r="AJ59" i="16"/>
  <c r="AK12" i="16"/>
  <c r="AL12" i="16" s="1"/>
  <c r="AJ143" i="16"/>
  <c r="AK72" i="16"/>
  <c r="AL72" i="16" s="1"/>
  <c r="AK45" i="16"/>
  <c r="AL45" i="16" s="1"/>
  <c r="AK128" i="16"/>
  <c r="AL128" i="16" s="1"/>
  <c r="AJ10" i="16"/>
  <c r="AK61" i="16"/>
  <c r="AL61" i="16" s="1"/>
  <c r="AK26" i="16"/>
  <c r="AL26" i="16" s="1"/>
  <c r="AK53" i="16"/>
  <c r="AL53" i="16" s="1"/>
  <c r="AK89" i="16"/>
  <c r="AL89" i="16" s="1"/>
  <c r="AJ30" i="16"/>
  <c r="AJ38" i="16"/>
  <c r="AJ79" i="16"/>
  <c r="AK134" i="16"/>
  <c r="AL134" i="16" s="1"/>
  <c r="AK105" i="16"/>
  <c r="AL105" i="16" s="1"/>
  <c r="AJ85" i="16"/>
  <c r="AK74" i="16"/>
  <c r="AL74" i="16" s="1"/>
  <c r="AJ34" i="16"/>
  <c r="AJ23" i="16"/>
  <c r="AK42" i="16"/>
  <c r="AL42" i="16" s="1"/>
  <c r="AJ68" i="16"/>
  <c r="AK64" i="16"/>
  <c r="AL64" i="16" s="1"/>
  <c r="AJ114" i="16"/>
  <c r="AJ93" i="16"/>
  <c r="AK24" i="16"/>
  <c r="AL24" i="16" s="1"/>
  <c r="AK132" i="16"/>
  <c r="AL132" i="16" s="1"/>
  <c r="AJ29" i="16"/>
  <c r="AJ14" i="16"/>
  <c r="AJ48" i="16"/>
  <c r="AJ124" i="16"/>
  <c r="AK86" i="16"/>
  <c r="AL86" i="16" s="1"/>
  <c r="AJ41" i="16"/>
  <c r="AJ46" i="16"/>
  <c r="AK40" i="16"/>
  <c r="AL40" i="16" s="1"/>
  <c r="AJ87" i="16"/>
  <c r="AJ103" i="16"/>
  <c r="AK25" i="16"/>
  <c r="AL25" i="16" s="1"/>
  <c r="AJ129" i="16"/>
  <c r="AJ18" i="16"/>
  <c r="AJ110" i="16"/>
  <c r="AK125" i="16"/>
  <c r="AL125" i="16" s="1"/>
  <c r="AJ125" i="16"/>
  <c r="AJ13" i="16"/>
  <c r="AJ44" i="16"/>
  <c r="AJ21" i="16"/>
  <c r="AJ67" i="16"/>
  <c r="AJ49" i="16"/>
  <c r="AJ78" i="16"/>
  <c r="AK108" i="16"/>
  <c r="AL108" i="16" s="1"/>
  <c r="AK4" i="16"/>
  <c r="AL4" i="16" s="1"/>
  <c r="AJ65" i="16"/>
  <c r="AJ133" i="16"/>
  <c r="AJ123" i="16"/>
  <c r="AJ107" i="16"/>
  <c r="AK90" i="16"/>
  <c r="AL90" i="16" s="1"/>
  <c r="AK106" i="16"/>
  <c r="AL106" i="16" s="1"/>
  <c r="AK102" i="16"/>
  <c r="AL102" i="16" s="1"/>
  <c r="AK35" i="16"/>
  <c r="AL35" i="16" s="1"/>
  <c r="AJ63" i="16"/>
  <c r="AJ17" i="16"/>
  <c r="AK16" i="16"/>
  <c r="AL16" i="16" s="1"/>
  <c r="AJ140" i="16"/>
  <c r="AJ94" i="16"/>
  <c r="AK92" i="16"/>
  <c r="AL92" i="16" s="1"/>
  <c r="AK126" i="16"/>
  <c r="AL126" i="16" s="1"/>
  <c r="AK112" i="16"/>
  <c r="AL112" i="16" s="1"/>
  <c r="AJ95" i="16"/>
  <c r="AJ33" i="16"/>
  <c r="AJ98" i="16"/>
  <c r="AK116" i="16"/>
  <c r="AL116" i="16" s="1"/>
  <c r="AK104" i="16"/>
  <c r="AL104" i="16" s="1"/>
  <c r="AK19" i="16"/>
  <c r="AL19" i="16" s="1"/>
  <c r="AK80" i="16"/>
  <c r="AL80" i="16" s="1"/>
  <c r="AK31" i="16"/>
  <c r="AL31" i="16" s="1"/>
  <c r="AJ54" i="16"/>
  <c r="AJ52" i="16"/>
  <c r="AJ75" i="16"/>
  <c r="AJ39" i="16"/>
  <c r="AK130" i="16"/>
  <c r="AL130" i="16" s="1"/>
  <c r="AJ91" i="16"/>
  <c r="AJ50" i="16"/>
  <c r="AJ99" i="16"/>
  <c r="AJ111" i="16"/>
  <c r="AK28" i="16"/>
  <c r="AL28" i="16" s="1"/>
  <c r="AJ27" i="16"/>
  <c r="AJ71" i="16"/>
  <c r="AJ141" i="16"/>
  <c r="AJ137" i="16"/>
  <c r="AK118" i="16"/>
  <c r="AL118" i="16" s="1"/>
  <c r="AJ11" i="16"/>
  <c r="AJ4" i="16"/>
  <c r="AJ43" i="16"/>
  <c r="AK82" i="16"/>
  <c r="AL82" i="16" s="1"/>
  <c r="AK119" i="16"/>
  <c r="AL119" i="16" s="1"/>
  <c r="AK70" i="16"/>
  <c r="AL70" i="16" s="1"/>
  <c r="AK96" i="16"/>
  <c r="AL96" i="16" s="1"/>
  <c r="AJ81" i="16"/>
  <c r="AJ15" i="16"/>
  <c r="AJ69" i="16"/>
  <c r="AJ73" i="16"/>
  <c r="AK60" i="16"/>
  <c r="AL60" i="16" s="1"/>
  <c r="AJ109" i="16"/>
  <c r="AQ23" i="13"/>
  <c r="AR23" i="13" s="1"/>
  <c r="AQ22" i="13"/>
  <c r="AR22" i="13" s="1"/>
  <c r="AQ21" i="13"/>
  <c r="AR21" i="13" s="1"/>
  <c r="C29" i="14" l="1"/>
  <c r="F228" i="13"/>
  <c r="F225" i="13"/>
  <c r="F221" i="13"/>
  <c r="F215" i="13"/>
  <c r="F208" i="13"/>
  <c r="F200" i="13"/>
  <c r="F197" i="13"/>
  <c r="F193" i="13"/>
  <c r="F190" i="13"/>
  <c r="F187" i="13"/>
  <c r="F184" i="13"/>
  <c r="F178" i="13"/>
  <c r="F171" i="13"/>
  <c r="F167" i="13"/>
  <c r="F160" i="13"/>
  <c r="F154" i="13"/>
  <c r="F149" i="13"/>
  <c r="F144" i="13"/>
  <c r="F137" i="13"/>
  <c r="C9" i="25" s="1"/>
  <c r="F134" i="13"/>
  <c r="F131" i="13"/>
  <c r="F128" i="13"/>
  <c r="F125" i="13"/>
  <c r="F118" i="13"/>
  <c r="F102" i="13"/>
  <c r="F108" i="13"/>
  <c r="F113" i="13"/>
  <c r="F95" i="13"/>
  <c r="F91" i="13"/>
  <c r="F86" i="13"/>
  <c r="F82" i="13"/>
  <c r="F78" i="13"/>
  <c r="F65" i="13"/>
  <c r="F54" i="13"/>
  <c r="F48" i="13"/>
  <c r="AR48" i="13" s="1"/>
  <c r="F41" i="13"/>
  <c r="AR41" i="13" s="1"/>
  <c r="F33" i="13"/>
  <c r="F28" i="13"/>
  <c r="F20" i="13"/>
  <c r="C35" i="14"/>
  <c r="C37" i="14" s="1"/>
  <c r="E45" i="14"/>
  <c r="Q5" i="16"/>
  <c r="Q6" i="16"/>
  <c r="Q7" i="16"/>
  <c r="Q8" i="16"/>
  <c r="AJ8" i="16" s="1"/>
  <c r="Q9" i="16"/>
  <c r="B3" i="17"/>
  <c r="B1" i="17"/>
  <c r="C23" i="25" l="1"/>
  <c r="C20" i="25"/>
  <c r="C17" i="25"/>
  <c r="E17" i="25" s="1"/>
  <c r="C22" i="25"/>
  <c r="C15" i="25"/>
  <c r="C19" i="25"/>
  <c r="C21" i="25" s="1"/>
  <c r="AS125" i="13"/>
  <c r="AT125" i="13" s="1"/>
  <c r="C8" i="25"/>
  <c r="C11" i="25"/>
  <c r="C10" i="25"/>
  <c r="F17" i="25"/>
  <c r="G17" i="25" s="1"/>
  <c r="C16" i="25"/>
  <c r="C7" i="25"/>
  <c r="F53" i="13"/>
  <c r="AR53" i="13" s="1"/>
  <c r="AR54" i="13"/>
  <c r="AS65" i="13"/>
  <c r="AT65" i="13" s="1"/>
  <c r="AR65" i="13"/>
  <c r="AS128" i="13"/>
  <c r="AT128" i="13" s="1"/>
  <c r="AR128" i="13"/>
  <c r="F68" i="13"/>
  <c r="AR70" i="13"/>
  <c r="AS131" i="13"/>
  <c r="AT131" i="13" s="1"/>
  <c r="AR131" i="13"/>
  <c r="AS149" i="13"/>
  <c r="AT149" i="13" s="1"/>
  <c r="AR149" i="13"/>
  <c r="F227" i="13"/>
  <c r="AS228" i="13"/>
  <c r="AR28" i="13"/>
  <c r="AS28" i="13"/>
  <c r="F143" i="13"/>
  <c r="AS144" i="13"/>
  <c r="AT144" i="13" s="1"/>
  <c r="AR144" i="13"/>
  <c r="F19" i="13"/>
  <c r="AR20" i="13"/>
  <c r="AR134" i="13"/>
  <c r="AS134" i="13"/>
  <c r="AT134" i="13" s="1"/>
  <c r="AS154" i="13"/>
  <c r="AT154" i="13" s="1"/>
  <c r="AR154" i="13"/>
  <c r="F124" i="13"/>
  <c r="F123" i="13" s="1"/>
  <c r="AK8" i="16"/>
  <c r="AL8" i="16" s="1"/>
  <c r="AK7" i="16"/>
  <c r="AL7" i="16" s="1"/>
  <c r="AJ7" i="16"/>
  <c r="F148" i="13"/>
  <c r="AS171" i="13"/>
  <c r="AT171" i="13" s="1"/>
  <c r="AR171" i="13"/>
  <c r="AK9" i="16"/>
  <c r="AL9" i="16" s="1"/>
  <c r="AJ9" i="16"/>
  <c r="AJ5" i="16"/>
  <c r="AK5" i="16"/>
  <c r="AL5" i="16" s="1"/>
  <c r="F64" i="13"/>
  <c r="AR64" i="13" s="1"/>
  <c r="AK6" i="16"/>
  <c r="AL6" i="16" s="1"/>
  <c r="AJ6" i="16"/>
  <c r="AS48" i="13"/>
  <c r="AT48" i="13" s="1"/>
  <c r="F77" i="13"/>
  <c r="F76" i="13" s="1"/>
  <c r="F177" i="13"/>
  <c r="AR178" i="13"/>
  <c r="AS178" i="13"/>
  <c r="AT178" i="13" s="1"/>
  <c r="F207" i="13"/>
  <c r="F206" i="13" s="1"/>
  <c r="F205" i="13" s="1"/>
  <c r="F204" i="13" s="1"/>
  <c r="F32" i="13"/>
  <c r="F183" i="13"/>
  <c r="F182" i="13" s="1"/>
  <c r="F166" i="13"/>
  <c r="Q144" i="16"/>
  <c r="F165" i="13" l="1"/>
  <c r="C24" i="25"/>
  <c r="C18" i="25"/>
  <c r="C14" i="25"/>
  <c r="F10" i="25"/>
  <c r="G10" i="25" s="1"/>
  <c r="E10" i="25"/>
  <c r="F18" i="13"/>
  <c r="AR18" i="13" s="1"/>
  <c r="F67" i="13"/>
  <c r="F142" i="13"/>
  <c r="AS143" i="13"/>
  <c r="AT143" i="13" s="1"/>
  <c r="AR143" i="13"/>
  <c r="F147" i="13"/>
  <c r="AR177" i="13"/>
  <c r="AS177" i="13"/>
  <c r="AT177" i="13" s="1"/>
  <c r="F63" i="13"/>
  <c r="AR63" i="13" s="1"/>
  <c r="AS64" i="13"/>
  <c r="AT64" i="13" s="1"/>
  <c r="C10" i="14"/>
  <c r="C7" i="14"/>
  <c r="C25" i="25" l="1"/>
  <c r="F17" i="13"/>
  <c r="F16" i="13" s="1"/>
  <c r="F141" i="13"/>
  <c r="AS142" i="13"/>
  <c r="AT142" i="13" s="1"/>
  <c r="AR142" i="13"/>
  <c r="F146" i="13"/>
  <c r="F62" i="13"/>
  <c r="AR62" i="13" s="1"/>
  <c r="AS63" i="13"/>
  <c r="AT63" i="13" s="1"/>
  <c r="E47" i="14"/>
  <c r="E48" i="14"/>
  <c r="E42" i="14"/>
  <c r="C49" i="14"/>
  <c r="AR17" i="13" l="1"/>
  <c r="AS141" i="13"/>
  <c r="AT141" i="13" s="1"/>
  <c r="AR141" i="13"/>
  <c r="F15" i="13"/>
  <c r="AR15" i="13" s="1"/>
  <c r="AR16" i="13"/>
  <c r="AS62" i="13"/>
  <c r="AT62" i="13" s="1"/>
  <c r="F61" i="13"/>
  <c r="F45" i="14"/>
  <c r="F42" i="14"/>
  <c r="D52" i="14"/>
  <c r="D46" i="14"/>
  <c r="D49" i="14"/>
  <c r="F49" i="14" s="1"/>
  <c r="G49" i="14" s="1"/>
  <c r="F48" i="14"/>
  <c r="G48" i="14" s="1"/>
  <c r="F60" i="13" l="1"/>
  <c r="C51" i="14"/>
  <c r="F51" i="14" s="1"/>
  <c r="G51" i="14" s="1"/>
  <c r="C50" i="14"/>
  <c r="F50" i="14" s="1"/>
  <c r="G50" i="14" s="1"/>
  <c r="C44" i="14"/>
  <c r="C46" i="14" s="1"/>
  <c r="F46" i="14" s="1"/>
  <c r="F47" i="14"/>
  <c r="G47" i="14" s="1"/>
  <c r="C41" i="14"/>
  <c r="C43" i="14" s="1"/>
  <c r="C8" i="14"/>
  <c r="C9" i="14"/>
  <c r="A2" i="14"/>
  <c r="C21" i="14"/>
  <c r="C20" i="14"/>
  <c r="F14" i="13" l="1"/>
  <c r="Q146" i="16" s="1"/>
  <c r="B2" i="17"/>
  <c r="C2" i="20"/>
  <c r="C22" i="14"/>
  <c r="G46" i="14"/>
  <c r="E46" i="14"/>
  <c r="E51" i="14"/>
  <c r="C52" i="14"/>
  <c r="F52" i="14" s="1"/>
  <c r="E50" i="14"/>
  <c r="F44" i="14"/>
  <c r="E44" i="14"/>
  <c r="C53" i="14" l="1"/>
  <c r="E52" i="14"/>
  <c r="G52" i="14"/>
  <c r="C11" i="14"/>
  <c r="C12" i="14" s="1"/>
  <c r="C17" i="14"/>
  <c r="C18" i="14"/>
  <c r="C13" i="14"/>
  <c r="C14" i="14"/>
  <c r="C15" i="14"/>
  <c r="R7" i="7"/>
  <c r="R22" i="7"/>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J225"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J221"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J215"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J200"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J197"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J190"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J187" i="13"/>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V160" i="13"/>
  <c r="V148" i="13" s="1"/>
  <c r="V147" i="13" s="1"/>
  <c r="T160" i="13"/>
  <c r="T148" i="13" s="1"/>
  <c r="T147" i="13" s="1"/>
  <c r="S160" i="13"/>
  <c r="S148" i="13" s="1"/>
  <c r="S147" i="13" s="1"/>
  <c r="R160" i="13"/>
  <c r="R148" i="13" s="1"/>
  <c r="R147" i="13" s="1"/>
  <c r="Q160" i="13"/>
  <c r="Q148" i="13" s="1"/>
  <c r="Q147" i="13" s="1"/>
  <c r="P160" i="13"/>
  <c r="P148"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V124" i="13"/>
  <c r="V123" i="13" s="1"/>
  <c r="V67" i="13" s="1"/>
  <c r="T124" i="13"/>
  <c r="T123" i="13" s="1"/>
  <c r="T67" i="13" s="1"/>
  <c r="S124" i="13"/>
  <c r="S123" i="13" s="1"/>
  <c r="S67" i="13" s="1"/>
  <c r="R124" i="13"/>
  <c r="R123" i="13" s="1"/>
  <c r="R67" i="13" s="1"/>
  <c r="Q124" i="13"/>
  <c r="Q123" i="13" s="1"/>
  <c r="Q67" i="13" s="1"/>
  <c r="P124" i="13"/>
  <c r="O124" i="13"/>
  <c r="O123" i="13" s="1"/>
  <c r="O67" i="13" s="1"/>
  <c r="N124" i="13"/>
  <c r="N123" i="13" s="1"/>
  <c r="N67" i="13" s="1"/>
  <c r="M124" i="13"/>
  <c r="M123" i="13" s="1"/>
  <c r="M67" i="13" s="1"/>
  <c r="L124" i="13"/>
  <c r="L123" i="13" s="1"/>
  <c r="L67" i="13" s="1"/>
  <c r="K124" i="13"/>
  <c r="K123" i="13" s="1"/>
  <c r="K67" i="13" s="1"/>
  <c r="J124" i="13"/>
  <c r="J123" i="13" s="1"/>
  <c r="J67" i="13" s="1"/>
  <c r="I225" i="13"/>
  <c r="H225" i="13"/>
  <c r="I221" i="13"/>
  <c r="H221" i="13"/>
  <c r="I215" i="13"/>
  <c r="H215" i="13"/>
  <c r="I200" i="13"/>
  <c r="H200" i="13"/>
  <c r="I197" i="13"/>
  <c r="H197" i="13"/>
  <c r="I193" i="13"/>
  <c r="H193" i="13"/>
  <c r="I190" i="13"/>
  <c r="H190" i="13"/>
  <c r="I187" i="13"/>
  <c r="H187" i="13"/>
  <c r="I124" i="13"/>
  <c r="I123" i="13" s="1"/>
  <c r="I67" i="13" s="1"/>
  <c r="H124" i="13"/>
  <c r="H123" i="13" s="1"/>
  <c r="H67" i="13" s="1"/>
  <c r="G225" i="13"/>
  <c r="G221" i="13"/>
  <c r="G215" i="13"/>
  <c r="G200" i="13"/>
  <c r="G197" i="13"/>
  <c r="G193" i="13"/>
  <c r="G190" i="13"/>
  <c r="G187" i="13"/>
  <c r="G137" i="13"/>
  <c r="AS231" i="13"/>
  <c r="AT231" i="13" s="1"/>
  <c r="AR231" i="13"/>
  <c r="AS22" i="13"/>
  <c r="AT22" i="13" s="1"/>
  <c r="AS23" i="13"/>
  <c r="AT23" i="13" s="1"/>
  <c r="AQ25" i="13"/>
  <c r="AR25" i="13" s="1"/>
  <c r="AQ26" i="13"/>
  <c r="AQ27" i="13"/>
  <c r="AQ30" i="13"/>
  <c r="AQ31" i="13"/>
  <c r="AQ34" i="13"/>
  <c r="AQ35" i="13"/>
  <c r="AQ36" i="13"/>
  <c r="AQ37" i="13"/>
  <c r="AR37" i="13" s="1"/>
  <c r="AQ38" i="13"/>
  <c r="AQ39" i="13"/>
  <c r="AQ40" i="13"/>
  <c r="AQ42" i="13"/>
  <c r="AQ43" i="13"/>
  <c r="AQ44" i="13"/>
  <c r="AQ45" i="13"/>
  <c r="AR45" i="13" s="1"/>
  <c r="AQ46" i="13"/>
  <c r="AR46" i="13" s="1"/>
  <c r="AQ47" i="13"/>
  <c r="AQ49" i="13"/>
  <c r="AR49" i="13" s="1"/>
  <c r="AQ50" i="13"/>
  <c r="AQ51" i="13"/>
  <c r="AQ52" i="13"/>
  <c r="AQ55" i="13"/>
  <c r="AQ56" i="13"/>
  <c r="AQ57" i="13"/>
  <c r="AR57" i="13" s="1"/>
  <c r="AQ58" i="13"/>
  <c r="AQ59" i="13"/>
  <c r="AQ66" i="13"/>
  <c r="AQ71" i="13"/>
  <c r="AQ72" i="13"/>
  <c r="AQ73" i="13"/>
  <c r="AQ74" i="13"/>
  <c r="AQ75" i="13"/>
  <c r="AQ79" i="13"/>
  <c r="AQ80" i="13"/>
  <c r="AQ81" i="13"/>
  <c r="AR81" i="13" s="1"/>
  <c r="AQ83" i="13"/>
  <c r="AQ84" i="13"/>
  <c r="AQ85" i="13"/>
  <c r="AQ87" i="13"/>
  <c r="AQ88" i="13"/>
  <c r="AR88" i="13" s="1"/>
  <c r="AQ89" i="13"/>
  <c r="AQ90" i="13"/>
  <c r="AQ92" i="13"/>
  <c r="AR92" i="13" s="1"/>
  <c r="AQ93" i="13"/>
  <c r="AQ94" i="13"/>
  <c r="AQ96" i="13"/>
  <c r="AR96" i="13" s="1"/>
  <c r="AQ97" i="13"/>
  <c r="AR97" i="13" s="1"/>
  <c r="AQ99" i="13"/>
  <c r="AQ100" i="13"/>
  <c r="AR100" i="13" s="1"/>
  <c r="AQ101" i="13"/>
  <c r="AR101" i="13" s="1"/>
  <c r="AQ103" i="13"/>
  <c r="AS103" i="13" s="1"/>
  <c r="AT103" i="13" s="1"/>
  <c r="AQ104" i="13"/>
  <c r="AS104" i="13" s="1"/>
  <c r="AT104" i="13" s="1"/>
  <c r="AQ105" i="13"/>
  <c r="AQ106" i="13"/>
  <c r="AS106" i="13" s="1"/>
  <c r="AT106" i="13" s="1"/>
  <c r="AQ107" i="13"/>
  <c r="AS107" i="13" s="1"/>
  <c r="AT107" i="13" s="1"/>
  <c r="AQ109" i="13"/>
  <c r="AQ110" i="13"/>
  <c r="AR110" i="13" s="1"/>
  <c r="AQ111" i="13"/>
  <c r="AS111" i="13" s="1"/>
  <c r="AT111" i="13" s="1"/>
  <c r="AQ112" i="13"/>
  <c r="AS112" i="13" s="1"/>
  <c r="AT112" i="13" s="1"/>
  <c r="AQ114" i="13"/>
  <c r="AS114" i="13" s="1"/>
  <c r="AT114" i="13" s="1"/>
  <c r="AQ115" i="13"/>
  <c r="AS115" i="13" s="1"/>
  <c r="AT115" i="13" s="1"/>
  <c r="AQ116" i="13"/>
  <c r="AQ117" i="13"/>
  <c r="AQ119" i="13"/>
  <c r="AS119" i="13" s="1"/>
  <c r="AT119" i="13" s="1"/>
  <c r="AQ120" i="13"/>
  <c r="AS120" i="13" s="1"/>
  <c r="AT120" i="13" s="1"/>
  <c r="AQ121" i="13"/>
  <c r="AS121" i="13" s="1"/>
  <c r="AQ122" i="13"/>
  <c r="AS122" i="13" s="1"/>
  <c r="AT122" i="13" s="1"/>
  <c r="AQ127" i="13"/>
  <c r="AQ156" i="13"/>
  <c r="AS156" i="13" s="1"/>
  <c r="AT156" i="13" s="1"/>
  <c r="AQ157" i="13"/>
  <c r="AS157" i="13" s="1"/>
  <c r="AT157" i="13" s="1"/>
  <c r="AQ158" i="13"/>
  <c r="AQ159" i="13"/>
  <c r="AS159" i="13" s="1"/>
  <c r="AT159" i="13" s="1"/>
  <c r="AQ161" i="13"/>
  <c r="AS161" i="13" s="1"/>
  <c r="AT161" i="13" s="1"/>
  <c r="AQ162" i="13"/>
  <c r="AQ163" i="13"/>
  <c r="AS163" i="13" s="1"/>
  <c r="AT163" i="13" s="1"/>
  <c r="AQ164" i="13"/>
  <c r="AS164" i="13" s="1"/>
  <c r="AT164" i="13" s="1"/>
  <c r="AQ168" i="13"/>
  <c r="AS168" i="13" s="1"/>
  <c r="AT168" i="13" s="1"/>
  <c r="AQ169" i="13"/>
  <c r="AS169" i="13" s="1"/>
  <c r="AT169" i="13" s="1"/>
  <c r="AQ170" i="13"/>
  <c r="AQ172" i="13"/>
  <c r="AS172" i="13" s="1"/>
  <c r="AT172" i="13" s="1"/>
  <c r="AQ173" i="13"/>
  <c r="AS173" i="13" s="1"/>
  <c r="AT173" i="13" s="1"/>
  <c r="AQ174" i="13"/>
  <c r="AQ175" i="13"/>
  <c r="AS175" i="13" s="1"/>
  <c r="AT175" i="13" s="1"/>
  <c r="AQ176" i="13"/>
  <c r="AS176" i="13" s="1"/>
  <c r="AT176" i="13" s="1"/>
  <c r="AQ179" i="13"/>
  <c r="AS179" i="13" s="1"/>
  <c r="AT179" i="13" s="1"/>
  <c r="AQ180" i="13"/>
  <c r="AS180" i="13" s="1"/>
  <c r="AT180" i="13" s="1"/>
  <c r="AQ181" i="13"/>
  <c r="AS181" i="13" s="1"/>
  <c r="AT181" i="13" s="1"/>
  <c r="AQ185" i="13"/>
  <c r="AS185" i="13" s="1"/>
  <c r="AT185" i="13" s="1"/>
  <c r="AQ186" i="13"/>
  <c r="AQ188" i="13"/>
  <c r="AS188" i="13" s="1"/>
  <c r="AT188" i="13" s="1"/>
  <c r="AQ189" i="13"/>
  <c r="AQ191" i="13"/>
  <c r="AS191" i="13" s="1"/>
  <c r="AT191" i="13" s="1"/>
  <c r="AQ192" i="13"/>
  <c r="AQ194" i="13"/>
  <c r="AS194" i="13" s="1"/>
  <c r="AT194" i="13" s="1"/>
  <c r="AQ195" i="13"/>
  <c r="AQ196" i="13"/>
  <c r="AS196" i="13" s="1"/>
  <c r="AT196" i="13" s="1"/>
  <c r="AQ198" i="13"/>
  <c r="AQ199" i="13"/>
  <c r="AR199" i="13" s="1"/>
  <c r="AQ201" i="13"/>
  <c r="AQ202" i="13"/>
  <c r="AS202" i="13" s="1"/>
  <c r="AT202" i="13" s="1"/>
  <c r="AQ203" i="13"/>
  <c r="AS203" i="13" s="1"/>
  <c r="AT203" i="13" s="1"/>
  <c r="AQ209" i="13"/>
  <c r="AS209" i="13" s="1"/>
  <c r="AT209" i="13" s="1"/>
  <c r="AQ210" i="13"/>
  <c r="AS210" i="13" s="1"/>
  <c r="AT210" i="13" s="1"/>
  <c r="AQ211" i="13"/>
  <c r="AS211" i="13" s="1"/>
  <c r="AT211" i="13" s="1"/>
  <c r="AQ212" i="13"/>
  <c r="AQ213" i="13"/>
  <c r="AR213" i="13" s="1"/>
  <c r="AQ214" i="13"/>
  <c r="AS214" i="13" s="1"/>
  <c r="AT214" i="13" s="1"/>
  <c r="AQ216" i="13"/>
  <c r="AQ217" i="13"/>
  <c r="AS217" i="13" s="1"/>
  <c r="AT217" i="13" s="1"/>
  <c r="AQ218" i="13"/>
  <c r="AS218" i="13" s="1"/>
  <c r="AT218" i="13" s="1"/>
  <c r="AQ219" i="13"/>
  <c r="AS219" i="13" s="1"/>
  <c r="AT219" i="13" s="1"/>
  <c r="AQ220" i="13"/>
  <c r="AQ222" i="13"/>
  <c r="AS222" i="13" s="1"/>
  <c r="AT222" i="13" s="1"/>
  <c r="AQ223" i="13"/>
  <c r="AS223" i="13" s="1"/>
  <c r="AT223" i="13" s="1"/>
  <c r="AQ224" i="13"/>
  <c r="AQ226" i="13"/>
  <c r="AS226" i="13" s="1"/>
  <c r="AT226" i="13" s="1"/>
  <c r="AQ229" i="13"/>
  <c r="AS229" i="13" s="1"/>
  <c r="AT229" i="13" s="1"/>
  <c r="AQ230" i="13"/>
  <c r="AS230" i="13" s="1"/>
  <c r="AT230" i="13" s="1"/>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I207" i="13" l="1"/>
  <c r="I206" i="13" s="1"/>
  <c r="I205" i="13" s="1"/>
  <c r="I204" i="13" s="1"/>
  <c r="R115" i="16"/>
  <c r="AI115" i="16" s="1"/>
  <c r="AK115" i="16" s="1"/>
  <c r="AL115" i="16" s="1"/>
  <c r="R131" i="16"/>
  <c r="AI131" i="16" s="1"/>
  <c r="AK131" i="16" s="1"/>
  <c r="AL131" i="16" s="1"/>
  <c r="M183" i="13"/>
  <c r="M182" i="13" s="1"/>
  <c r="M146" i="13" s="1"/>
  <c r="M61" i="13" s="1"/>
  <c r="Q183" i="13"/>
  <c r="Q182" i="13" s="1"/>
  <c r="Q146" i="13" s="1"/>
  <c r="Q61" i="13" s="1"/>
  <c r="U183" i="13"/>
  <c r="U182" i="13" s="1"/>
  <c r="U146" i="13" s="1"/>
  <c r="U61" i="13" s="1"/>
  <c r="Y183" i="13"/>
  <c r="Y182" i="13" s="1"/>
  <c r="Y146" i="13" s="1"/>
  <c r="Y61" i="13" s="1"/>
  <c r="AC183" i="13"/>
  <c r="AC182" i="13" s="1"/>
  <c r="AC146" i="13" s="1"/>
  <c r="AC61" i="13" s="1"/>
  <c r="AG183" i="13"/>
  <c r="AG182" i="13" s="1"/>
  <c r="AG146" i="13" s="1"/>
  <c r="AG61" i="13" s="1"/>
  <c r="AK183" i="13"/>
  <c r="AK182" i="13" s="1"/>
  <c r="AK146" i="13" s="1"/>
  <c r="AK61"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R117" i="16"/>
  <c r="AI117" i="16" s="1"/>
  <c r="AK117" i="16" s="1"/>
  <c r="AL117" i="16" s="1"/>
  <c r="R136" i="16"/>
  <c r="AI136" i="16" s="1"/>
  <c r="AK136" i="16" s="1"/>
  <c r="AL136" i="16" s="1"/>
  <c r="AR84" i="13"/>
  <c r="D46" i="25"/>
  <c r="AS94" i="13"/>
  <c r="AT94" i="13" s="1"/>
  <c r="AR94" i="13"/>
  <c r="AS72" i="13"/>
  <c r="AT72" i="13" s="1"/>
  <c r="AR72" i="13"/>
  <c r="AS52" i="13"/>
  <c r="AT52" i="13" s="1"/>
  <c r="AR52" i="13"/>
  <c r="AS43" i="13"/>
  <c r="AT43" i="13" s="1"/>
  <c r="AR43" i="13"/>
  <c r="AS38" i="13"/>
  <c r="AT38" i="13" s="1"/>
  <c r="AR38" i="13"/>
  <c r="AS26" i="13"/>
  <c r="AT26" i="13" s="1"/>
  <c r="AR26" i="13"/>
  <c r="AJ115" i="16"/>
  <c r="AS87" i="13"/>
  <c r="AT87" i="13" s="1"/>
  <c r="AR87" i="13"/>
  <c r="AS74" i="13"/>
  <c r="AT74" i="13" s="1"/>
  <c r="AR74" i="13"/>
  <c r="AR66" i="13"/>
  <c r="AS66" i="13"/>
  <c r="AT66" i="13" s="1"/>
  <c r="AS56" i="13"/>
  <c r="AT56" i="13" s="1"/>
  <c r="AR56" i="13"/>
  <c r="AS50" i="13"/>
  <c r="AT50" i="13" s="1"/>
  <c r="AR50" i="13"/>
  <c r="AS40" i="13"/>
  <c r="AT40" i="13" s="1"/>
  <c r="AR40" i="13"/>
  <c r="AS36" i="13"/>
  <c r="AT36" i="13" s="1"/>
  <c r="AR36" i="13"/>
  <c r="AR30" i="13"/>
  <c r="AS30" i="13"/>
  <c r="AT30" i="13" s="1"/>
  <c r="G124" i="13"/>
  <c r="G123" i="13" s="1"/>
  <c r="G67" i="13" s="1"/>
  <c r="AQ137" i="13"/>
  <c r="R83" i="16"/>
  <c r="R120" i="16"/>
  <c r="AI120" i="16" s="1"/>
  <c r="R139" i="16"/>
  <c r="AI139" i="16" s="1"/>
  <c r="P147" i="13"/>
  <c r="AQ147" i="13" s="1"/>
  <c r="AQ148" i="13"/>
  <c r="AS89" i="13"/>
  <c r="AT89" i="13" s="1"/>
  <c r="AR89" i="13"/>
  <c r="AS79" i="13"/>
  <c r="AT79" i="13" s="1"/>
  <c r="AR79" i="13"/>
  <c r="AS58" i="13"/>
  <c r="AT58" i="13" s="1"/>
  <c r="AR58" i="13"/>
  <c r="AS47" i="13"/>
  <c r="AT47" i="13" s="1"/>
  <c r="AR47" i="13"/>
  <c r="AS34" i="13"/>
  <c r="AT34" i="13" s="1"/>
  <c r="AR34" i="13"/>
  <c r="AS127" i="13"/>
  <c r="AT127" i="13" s="1"/>
  <c r="AS99" i="13"/>
  <c r="AT99" i="13" s="1"/>
  <c r="AR99" i="13"/>
  <c r="AS93" i="13"/>
  <c r="AT93" i="13" s="1"/>
  <c r="AR93" i="13"/>
  <c r="AS83" i="13"/>
  <c r="AT83" i="13" s="1"/>
  <c r="AR83" i="13"/>
  <c r="AS71" i="13"/>
  <c r="AT71" i="13" s="1"/>
  <c r="AR71" i="13"/>
  <c r="AS51" i="13"/>
  <c r="AT51" i="13" s="1"/>
  <c r="AR51" i="13"/>
  <c r="AS42" i="13"/>
  <c r="AT42" i="13" s="1"/>
  <c r="AR42" i="13"/>
  <c r="AS116" i="13"/>
  <c r="AT116" i="13" s="1"/>
  <c r="AS90" i="13"/>
  <c r="AT90" i="13" s="1"/>
  <c r="AR90" i="13"/>
  <c r="AS85" i="13"/>
  <c r="AT85" i="13" s="1"/>
  <c r="AR85" i="13"/>
  <c r="AS80" i="13"/>
  <c r="AT80" i="13" s="1"/>
  <c r="AR80" i="13"/>
  <c r="AR73" i="13"/>
  <c r="AS73" i="13"/>
  <c r="AT73" i="13" s="1"/>
  <c r="AS55" i="13"/>
  <c r="AT55" i="13" s="1"/>
  <c r="AR55" i="13"/>
  <c r="AS44" i="13"/>
  <c r="AT44" i="13" s="1"/>
  <c r="AR44" i="13"/>
  <c r="AS39" i="13"/>
  <c r="AT39" i="13" s="1"/>
  <c r="AR39" i="13"/>
  <c r="AS35" i="13"/>
  <c r="AT35" i="13" s="1"/>
  <c r="AR35" i="13"/>
  <c r="AS27" i="13"/>
  <c r="AT27" i="13" s="1"/>
  <c r="AR27" i="13"/>
  <c r="R113" i="16"/>
  <c r="AI113" i="16" s="1"/>
  <c r="R122" i="16"/>
  <c r="AI122" i="16" s="1"/>
  <c r="AS75" i="13"/>
  <c r="AT75" i="13" s="1"/>
  <c r="AR75" i="13"/>
  <c r="AS31" i="13"/>
  <c r="AT31" i="13" s="1"/>
  <c r="AR31" i="13"/>
  <c r="AS59" i="13"/>
  <c r="AT59" i="13" s="1"/>
  <c r="AR59" i="13"/>
  <c r="P123" i="13"/>
  <c r="G207" i="13"/>
  <c r="G206" i="13" s="1"/>
  <c r="G205" i="13" s="1"/>
  <c r="G204" i="13" s="1"/>
  <c r="AR155" i="13"/>
  <c r="AO183" i="13"/>
  <c r="AO182" i="13" s="1"/>
  <c r="AO146" i="13" s="1"/>
  <c r="AO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H183" i="13"/>
  <c r="H182" i="13" s="1"/>
  <c r="I183" i="13"/>
  <c r="I182" i="13" s="1"/>
  <c r="K183" i="13"/>
  <c r="K182" i="13" s="1"/>
  <c r="O183" i="13"/>
  <c r="O182" i="13" s="1"/>
  <c r="S183" i="13"/>
  <c r="S182" i="13" s="1"/>
  <c r="S146" i="13" s="1"/>
  <c r="S61" i="13" s="1"/>
  <c r="W183" i="13"/>
  <c r="W182" i="13" s="1"/>
  <c r="W146" i="13" s="1"/>
  <c r="W61" i="13" s="1"/>
  <c r="AA183" i="13"/>
  <c r="AA182" i="13" s="1"/>
  <c r="AE183" i="13"/>
  <c r="AE182" i="13" s="1"/>
  <c r="AI183" i="13"/>
  <c r="AI182" i="13" s="1"/>
  <c r="AM183" i="13"/>
  <c r="AM182" i="13" s="1"/>
  <c r="J207" i="13"/>
  <c r="J206" i="13" s="1"/>
  <c r="J205" i="13" s="1"/>
  <c r="J204"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J183" i="13"/>
  <c r="J182" i="13" s="1"/>
  <c r="N183" i="13"/>
  <c r="N182" i="13" s="1"/>
  <c r="R183" i="13"/>
  <c r="R182" i="13" s="1"/>
  <c r="V183" i="13"/>
  <c r="V182" i="13" s="1"/>
  <c r="V146" i="13" s="1"/>
  <c r="Z183" i="13"/>
  <c r="Z182" i="13" s="1"/>
  <c r="Z146" i="13" s="1"/>
  <c r="AD183" i="13"/>
  <c r="AD182" i="13" s="1"/>
  <c r="AH183" i="13"/>
  <c r="AH182" i="13" s="1"/>
  <c r="AL183" i="13"/>
  <c r="AL182" i="13" s="1"/>
  <c r="AL146" i="13" s="1"/>
  <c r="AP183" i="13"/>
  <c r="AP182" i="13" s="1"/>
  <c r="AP146" i="13" s="1"/>
  <c r="G183" i="13"/>
  <c r="G182" i="13" s="1"/>
  <c r="G146" i="13" s="1"/>
  <c r="H207" i="13"/>
  <c r="H206" i="13" s="1"/>
  <c r="H205" i="13" s="1"/>
  <c r="H204" i="13" s="1"/>
  <c r="L183" i="13"/>
  <c r="L182" i="13" s="1"/>
  <c r="P183" i="13"/>
  <c r="P182" i="13" s="1"/>
  <c r="T183" i="13"/>
  <c r="T182" i="13" s="1"/>
  <c r="T146" i="13" s="1"/>
  <c r="X183" i="13"/>
  <c r="X182" i="13" s="1"/>
  <c r="AB183" i="13"/>
  <c r="AB182" i="13" s="1"/>
  <c r="AF183" i="13"/>
  <c r="AF182" i="13" s="1"/>
  <c r="AF146" i="13" s="1"/>
  <c r="AJ183" i="13"/>
  <c r="AJ182" i="13" s="1"/>
  <c r="AJ146"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T144" i="16"/>
  <c r="AI58" i="16"/>
  <c r="D41" i="14"/>
  <c r="E41" i="14"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Q225" i="13"/>
  <c r="AR225" i="13" s="1"/>
  <c r="AQ190" i="13"/>
  <c r="AS190" i="13" s="1"/>
  <c r="AT190" i="13" s="1"/>
  <c r="AQ160" i="13"/>
  <c r="D15" i="25" s="1"/>
  <c r="AQ200" i="13"/>
  <c r="AR200" i="13" s="1"/>
  <c r="AQ82" i="13"/>
  <c r="AQ102" i="13"/>
  <c r="AQ184" i="13"/>
  <c r="AQ197" i="13"/>
  <c r="AS197" i="13" s="1"/>
  <c r="AT197" i="13" s="1"/>
  <c r="AT228" i="13"/>
  <c r="AQ86" i="13"/>
  <c r="AQ108" i="13"/>
  <c r="AQ187" i="13"/>
  <c r="AS187" i="13" s="1"/>
  <c r="AT187" i="13" s="1"/>
  <c r="AQ78" i="13"/>
  <c r="AQ95" i="13"/>
  <c r="AQ118" i="13"/>
  <c r="AS118" i="13" s="1"/>
  <c r="AT118" i="13" s="1"/>
  <c r="AQ193" i="13"/>
  <c r="AS193" i="13" s="1"/>
  <c r="AT193" i="13" s="1"/>
  <c r="AQ215" i="13"/>
  <c r="AQ33" i="13"/>
  <c r="AQ221" i="13"/>
  <c r="AS221" i="13" s="1"/>
  <c r="AT221" i="13" s="1"/>
  <c r="AQ208" i="13"/>
  <c r="AQ91" i="13"/>
  <c r="AQ113" i="13"/>
  <c r="AR113" i="13" s="1"/>
  <c r="AQ227" i="13"/>
  <c r="AS227" i="13" s="1"/>
  <c r="AT227" i="13" s="1"/>
  <c r="AS155" i="13"/>
  <c r="AQ68" i="13"/>
  <c r="AQ69" i="13"/>
  <c r="AR211" i="13"/>
  <c r="AR185" i="13"/>
  <c r="AR169" i="13"/>
  <c r="AR112" i="13"/>
  <c r="AS100" i="13"/>
  <c r="AT100" i="13" s="1"/>
  <c r="AR226" i="13"/>
  <c r="AR218" i="13"/>
  <c r="AR210" i="13"/>
  <c r="AR203" i="13"/>
  <c r="AR176" i="13"/>
  <c r="AR168" i="13"/>
  <c r="AR119" i="13"/>
  <c r="AR111" i="13"/>
  <c r="AR103" i="13"/>
  <c r="AS97" i="13"/>
  <c r="AT97" i="13" s="1"/>
  <c r="AS46" i="13"/>
  <c r="AT46" i="13" s="1"/>
  <c r="AR223" i="13"/>
  <c r="AR194" i="13"/>
  <c r="AR188" i="13"/>
  <c r="AR181" i="13"/>
  <c r="AR173" i="13"/>
  <c r="AR157" i="13"/>
  <c r="AR116" i="13"/>
  <c r="AS199" i="13"/>
  <c r="AT199" i="13" s="1"/>
  <c r="AR219" i="13"/>
  <c r="AR191" i="13"/>
  <c r="AR161" i="13"/>
  <c r="AR120" i="13"/>
  <c r="AR104" i="13"/>
  <c r="AR230" i="13"/>
  <c r="AR222" i="13"/>
  <c r="AR214" i="13"/>
  <c r="AR180" i="13"/>
  <c r="AR172" i="13"/>
  <c r="AR164" i="13"/>
  <c r="AR156" i="13"/>
  <c r="AR115" i="13"/>
  <c r="AR107" i="13"/>
  <c r="AS213" i="13"/>
  <c r="AT213" i="13" s="1"/>
  <c r="AS110" i="13"/>
  <c r="AT110" i="13" s="1"/>
  <c r="AR224" i="13"/>
  <c r="AS224" i="13"/>
  <c r="AT224" i="13" s="1"/>
  <c r="AR220" i="13"/>
  <c r="AS220" i="13"/>
  <c r="AT220" i="13" s="1"/>
  <c r="AR216" i="13"/>
  <c r="AS216" i="13"/>
  <c r="AT216" i="13" s="1"/>
  <c r="AS212" i="13"/>
  <c r="AT212" i="13" s="1"/>
  <c r="AR212" i="13"/>
  <c r="AS201" i="13"/>
  <c r="AT201" i="13" s="1"/>
  <c r="AR201" i="13"/>
  <c r="AS198" i="13"/>
  <c r="AT198" i="13" s="1"/>
  <c r="AR198" i="13"/>
  <c r="AR195" i="13"/>
  <c r="AS195" i="13"/>
  <c r="AT195" i="13" s="1"/>
  <c r="AR192" i="13"/>
  <c r="AS192" i="13"/>
  <c r="AT192" i="13" s="1"/>
  <c r="AR189" i="13"/>
  <c r="AS189" i="13"/>
  <c r="AT189" i="13" s="1"/>
  <c r="AS186" i="13"/>
  <c r="AT186" i="13" s="1"/>
  <c r="AR186" i="13"/>
  <c r="AR174" i="13"/>
  <c r="AS174" i="13"/>
  <c r="AT174" i="13" s="1"/>
  <c r="AS170" i="13"/>
  <c r="AT170" i="13" s="1"/>
  <c r="AR170" i="13"/>
  <c r="AR162" i="13"/>
  <c r="AS162" i="13"/>
  <c r="AT162" i="13" s="1"/>
  <c r="AR158" i="13"/>
  <c r="AS158" i="13"/>
  <c r="AT158" i="13" s="1"/>
  <c r="AR126" i="13"/>
  <c r="AR121" i="13"/>
  <c r="AT121" i="13"/>
  <c r="AS117" i="13"/>
  <c r="AT117" i="13" s="1"/>
  <c r="AR117" i="13"/>
  <c r="AR109" i="13"/>
  <c r="AS109" i="13"/>
  <c r="AT109" i="13" s="1"/>
  <c r="AR105" i="13"/>
  <c r="AS105" i="13"/>
  <c r="AT105" i="13" s="1"/>
  <c r="AS101" i="13"/>
  <c r="AT101" i="13" s="1"/>
  <c r="AS96" i="13"/>
  <c r="AT96" i="13" s="1"/>
  <c r="AS92" i="13"/>
  <c r="AT92" i="13" s="1"/>
  <c r="AS88" i="13"/>
  <c r="AT88" i="13" s="1"/>
  <c r="AS84" i="13"/>
  <c r="AT84" i="13" s="1"/>
  <c r="AS81" i="13"/>
  <c r="AT81" i="13" s="1"/>
  <c r="AS57" i="13"/>
  <c r="AT57" i="13" s="1"/>
  <c r="AS49" i="13"/>
  <c r="AT49" i="13" s="1"/>
  <c r="AS45" i="13"/>
  <c r="AT45" i="13" s="1"/>
  <c r="AS37" i="13"/>
  <c r="AT37" i="13" s="1"/>
  <c r="AS25" i="13"/>
  <c r="AT25" i="13" s="1"/>
  <c r="AS21" i="13"/>
  <c r="AT21" i="13" s="1"/>
  <c r="AR229" i="13"/>
  <c r="AR217" i="13"/>
  <c r="AR209" i="13"/>
  <c r="AR202" i="13"/>
  <c r="AR196" i="13"/>
  <c r="AR179" i="13"/>
  <c r="AR175" i="13"/>
  <c r="AR163" i="13"/>
  <c r="AR159" i="13"/>
  <c r="AR127" i="13"/>
  <c r="AR122" i="13"/>
  <c r="AR114" i="13"/>
  <c r="AR106" i="13"/>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D7" i="14" l="1"/>
  <c r="AJ131" i="16"/>
  <c r="AJ117" i="16"/>
  <c r="M60" i="13"/>
  <c r="M14" i="13" s="1"/>
  <c r="AJ136" i="16"/>
  <c r="U60" i="13"/>
  <c r="D11" i="25"/>
  <c r="E11" i="25" s="1"/>
  <c r="AS102" i="13"/>
  <c r="AT102" i="13" s="1"/>
  <c r="D23" i="25"/>
  <c r="D48" i="25"/>
  <c r="F46" i="25"/>
  <c r="G46" i="25" s="1"/>
  <c r="E46" i="25"/>
  <c r="D16" i="25"/>
  <c r="E16" i="25" s="1"/>
  <c r="AR78" i="13"/>
  <c r="D7" i="25"/>
  <c r="F7" i="25" s="1"/>
  <c r="G7" i="25" s="1"/>
  <c r="D9" i="25"/>
  <c r="D8" i="25"/>
  <c r="E15" i="25"/>
  <c r="F15" i="25"/>
  <c r="G15" i="25" s="1"/>
  <c r="AR33" i="13"/>
  <c r="D22" i="25"/>
  <c r="AS108" i="13"/>
  <c r="AT108" i="13" s="1"/>
  <c r="D19" i="25"/>
  <c r="P146" i="13"/>
  <c r="AQ124" i="13"/>
  <c r="AS124" i="13" s="1"/>
  <c r="AS91" i="13"/>
  <c r="AT91" i="13" s="1"/>
  <c r="AR91" i="13"/>
  <c r="AS82" i="13"/>
  <c r="AT82" i="13" s="1"/>
  <c r="AR82" i="13"/>
  <c r="AS148" i="13"/>
  <c r="AT148" i="13" s="1"/>
  <c r="AR148" i="13"/>
  <c r="R144" i="16"/>
  <c r="AI83" i="16"/>
  <c r="AK122" i="16"/>
  <c r="AL122" i="16" s="1"/>
  <c r="AJ122" i="16"/>
  <c r="AS147" i="13"/>
  <c r="AT147" i="13" s="1"/>
  <c r="AR147" i="13"/>
  <c r="AS137" i="13"/>
  <c r="AT137" i="13" s="1"/>
  <c r="AR137" i="13"/>
  <c r="G61" i="13"/>
  <c r="G60" i="13" s="1"/>
  <c r="G14" i="13" s="1"/>
  <c r="AK113" i="16"/>
  <c r="AL113" i="16" s="1"/>
  <c r="AJ113" i="16"/>
  <c r="AK139" i="16"/>
  <c r="AL139" i="16" s="1"/>
  <c r="AJ139" i="16"/>
  <c r="AS95" i="13"/>
  <c r="AT95" i="13" s="1"/>
  <c r="AR95" i="13"/>
  <c r="AS86" i="13"/>
  <c r="AT86" i="13" s="1"/>
  <c r="AR86" i="13"/>
  <c r="AK120" i="16"/>
  <c r="AL120" i="16" s="1"/>
  <c r="AJ120" i="16"/>
  <c r="AS69" i="13"/>
  <c r="AT69" i="13" s="1"/>
  <c r="AR69" i="13"/>
  <c r="AS68" i="13"/>
  <c r="AT68" i="13" s="1"/>
  <c r="AR68" i="13"/>
  <c r="AS215" i="13"/>
  <c r="AT215" i="13" s="1"/>
  <c r="D14" i="14"/>
  <c r="P67" i="13"/>
  <c r="AQ67" i="13" s="1"/>
  <c r="AQ123" i="13"/>
  <c r="AS123" i="13" s="1"/>
  <c r="AT123" i="13" s="1"/>
  <c r="L146" i="13"/>
  <c r="L61" i="13" s="1"/>
  <c r="L60" i="13" s="1"/>
  <c r="L14" i="13" s="1"/>
  <c r="O146" i="13"/>
  <c r="O61" i="13" s="1"/>
  <c r="O60" i="13" s="1"/>
  <c r="O14" i="13" s="1"/>
  <c r="AE146" i="13"/>
  <c r="AE61" i="13" s="1"/>
  <c r="AE60" i="13" s="1"/>
  <c r="AE14" i="13" s="1"/>
  <c r="AH146" i="13"/>
  <c r="AH61" i="13" s="1"/>
  <c r="AH60" i="13" s="1"/>
  <c r="AH14" i="13" s="1"/>
  <c r="N146" i="13"/>
  <c r="N61" i="13" s="1"/>
  <c r="N60" i="13" s="1"/>
  <c r="N14" i="13" s="1"/>
  <c r="K146" i="13"/>
  <c r="K61" i="13" s="1"/>
  <c r="K60" i="13" s="1"/>
  <c r="K14" i="13" s="1"/>
  <c r="AD146" i="13"/>
  <c r="AD61" i="13" s="1"/>
  <c r="AD60" i="13" s="1"/>
  <c r="AD14" i="13" s="1"/>
  <c r="AA146" i="13"/>
  <c r="AA61" i="13" s="1"/>
  <c r="AA60" i="13" s="1"/>
  <c r="AA14" i="13" s="1"/>
  <c r="AJ61" i="13"/>
  <c r="AJ60" i="13" s="1"/>
  <c r="AJ14" i="13" s="1"/>
  <c r="T61" i="13"/>
  <c r="T60" i="13" s="1"/>
  <c r="T14" i="13" s="1"/>
  <c r="AP61" i="13"/>
  <c r="AP60" i="13" s="1"/>
  <c r="AP14" i="13" s="1"/>
  <c r="Z61" i="13"/>
  <c r="Z60" i="13" s="1"/>
  <c r="Z14" i="13" s="1"/>
  <c r="J146" i="13"/>
  <c r="J61" i="13" s="1"/>
  <c r="J60" i="13" s="1"/>
  <c r="J14" i="13" s="1"/>
  <c r="I146" i="13"/>
  <c r="I61" i="13" s="1"/>
  <c r="I60" i="13" s="1"/>
  <c r="I14" i="13" s="1"/>
  <c r="R146" i="13"/>
  <c r="R61" i="13" s="1"/>
  <c r="R60" i="13" s="1"/>
  <c r="R14" i="13" s="1"/>
  <c r="AB146" i="13"/>
  <c r="AB61" i="13" s="1"/>
  <c r="AB60" i="13" s="1"/>
  <c r="AB14" i="13" s="1"/>
  <c r="AM146" i="13"/>
  <c r="AM61" i="13" s="1"/>
  <c r="AM60" i="13" s="1"/>
  <c r="AM14" i="13" s="1"/>
  <c r="AT155" i="13"/>
  <c r="AF61" i="13"/>
  <c r="AF60" i="13" s="1"/>
  <c r="AF14" i="13" s="1"/>
  <c r="AL61" i="13"/>
  <c r="AL60" i="13" s="1"/>
  <c r="AL14" i="13" s="1"/>
  <c r="V61" i="13"/>
  <c r="V60" i="13" s="1"/>
  <c r="V14" i="13" s="1"/>
  <c r="H146" i="13"/>
  <c r="H61" i="13" s="1"/>
  <c r="H60" i="13" s="1"/>
  <c r="H14" i="13" s="1"/>
  <c r="AN146" i="13"/>
  <c r="AN61" i="13" s="1"/>
  <c r="AN60" i="13" s="1"/>
  <c r="AN14" i="13" s="1"/>
  <c r="X146" i="13"/>
  <c r="X61" i="13" s="1"/>
  <c r="X60" i="13" s="1"/>
  <c r="X14" i="13" s="1"/>
  <c r="AI146" i="13"/>
  <c r="AI61" i="13" s="1"/>
  <c r="AI60" i="13" s="1"/>
  <c r="AI14" i="13" s="1"/>
  <c r="AG60" i="13"/>
  <c r="AG14" i="13" s="1"/>
  <c r="Q60" i="13"/>
  <c r="Q14" i="13" s="1"/>
  <c r="AC60" i="13"/>
  <c r="AC14" i="13" s="1"/>
  <c r="AK60" i="13"/>
  <c r="AK14" i="13" s="1"/>
  <c r="U14" i="13"/>
  <c r="AO60" i="13"/>
  <c r="AO14" i="13" s="1"/>
  <c r="Y60" i="13"/>
  <c r="Y14" i="13" s="1"/>
  <c r="W60" i="13"/>
  <c r="W14" i="13" s="1"/>
  <c r="S60" i="13"/>
  <c r="S14" i="13" s="1"/>
  <c r="D8" i="14"/>
  <c r="D30" i="14" s="1"/>
  <c r="AS160" i="13"/>
  <c r="AJ58" i="16"/>
  <c r="AK58" i="16"/>
  <c r="AS53" i="13"/>
  <c r="AT53" i="13" s="1"/>
  <c r="AQ32" i="13"/>
  <c r="AR32" i="13" s="1"/>
  <c r="AQ29" i="13"/>
  <c r="AS24" i="13"/>
  <c r="AT24" i="13" s="1"/>
  <c r="C23" i="14"/>
  <c r="G533" i="11"/>
  <c r="G348" i="11"/>
  <c r="G363" i="11"/>
  <c r="G307" i="11" s="1"/>
  <c r="D43" i="14"/>
  <c r="F43" i="14" s="1"/>
  <c r="F41" i="14"/>
  <c r="G41" i="14" s="1"/>
  <c r="D9" i="14"/>
  <c r="D31" i="14" s="1"/>
  <c r="AS54" i="13"/>
  <c r="AT54" i="13" s="1"/>
  <c r="D21" i="14"/>
  <c r="AS33" i="13"/>
  <c r="AT33" i="13" s="1"/>
  <c r="D20" i="14"/>
  <c r="AS184" i="13"/>
  <c r="AT184" i="13" s="1"/>
  <c r="D11" i="14"/>
  <c r="AR125" i="13"/>
  <c r="D33" i="14"/>
  <c r="E33" i="14" s="1"/>
  <c r="AS70" i="13"/>
  <c r="AT70" i="13" s="1"/>
  <c r="D13" i="14"/>
  <c r="D15" i="14"/>
  <c r="AR208" i="13"/>
  <c r="AS200" i="13"/>
  <c r="AT200" i="13" s="1"/>
  <c r="AR118" i="13"/>
  <c r="AR184" i="13"/>
  <c r="AS113" i="13"/>
  <c r="AT113" i="13" s="1"/>
  <c r="AR190" i="13"/>
  <c r="AR167" i="13"/>
  <c r="AS78" i="13"/>
  <c r="AT78" i="13" s="1"/>
  <c r="AR215" i="13"/>
  <c r="AR160" i="13"/>
  <c r="AS208" i="13"/>
  <c r="AT208" i="13" s="1"/>
  <c r="AS225" i="13"/>
  <c r="AT225" i="13" s="1"/>
  <c r="AR108" i="13"/>
  <c r="AR221" i="13"/>
  <c r="AR197" i="13"/>
  <c r="AR193" i="13"/>
  <c r="AR227" i="13"/>
  <c r="AS20" i="13"/>
  <c r="AT20" i="13" s="1"/>
  <c r="AR228" i="13"/>
  <c r="AR102" i="13"/>
  <c r="AS167" i="13"/>
  <c r="AT167" i="13" s="1"/>
  <c r="AQ166" i="13"/>
  <c r="AR166" i="13" s="1"/>
  <c r="AR187" i="13"/>
  <c r="AS41" i="13"/>
  <c r="AT41" i="13" s="1"/>
  <c r="AQ165" i="13"/>
  <c r="AQ207" i="13"/>
  <c r="AS207" i="13" s="1"/>
  <c r="AT207" i="13" s="1"/>
  <c r="AQ183" i="13"/>
  <c r="AR183" i="13" s="1"/>
  <c r="AQ206" i="13"/>
  <c r="AS206" i="13" s="1"/>
  <c r="AT206" i="13" s="1"/>
  <c r="AQ204" i="13"/>
  <c r="AR204" i="13" s="1"/>
  <c r="AQ182" i="13"/>
  <c r="AQ76" i="13"/>
  <c r="AR76" i="13" s="1"/>
  <c r="AQ77" i="13"/>
  <c r="AR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E7" i="25" l="1"/>
  <c r="D12" i="14"/>
  <c r="F12" i="14" s="1"/>
  <c r="F16" i="25"/>
  <c r="G16" i="25" s="1"/>
  <c r="P61" i="13"/>
  <c r="P60" i="13" s="1"/>
  <c r="P14" i="13" s="1"/>
  <c r="AQ14" i="13" s="1"/>
  <c r="AR14" i="13" s="1"/>
  <c r="D18" i="25"/>
  <c r="F18" i="25" s="1"/>
  <c r="G18" i="25" s="1"/>
  <c r="F11" i="25"/>
  <c r="G11" i="25" s="1"/>
  <c r="D33" i="25"/>
  <c r="E9" i="25"/>
  <c r="F9" i="25"/>
  <c r="G9" i="25" s="1"/>
  <c r="E23" i="25"/>
  <c r="F23" i="25"/>
  <c r="G23" i="25" s="1"/>
  <c r="AR29" i="13"/>
  <c r="D20" i="25"/>
  <c r="D21" i="25" s="1"/>
  <c r="D32" i="25"/>
  <c r="E8" i="25"/>
  <c r="F8" i="25"/>
  <c r="G8" i="25" s="1"/>
  <c r="D58" i="25"/>
  <c r="E48" i="25"/>
  <c r="F48" i="25"/>
  <c r="G48" i="25" s="1"/>
  <c r="F22" i="25"/>
  <c r="G22" i="25" s="1"/>
  <c r="D24" i="25"/>
  <c r="E22" i="25"/>
  <c r="E19" i="25"/>
  <c r="F19" i="25"/>
  <c r="G19" i="25" s="1"/>
  <c r="AQ146" i="13"/>
  <c r="AJ83" i="16"/>
  <c r="AK83" i="16"/>
  <c r="AL83" i="16" s="1"/>
  <c r="AI144" i="16"/>
  <c r="AJ144" i="16" s="1"/>
  <c r="AR67" i="13"/>
  <c r="AS67" i="13"/>
  <c r="AT67" i="13" s="1"/>
  <c r="AT160" i="13"/>
  <c r="AL58" i="16"/>
  <c r="AQ19" i="13"/>
  <c r="AS29" i="13"/>
  <c r="AT29" i="13" s="1"/>
  <c r="D17" i="14"/>
  <c r="F17" i="14" s="1"/>
  <c r="G17" i="14" s="1"/>
  <c r="D18" i="14"/>
  <c r="E18" i="14" s="1"/>
  <c r="D16" i="14"/>
  <c r="AS18" i="13"/>
  <c r="AT18" i="13" s="1"/>
  <c r="AS32" i="13"/>
  <c r="AT32" i="13" s="1"/>
  <c r="AT28" i="13"/>
  <c r="E30" i="14"/>
  <c r="F30" i="14"/>
  <c r="G30" i="14" s="1"/>
  <c r="E31" i="14"/>
  <c r="F31" i="14"/>
  <c r="G31" i="14" s="1"/>
  <c r="F33" i="14"/>
  <c r="G33" i="14" s="1"/>
  <c r="G263" i="11"/>
  <c r="G122" i="11" s="1"/>
  <c r="D53" i="14"/>
  <c r="G43" i="14"/>
  <c r="E43" i="14"/>
  <c r="F9" i="14"/>
  <c r="G9" i="14" s="1"/>
  <c r="E9" i="14"/>
  <c r="E21" i="14"/>
  <c r="F21" i="14"/>
  <c r="G21" i="14" s="1"/>
  <c r="D22" i="14"/>
  <c r="F20" i="14"/>
  <c r="G20" i="14" s="1"/>
  <c r="E20" i="14"/>
  <c r="F11" i="14"/>
  <c r="G11" i="14" s="1"/>
  <c r="E11" i="14"/>
  <c r="F8" i="14"/>
  <c r="G8" i="14" s="1"/>
  <c r="E8" i="14"/>
  <c r="E7" i="14"/>
  <c r="F7" i="14"/>
  <c r="G7" i="14" s="1"/>
  <c r="E10" i="14"/>
  <c r="F10" i="14"/>
  <c r="G10" i="14" s="1"/>
  <c r="E13" i="14"/>
  <c r="F13" i="14"/>
  <c r="G13" i="14" s="1"/>
  <c r="E15" i="14"/>
  <c r="F15" i="14"/>
  <c r="G15" i="14" s="1"/>
  <c r="E14" i="14"/>
  <c r="F14" i="14"/>
  <c r="G14" i="14" s="1"/>
  <c r="AS166" i="13"/>
  <c r="AT166" i="13" s="1"/>
  <c r="AR206" i="13"/>
  <c r="AQ205" i="13"/>
  <c r="AR205" i="13" s="1"/>
  <c r="AR207" i="13"/>
  <c r="AS183" i="13"/>
  <c r="AT183" i="13" s="1"/>
  <c r="AS165" i="13"/>
  <c r="AT165" i="13" s="1"/>
  <c r="AR165" i="13"/>
  <c r="AR182" i="13"/>
  <c r="AS182" i="13"/>
  <c r="AT182" i="13" s="1"/>
  <c r="AS77" i="13"/>
  <c r="AT77" i="13" s="1"/>
  <c r="AS204" i="13"/>
  <c r="AT204" i="13" s="1"/>
  <c r="AT124" i="13"/>
  <c r="AR124" i="13"/>
  <c r="AS76" i="13"/>
  <c r="AT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AQ61" i="13" l="1"/>
  <c r="AR61" i="13" s="1"/>
  <c r="D32" i="14"/>
  <c r="D34" i="25"/>
  <c r="E34" i="25" s="1"/>
  <c r="AQ60" i="13"/>
  <c r="AR60" i="13" s="1"/>
  <c r="E18" i="25"/>
  <c r="AK144" i="16"/>
  <c r="AL144" i="16" s="1"/>
  <c r="F32" i="25"/>
  <c r="G32" i="25" s="1"/>
  <c r="E32" i="25"/>
  <c r="D59" i="25"/>
  <c r="F58" i="25"/>
  <c r="E58" i="25"/>
  <c r="E59" i="25" s="1"/>
  <c r="E20" i="25"/>
  <c r="F20" i="25"/>
  <c r="G20" i="25" s="1"/>
  <c r="E33" i="25"/>
  <c r="F33" i="25"/>
  <c r="G33" i="25" s="1"/>
  <c r="E24" i="25"/>
  <c r="F24" i="25"/>
  <c r="G24" i="25" s="1"/>
  <c r="F21" i="25"/>
  <c r="G21" i="25" s="1"/>
  <c r="E21" i="25"/>
  <c r="AS146" i="13"/>
  <c r="AT146" i="13" s="1"/>
  <c r="AR146" i="13"/>
  <c r="AS19" i="13"/>
  <c r="AT19" i="13" s="1"/>
  <c r="AR19" i="13"/>
  <c r="AS61" i="13"/>
  <c r="AT61" i="13" s="1"/>
  <c r="E17" i="14"/>
  <c r="D29" i="14"/>
  <c r="F18" i="14"/>
  <c r="G18" i="14" s="1"/>
  <c r="D19" i="14"/>
  <c r="E19" i="14" s="1"/>
  <c r="G115" i="11"/>
  <c r="G114" i="11" s="1"/>
  <c r="G12" i="11" s="1"/>
  <c r="C7" i="11" s="1"/>
  <c r="E53" i="14"/>
  <c r="E54" i="14" s="1"/>
  <c r="D54" i="14"/>
  <c r="F53" i="14"/>
  <c r="E22" i="14"/>
  <c r="F22" i="14"/>
  <c r="G22" i="14" s="1"/>
  <c r="E12" i="14"/>
  <c r="G12" i="14"/>
  <c r="E16" i="14"/>
  <c r="F16" i="14"/>
  <c r="G16" i="14" s="1"/>
  <c r="AR123" i="13"/>
  <c r="AS205" i="13"/>
  <c r="AT205" i="13" s="1"/>
  <c r="AS17" i="13"/>
  <c r="AT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AS60" i="13" l="1"/>
  <c r="AT60" i="13" s="1"/>
  <c r="D31" i="25"/>
  <c r="F34" i="25"/>
  <c r="G34" i="25" s="1"/>
  <c r="G58" i="25"/>
  <c r="G59" i="25" s="1"/>
  <c r="F59" i="25"/>
  <c r="F32" i="14"/>
  <c r="G32" i="14" s="1"/>
  <c r="D23" i="14"/>
  <c r="D24" i="14" s="1"/>
  <c r="E32" i="14"/>
  <c r="F19" i="14"/>
  <c r="G19" i="14" s="1"/>
  <c r="F29" i="14"/>
  <c r="D35" i="14"/>
  <c r="E35" i="14" s="1"/>
  <c r="E29" i="14"/>
  <c r="F54" i="14"/>
  <c r="G53" i="14"/>
  <c r="G54" i="14" s="1"/>
  <c r="AS15" i="13"/>
  <c r="AT15" i="13" s="1"/>
  <c r="AS16" i="13"/>
  <c r="AT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E31" i="25" l="1"/>
  <c r="J32" i="25"/>
  <c r="J33" i="25" s="1"/>
  <c r="F31" i="25"/>
  <c r="G31" i="25" s="1"/>
  <c r="F24" i="14"/>
  <c r="G24" i="14" s="1"/>
  <c r="E24" i="14"/>
  <c r="E23" i="14"/>
  <c r="F23" i="14"/>
  <c r="G23" i="14" s="1"/>
  <c r="D37" i="14"/>
  <c r="E37" i="14" s="1"/>
  <c r="G29" i="14"/>
  <c r="F35" i="14"/>
  <c r="G35" i="14" s="1"/>
  <c r="L1323" i="8"/>
  <c r="L1322" i="8"/>
  <c r="L982" i="8"/>
  <c r="L1045" i="8"/>
  <c r="L1889" i="8"/>
  <c r="L1890" i="8"/>
  <c r="L277" i="8"/>
  <c r="L614" i="8"/>
  <c r="L2212" i="8"/>
  <c r="L2213" i="8"/>
  <c r="L309" i="8"/>
  <c r="L329" i="8"/>
  <c r="L382" i="8"/>
  <c r="L358" i="8"/>
  <c r="L359" i="8"/>
  <c r="L298" i="8"/>
  <c r="L299" i="8"/>
  <c r="F40" i="25" l="1"/>
  <c r="G40" i="25" s="1"/>
  <c r="F37" i="14"/>
  <c r="G37" i="14" s="1"/>
  <c r="AS14" i="13"/>
  <c r="AT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D12" i="25" l="1"/>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V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<sst xmlns="http://schemas.openxmlformats.org/spreadsheetml/2006/main" count="31296" uniqueCount="5454">
  <si>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</si>
  <si>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</si>
  <si>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</si>
  <si>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</si>
  <si>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</si>
  <si>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</si>
  <si>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</si>
  <si>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</si>
  <si>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</si>
  <si>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</si>
  <si>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</si>
  <si>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</si>
  <si>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</si>
  <si>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</si>
  <si>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</si>
  <si>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</si>
  <si>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</si>
  <si>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</si>
  <si>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</si>
  <si>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</si>
  <si>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</si>
  <si>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</si>
  <si>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</si>
  <si>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</si>
  <si>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</si>
  <si>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</si>
  <si>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</si>
  <si>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</si>
  <si>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</si>
  <si>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</si>
  <si>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</si>
  <si>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</si>
  <si>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</si>
  <si>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</si>
  <si>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</si>
  <si>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</si>
  <si>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</si>
  <si>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</si>
  <si>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</si>
  <si>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</si>
  <si>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</si>
  <si>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</si>
  <si>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</si>
  <si>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</si>
  <si>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</si>
  <si>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</si>
  <si>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</si>
  <si>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</si>
  <si>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</si>
  <si>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</si>
  <si>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</si>
  <si>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</si>
  <si>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</si>
  <si>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</si>
  <si>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</si>
  <si>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</si>
  <si>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</si>
  <si>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</si>
  <si>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</si>
  <si>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</si>
  <si>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</si>
  <si>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</si>
  <si>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</si>
  <si>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</si>
  <si>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</si>
  <si>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</si>
  <si>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</si>
  <si>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</si>
  <si>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</si>
  <si>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</si>
  <si>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</si>
  <si>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</si>
  <si>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</si>
  <si>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</si>
  <si>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</si>
  <si>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</si>
  <si>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</si>
  <si>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</si>
  <si>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</si>
  <si>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</si>
  <si>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</si>
  <si>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</si>
  <si>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</si>
  <si>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</si>
  <si>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</si>
  <si>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</si>
  <si>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</si>
  <si>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</si>
  <si>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</si>
  <si>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</si>
  <si>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</si>
  <si>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</si>
  <si>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</si>
  <si>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</si>
  <si>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</si>
  <si>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</si>
  <si>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</si>
  <si>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</si>
  <si>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</si>
  <si>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</si>
  <si>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</si>
  <si>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</si>
  <si>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</si>
  <si>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</si>
  <si>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</si>
  <si>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</si>
  <si>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</si>
  <si>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</si>
  <si>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</si>
  <si>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</si>
  <si>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</si>
  <si>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</si>
  <si>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</si>
  <si>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</si>
  <si>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</si>
  <si>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</si>
  <si>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</si>
  <si>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</si>
  <si>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</si>
  <si>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</si>
  <si>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</si>
  <si>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</si>
  <si>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</si>
  <si>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</si>
  <si>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</si>
  <si>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</si>
  <si>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</si>
  <si>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</si>
  <si>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</si>
  <si>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</si>
  <si>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</si>
  <si>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</si>
  <si>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</si>
  <si>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</si>
  <si>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</si>
  <si>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</si>
  <si>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</si>
  <si>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</si>
  <si>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</si>
  <si>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</si>
  <si>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</si>
  <si>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</si>
  <si>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</si>
  <si>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</si>
  <si>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</si>
  <si>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</si>
  <si>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</si>
  <si>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</si>
  <si>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</si>
  <si>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</si>
  <si>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</si>
  <si>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</si>
  <si>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</si>
  <si>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</si>
  <si>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</si>
  <si>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</si>
  <si>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</si>
  <si>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</si>
  <si>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</si>
  <si>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</si>
  <si>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</si>
  <si>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</si>
  <si>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</si>
  <si>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</si>
  <si>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</si>
  <si>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</si>
  <si>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</si>
  <si>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</si>
  <si>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</si>
  <si>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</si>
  <si>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</si>
  <si>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</si>
  <si>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</si>
  <si>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</si>
  <si>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</si>
  <si>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</si>
  <si>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</si>
  <si>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</si>
  <si>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</si>
  <si>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</si>
  <si>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</si>
  <si>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</si>
  <si>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</si>
  <si>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</si>
  <si>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</si>
  <si>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</si>
  <si>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</si>
  <si>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</si>
  <si>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</si>
  <si>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</si>
  <si>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</si>
  <si>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</si>
  <si>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</si>
  <si>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</si>
  <si>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</si>
  <si>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</si>
  <si>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</si>
  <si>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</si>
  <si>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</si>
  <si>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</si>
  <si>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</si>
  <si>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</si>
  <si>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</si>
  <si>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</si>
  <si>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</si>
  <si>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</si>
  <si>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</si>
  <si>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</si>
  <si>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</si>
  <si>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</si>
  <si>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</si>
  <si>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</si>
  <si>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</si>
  <si>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</si>
  <si>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</si>
  <si>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</si>
  <si>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</si>
  <si>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</si>
  <si>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</si>
  <si>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</si>
  <si>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</si>
  <si>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</si>
  <si>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</si>
  <si>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</si>
  <si>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</si>
  <si>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</si>
  <si>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</si>
  <si>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</si>
  <si>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</si>
  <si>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</si>
  <si>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</si>
  <si>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</si>
  <si>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</si>
  <si>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</si>
  <si>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</si>
  <si>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</si>
  <si>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</si>
  <si>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</si>
  <si>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</si>
  <si>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</si>
  <si>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</si>
  <si>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</si>
  <si>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</si>
  <si>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</si>
  <si>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</si>
  <si>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</si>
  <si>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</si>
  <si>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</si>
  <si>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</si>
  <si>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</si>
  <si>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</si>
  <si>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</si>
  <si>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</si>
  <si>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</si>
  <si>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</si>
  <si>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</si>
  <si>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</si>
  <si>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</si>
  <si>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</si>
  <si>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</si>
  <si>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</si>
  <si>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</si>
  <si>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</si>
  <si>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</si>
  <si>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</si>
  <si>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</si>
  <si>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</si>
  <si>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</si>
  <si>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</si>
  <si>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</si>
  <si>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</si>
  <si>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</si>
  <si>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</si>
  <si>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</si>
  <si>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</si>
  <si>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</si>
  <si>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</si>
  <si>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</si>
  <si>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</si>
  <si>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</si>
  <si>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</si>
  <si>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</si>
  <si>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</si>
  <si>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</si>
  <si>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</si>
  <si>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</si>
  <si>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</si>
  <si>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</si>
  <si>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</si>
  <si>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</si>
  <si>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</si>
  <si>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</si>
  <si>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</si>
  <si>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</si>
  <si>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</si>
  <si>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</si>
  <si>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</si>
  <si>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</si>
  <si>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</si>
  <si>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</si>
  <si>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</si>
  <si>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</si>
  <si>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</si>
  <si>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</si>
  <si>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</si>
  <si>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</si>
  <si>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</si>
  <si>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</si>
  <si>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</si>
  <si>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</si>
  <si>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</si>
  <si>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</si>
  <si>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</si>
  <si>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</si>
  <si>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</si>
  <si>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</si>
  <si>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</si>
  <si>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</si>
  <si>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</si>
  <si>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</si>
  <si>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</si>
  <si>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</si>
  <si>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</si>
  <si>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</si>
  <si>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</si>
  <si>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</si>
  <si>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</si>
  <si>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</si>
  <si>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</si>
  <si>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</si>
  <si>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</si>
  <si>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</si>
  <si>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</si>
  <si>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</si>
  <si>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</si>
  <si>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</si>
  <si>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</si>
  <si>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</si>
  <si>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</si>
  <si>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</si>
  <si>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</si>
  <si>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</si>
  <si>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</si>
  <si>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</si>
  <si>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</si>
  <si>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</si>
  <si>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</si>
  <si>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</si>
  <si>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</si>
  <si>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</si>
  <si>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</si>
  <si>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</si>
  <si>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</si>
  <si>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</si>
  <si>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</si>
  <si>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</si>
  <si>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</si>
  <si>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</si>
  <si>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</si>
  <si>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</si>
  <si>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</si>
  <si>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</si>
  <si>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</si>
  <si>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</si>
  <si>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</si>
  <si>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</si>
  <si>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</si>
  <si>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</si>
  <si>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</si>
  <si>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</si>
  <si>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</si>
  <si>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</si>
  <si>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</si>
  <si>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</si>
  <si>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</si>
  <si>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</si>
  <si>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</si>
  <si>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</si>
  <si>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</si>
  <si>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</si>
  <si>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</si>
  <si>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</si>
  <si>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</si>
  <si>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</si>
  <si>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</si>
  <si>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</si>
  <si>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</si>
  <si>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</si>
  <si>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</si>
  <si>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</si>
  <si>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</si>
  <si>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</si>
  <si>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</si>
  <si>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</si>
  <si>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</si>
  <si>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</si>
  <si>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</si>
  <si>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</si>
  <si>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</si>
  <si>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</si>
  <si>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</si>
  <si>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</si>
  <si>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</si>
  <si>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</si>
  <si>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</si>
  <si>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</si>
  <si>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</si>
  <si>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</si>
  <si>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</si>
  <si>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</si>
  <si>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</si>
  <si>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</si>
  <si>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</si>
  <si>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</si>
  <si>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</si>
  <si>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</si>
  <si>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</si>
  <si>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</si>
  <si>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</si>
  <si>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</si>
  <si>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</si>
  <si>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</si>
  <si>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</si>
  <si>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</si>
  <si>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</si>
  <si>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</si>
  <si>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</si>
  <si>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</si>
  <si>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</si>
  <si>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</si>
  <si>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</si>
  <si>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</si>
  <si>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</si>
  <si>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</si>
  <si>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</si>
  <si>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</si>
  <si>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</si>
  <si>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</si>
  <si>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</si>
  <si>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</si>
  <si>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</si>
  <si>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</si>
  <si>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</si>
  <si>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</si>
  <si>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</si>
  <si>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</si>
  <si>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</si>
  <si>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</si>
  <si>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</si>
  <si>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</si>
  <si>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</si>
  <si>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</si>
  <si>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</si>
  <si>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</si>
  <si>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</si>
  <si>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</si>
  <si>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</si>
  <si>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</si>
  <si>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</si>
  <si>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</si>
  <si>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</si>
  <si>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</si>
  <si>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</si>
  <si>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</si>
  <si>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</si>
  <si>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</si>
  <si>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</si>
  <si>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</si>
  <si>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</si>
  <si>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</si>
  <si>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</si>
  <si>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</si>
  <si>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</si>
  <si>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</si>
  <si>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</si>
  <si>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</si>
  <si>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</si>
  <si>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</si>
  <si>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</si>
  <si>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</si>
  <si>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</si>
  <si>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</si>
  <si>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</si>
  <si>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</si>
  <si>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</si>
  <si>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</si>
  <si>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</si>
  <si>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</si>
  <si>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</si>
  <si>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</si>
  <si>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</si>
  <si>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</si>
  <si>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</si>
  <si>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</si>
  <si>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</si>
  <si>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</si>
  <si>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</si>
  <si>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</si>
  <si>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</si>
  <si>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</si>
  <si>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</si>
  <si>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</si>
  <si>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</si>
  <si>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</si>
  <si>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</si>
  <si>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</si>
  <si>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</si>
  <si>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</si>
  <si>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</si>
  <si>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</si>
  <si>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</si>
  <si>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</si>
  <si>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</si>
  <si>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</si>
  <si>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</si>
  <si>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</si>
  <si>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</si>
  <si>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</si>
  <si>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</si>
  <si>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</si>
  <si>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</si>
  <si>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</si>
  <si>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</si>
  <si>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</si>
  <si>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</si>
  <si>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</si>
  <si>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</si>
  <si>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</si>
  <si>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</si>
  <si>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</si>
  <si>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</si>
  <si>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</si>
  <si>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</si>
  <si>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</si>
  <si>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</si>
  <si>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</si>
  <si>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</si>
  <si>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</si>
  <si>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</si>
  <si>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</si>
  <si>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</si>
  <si>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</si>
  <si>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</si>
  <si>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</si>
  <si>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</si>
  <si>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</si>
  <si>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</si>
  <si>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</si>
  <si>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</si>
  <si>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</si>
  <si>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</si>
  <si>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</si>
  <si>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</si>
  <si>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</si>
  <si>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</si>
  <si>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</si>
  <si>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</si>
  <si>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</si>
  <si>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</si>
  <si>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</si>
  <si>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</si>
  <si>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</si>
  <si>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</si>
  <si>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</si>
  <si>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</si>
  <si>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</si>
  <si>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</si>
  <si>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</si>
  <si>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</si>
  <si>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</si>
  <si>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</si>
  <si>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</si>
  <si>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</si>
  <si>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</si>
  <si>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</si>
  <si>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</si>
  <si>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</si>
  <si>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</si>
  <si>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</si>
  <si>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</si>
  <si>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</si>
  <si>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</si>
  <si>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</si>
  <si>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</si>
  <si>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</si>
  <si>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</si>
  <si>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</si>
  <si>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</si>
  <si>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</si>
  <si>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</si>
  <si>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</si>
  <si>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</si>
  <si>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</si>
  <si>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</si>
  <si>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</si>
  <si>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</si>
  <si>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</si>
  <si>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</si>
  <si>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</si>
  <si>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</si>
  <si>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</si>
  <si>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</si>
  <si>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</si>
  <si>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</si>
  <si>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</si>
  <si>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</si>
  <si>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</si>
  <si>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</si>
  <si>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</si>
  <si>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</si>
  <si>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</si>
  <si>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</si>
  <si>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</si>
  <si>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</si>
  <si>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</si>
  <si>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</si>
  <si>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</si>
  <si>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</si>
  <si>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</si>
  <si>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</si>
  <si>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</si>
  <si>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</si>
  <si>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</si>
  <si>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</si>
  <si>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</si>
  <si>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</si>
  <si>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</si>
  <si>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</si>
  <si>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</si>
  <si>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</si>
  <si>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</si>
  <si>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</si>
  <si>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</si>
  <si>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</si>
  <si>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</si>
  <si>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</si>
  <si>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</si>
  <si>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</si>
  <si>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</si>
  <si>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</si>
  <si>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</si>
  <si>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</si>
  <si>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</si>
  <si>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</si>
  <si>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</si>
  <si>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</si>
  <si>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</si>
  <si>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</si>
  <si>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</si>
  <si>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</si>
  <si>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</si>
  <si>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</si>
  <si>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</si>
  <si>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</si>
  <si>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</si>
  <si>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</si>
  <si>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</si>
  <si>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</si>
  <si>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</si>
  <si>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</si>
  <si>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</si>
  <si>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</si>
  <si>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</si>
  <si>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</si>
  <si>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</si>
  <si>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</si>
  <si>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</si>
  <si>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</si>
  <si>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</si>
  <si>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</si>
  <si>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</si>
  <si>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</si>
  <si>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</si>
  <si>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</si>
  <si>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</si>
  <si>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</si>
  <si>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</si>
  <si>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</si>
  <si>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</si>
  <si>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</si>
  <si>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</si>
  <si>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</si>
  <si>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</si>
  <si>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</si>
  <si>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</si>
  <si>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</si>
  <si>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</si>
  <si>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</si>
  <si>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</si>
  <si>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</si>
  <si>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</si>
  <si>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</si>
  <si>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</si>
  <si>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</si>
  <si>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</si>
  <si>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</si>
  <si>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</si>
  <si>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</si>
  <si>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</si>
  <si>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</si>
  <si>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</si>
  <si>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</si>
  <si>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</si>
  <si>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</si>
  <si>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</si>
  <si>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</si>
  <si>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</si>
  <si>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</si>
  <si>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</si>
  <si>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</si>
  <si>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</si>
  <si>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</si>
  <si>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</si>
  <si>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</si>
  <si>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</si>
  <si>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</si>
  <si>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</si>
  <si>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</si>
  <si>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</si>
  <si>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</si>
  <si>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</si>
  <si>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</si>
  <si>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</si>
  <si>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</si>
  <si>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</si>
  <si>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</si>
  <si>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</si>
  <si>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</si>
  <si>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</si>
  <si>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</si>
  <si>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</si>
  <si>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</si>
  <si>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</si>
  <si>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</si>
  <si>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</si>
  <si>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</si>
  <si>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</si>
  <si>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</si>
  <si>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</si>
  <si>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</si>
  <si>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</si>
  <si>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</si>
  <si>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</si>
  <si>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</si>
  <si>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</si>
  <si>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</si>
  <si>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</si>
  <si>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</si>
  <si>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</si>
  <si>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</si>
  <si>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</si>
  <si>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</si>
  <si>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</si>
  <si>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</si>
  <si>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</si>
  <si>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</si>
  <si>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</si>
  <si>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</si>
  <si>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</si>
  <si>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</si>
  <si>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</si>
  <si>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</si>
  <si>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</si>
  <si>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</si>
  <si>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</si>
  <si>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</si>
  <si>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</si>
  <si>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</si>
  <si>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</si>
  <si>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</si>
  <si>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</si>
  <si>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</si>
  <si>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</si>
  <si>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</si>
  <si>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</si>
  <si>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</si>
  <si>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</si>
  <si>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</si>
  <si>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</si>
  <si>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</si>
  <si>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</si>
  <si>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</si>
  <si>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</si>
  <si>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</si>
  <si>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</si>
  <si>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</si>
  <si>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</si>
  <si>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</si>
  <si>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</si>
  <si>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</si>
  <si>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</si>
  <si>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</si>
  <si>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</si>
  <si>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</si>
  <si>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</si>
  <si>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</si>
  <si>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</si>
  <si>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</si>
  <si>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</si>
  <si>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</si>
  <si>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</si>
  <si>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</si>
  <si>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</si>
  <si>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</si>
  <si>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</si>
  <si>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</si>
  <si>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</si>
  <si>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</si>
  <si>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</si>
  <si>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</si>
  <si>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</si>
  <si>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</si>
  <si>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</si>
  <si>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</si>
  <si>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</si>
  <si>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</si>
  <si>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</si>
  <si>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</si>
  <si>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</si>
  <si>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</si>
  <si>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</si>
  <si>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</si>
  <si>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</si>
  <si>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</si>
  <si>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</si>
  <si>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</si>
  <si>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</si>
  <si>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</si>
  <si>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</si>
  <si>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</si>
  <si>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</si>
  <si>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</si>
  <si>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</si>
  <si>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</si>
  <si>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</si>
  <si>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</si>
  <si>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</si>
  <si>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</si>
  <si>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</si>
  <si>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</si>
  <si>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</si>
  <si>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</si>
  <si>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</si>
  <si>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</si>
  <si>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</si>
  <si>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</si>
  <si>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</si>
  <si>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</si>
  <si>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</si>
  <si>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</si>
  <si>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</si>
  <si>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</si>
  <si>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</si>
  <si>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</si>
  <si>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</si>
  <si>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</si>
  <si>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</si>
  <si>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</si>
  <si>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</si>
  <si>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</si>
  <si>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</si>
  <si>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</si>
  <si>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</si>
  <si>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</si>
  <si>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</si>
  <si>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</si>
  <si>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</si>
  <si>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</si>
  <si>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</si>
  <si>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</si>
  <si>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</si>
  <si>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</si>
  <si>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</si>
  <si>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</si>
  <si>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</si>
  <si>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</si>
  <si>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</si>
  <si>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</si>
  <si>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</si>
  <si>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</si>
  <si>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</si>
  <si>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</si>
  <si>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</si>
  <si>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</si>
  <si>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</si>
  <si>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</si>
  <si>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</si>
  <si>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</si>
  <si>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</si>
  <si>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</si>
  <si>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</si>
  <si>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</si>
  <si>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</si>
  <si>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</si>
  <si>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</si>
  <si>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</si>
  <si>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</si>
  <si>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</si>
  <si>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</si>
  <si>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</si>
  <si>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</si>
  <si>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</si>
  <si>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</si>
  <si>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</si>
  <si>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</si>
  <si>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</si>
  <si>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</si>
  <si>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</si>
  <si>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</si>
  <si>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</si>
  <si>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</si>
  <si>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</si>
  <si>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</si>
  <si>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</si>
  <si>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</si>
  <si>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</si>
  <si>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</si>
  <si>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</si>
  <si>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</si>
  <si>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</si>
  <si>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</si>
  <si>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</si>
  <si>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</si>
  <si>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</si>
  <si>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</si>
  <si>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</si>
  <si>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</si>
  <si>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</si>
  <si>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</si>
  <si>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</si>
  <si>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</si>
  <si>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</si>
  <si>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</si>
  <si>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</si>
  <si>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</si>
  <si>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</si>
  <si>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</si>
  <si>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</si>
  <si>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</si>
  <si>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</si>
  <si>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</si>
  <si>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</si>
  <si>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</si>
  <si>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</si>
  <si>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</si>
  <si>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</si>
  <si>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</si>
  <si>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</si>
  <si>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</si>
  <si>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</si>
  <si>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</si>
  <si>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</si>
  <si>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</si>
  <si>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</si>
  <si>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</si>
  <si>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</si>
  <si>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</si>
  <si>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</si>
  <si>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</si>
  <si>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</si>
  <si>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</si>
  <si>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</si>
  <si>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</si>
  <si>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</si>
  <si>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</si>
  <si>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</si>
  <si>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</si>
  <si>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</si>
  <si>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</si>
  <si>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</si>
  <si>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</si>
  <si>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</si>
  <si>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</si>
  <si>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</si>
  <si>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</si>
  <si>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</si>
  <si>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</si>
  <si>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</si>
  <si>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</si>
  <si>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</si>
  <si>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</si>
  <si>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</si>
  <si>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</si>
  <si>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</si>
  <si>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</si>
  <si>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</si>
  <si>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</si>
  <si>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</si>
  <si>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</si>
  <si>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</si>
  <si>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</si>
  <si>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</si>
  <si>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</si>
  <si>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</si>
  <si>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</si>
  <si>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</si>
  <si>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</si>
  <si>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</si>
  <si>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</si>
  <si>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</si>
  <si>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</si>
  <si>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</si>
  <si>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</si>
  <si>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</si>
  <si>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</si>
  <si>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</si>
  <si>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</si>
  <si>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</si>
  <si>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</si>
  <si>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</si>
  <si>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</si>
  <si>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</si>
  <si>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</si>
  <si>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</si>
  <si>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</si>
  <si>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</si>
  <si>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</si>
  <si>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</si>
  <si>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</si>
  <si>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</si>
  <si>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</si>
  <si>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</si>
  <si>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</si>
  <si>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</si>
  <si>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</si>
  <si>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</si>
  <si>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</si>
  <si>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</si>
  <si>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</si>
  <si>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</si>
  <si>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</si>
  <si>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</si>
  <si>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</si>
  <si>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</si>
  <si>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</si>
  <si>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</si>
  <si>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</si>
  <si>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</si>
  <si>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</si>
  <si>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</si>
  <si>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</si>
  <si>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</si>
  <si>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</si>
  <si>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</si>
  <si>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</si>
  <si>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</si>
  <si>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</si>
  <si>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</si>
  <si>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</si>
  <si>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</si>
  <si>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</si>
  <si>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</si>
  <si>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</si>
  <si>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</si>
  <si>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</si>
  <si>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</si>
  <si>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</si>
  <si>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</si>
  <si>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</si>
  <si>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</si>
  <si>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</si>
  <si>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</si>
  <si>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</si>
  <si>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</si>
  <si>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</si>
  <si>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</si>
  <si>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</si>
  <si>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</si>
  <si>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</si>
  <si>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</si>
  <si>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</si>
  <si>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</si>
  <si>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</si>
  <si>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</si>
  <si>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</si>
  <si>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</si>
  <si>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</si>
  <si>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</si>
  <si>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</si>
  <si>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</si>
  <si>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</si>
  <si>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</si>
  <si>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</si>
  <si>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</si>
  <si>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</si>
  <si>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</si>
  <si>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</si>
  <si>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</si>
  <si>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</si>
  <si>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</si>
  <si>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</si>
  <si>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</si>
  <si>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</si>
  <si>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</si>
  <si>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</si>
  <si>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</si>
  <si>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</si>
  <si>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</si>
  <si>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</si>
  <si>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</si>
  <si>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</si>
  <si>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</si>
  <si>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</si>
  <si>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</si>
  <si>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</si>
  <si>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</si>
  <si>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</si>
  <si>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</si>
  <si>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</si>
  <si>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</si>
  <si>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</si>
  <si>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</si>
  <si>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</si>
  <si>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</si>
  <si>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</si>
  <si>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</si>
  <si>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</si>
  <si>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</si>
  <si>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</si>
  <si>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</si>
  <si>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</si>
  <si>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</si>
  <si>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</si>
  <si>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</si>
  <si>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</si>
  <si>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</si>
  <si>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</si>
  <si>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</si>
  <si>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</si>
  <si>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</si>
  <si>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</si>
  <si>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</si>
  <si>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</si>
  <si>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</si>
  <si>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</si>
  <si>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</si>
  <si>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</si>
  <si>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</si>
  <si>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</si>
  <si>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</si>
  <si>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</si>
  <si>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</si>
  <si>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</si>
  <si>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</si>
  <si>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</si>
  <si>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</si>
  <si>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</si>
  <si>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</si>
  <si>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</si>
  <si>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</si>
  <si>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</si>
  <si>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</si>
  <si>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</si>
  <si>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</si>
  <si>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</si>
  <si>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</si>
  <si>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</si>
  <si>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</si>
  <si>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</si>
  <si>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</si>
  <si>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</si>
  <si>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</si>
  <si>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</si>
  <si>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</si>
  <si>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</si>
  <si>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</si>
  <si>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</si>
  <si>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</si>
  <si>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</si>
  <si>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</si>
  <si>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</si>
  <si>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</si>
  <si>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</si>
  <si>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</si>
  <si>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</si>
  <si>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</si>
  <si>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</si>
  <si>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</si>
  <si>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</si>
  <si>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</si>
  <si>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</si>
  <si>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</si>
  <si>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</si>
  <si>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</si>
  <si>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</si>
  <si>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</si>
  <si>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</si>
  <si>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</si>
  <si>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</si>
  <si>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</si>
  <si>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</si>
  <si>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</si>
  <si>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</si>
  <si>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</si>
  <si>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</si>
  <si>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</si>
  <si>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</si>
  <si>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</si>
  <si>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</si>
  <si>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</si>
  <si>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</si>
  <si>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</si>
  <si>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</si>
  <si>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</si>
  <si>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</si>
  <si>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</si>
  <si>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</si>
  <si>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</si>
  <si>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</si>
  <si>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</si>
  <si>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</si>
  <si>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</si>
  <si>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</si>
  <si>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</si>
  <si>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</si>
  <si>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</si>
  <si>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</si>
  <si>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</si>
  <si>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</si>
  <si>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</si>
  <si>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</si>
  <si>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</si>
  <si>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</si>
  <si>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</si>
  <si>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</si>
  <si>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</si>
  <si>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</si>
  <si>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</si>
  <si>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</si>
  <si>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</si>
  <si>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</si>
  <si>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</si>
  <si>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</si>
  <si>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</si>
  <si>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</si>
  <si>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</si>
  <si>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</si>
  <si>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</si>
  <si>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</si>
  <si>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</si>
  <si>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</si>
  <si>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</si>
  <si>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</si>
  <si>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</si>
  <si>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</si>
  <si>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</si>
  <si>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</si>
  <si>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</si>
  <si>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</si>
  <si>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</si>
  <si>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</si>
  <si>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</si>
  <si>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</si>
  <si>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</si>
  <si>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</si>
  <si>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</si>
  <si>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</si>
  <si>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</si>
  <si>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</si>
  <si>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</si>
  <si>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</si>
  <si>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</si>
  <si>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</si>
  <si>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</si>
  <si>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</si>
  <si>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</si>
  <si>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</si>
  <si>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</si>
  <si>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</si>
  <si>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</si>
  <si>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</si>
  <si>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</si>
  <si>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</si>
  <si>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</si>
  <si>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</si>
  <si>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</si>
  <si>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</si>
  <si>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</si>
  <si>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</si>
  <si>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</si>
  <si>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</si>
  <si>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</si>
  <si>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</si>
  <si>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</si>
  <si>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</si>
  <si>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</si>
  <si>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</si>
  <si>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</si>
  <si>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</si>
  <si>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</si>
  <si>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</si>
  <si>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</si>
  <si>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</si>
  <si>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</si>
  <si>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</si>
  <si>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</si>
  <si>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</si>
  <si>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</si>
  <si>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</si>
  <si>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</si>
  <si>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</si>
  <si>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</si>
  <si>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</si>
  <si>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</si>
  <si>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</si>
  <si>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</si>
  <si>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</si>
  <si>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</si>
  <si>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</si>
  <si>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</si>
  <si>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</si>
  <si>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</si>
  <si>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</si>
  <si>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</si>
  <si>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</si>
  <si>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</si>
  <si>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</si>
  <si>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</si>
  <si>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</si>
  <si>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</si>
  <si>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</si>
  <si>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</si>
  <si>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</si>
  <si>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</si>
  <si>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</si>
  <si>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</si>
  <si>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</si>
  <si>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</si>
  <si>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</si>
  <si>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</si>
  <si>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</si>
  <si>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</si>
  <si>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</si>
  <si>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</si>
  <si>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</si>
  <si>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</si>
  <si>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</si>
  <si>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</si>
  <si>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</si>
  <si>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</si>
  <si>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</si>
  <si>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</si>
  <si>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</si>
  <si>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</si>
  <si>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</si>
  <si>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</si>
  <si>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</si>
  <si>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</si>
  <si>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</si>
  <si>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</si>
  <si>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</si>
  <si>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</si>
  <si>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</si>
  <si>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</si>
  <si>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</si>
  <si>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</si>
  <si>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</si>
  <si>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</si>
  <si>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</si>
  <si>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</si>
  <si>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</si>
  <si>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</si>
  <si>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</si>
  <si>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</si>
  <si>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</si>
  <si>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</si>
  <si>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</si>
  <si>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</si>
  <si>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</si>
  <si>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</si>
  <si>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</si>
  <si>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</si>
  <si>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</si>
  <si>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</si>
  <si>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</si>
  <si>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</si>
  <si>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</si>
  <si>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</si>
  <si>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</si>
  <si>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</si>
  <si>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</si>
  <si>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</si>
  <si>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</si>
  <si>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</si>
  <si>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</si>
  <si>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</si>
  <si>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</si>
  <si>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</si>
  <si>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</si>
  <si>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</si>
  <si>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</si>
  <si>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</si>
  <si>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</si>
  <si>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</si>
  <si>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</si>
  <si>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</si>
  <si>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</si>
  <si>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</si>
  <si>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</si>
  <si>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</si>
  <si>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</si>
  <si>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</si>
  <si>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</si>
  <si>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</si>
  <si>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</si>
  <si>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</si>
  <si>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</si>
  <si>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</si>
  <si>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</si>
  <si>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</si>
  <si>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</si>
  <si>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</si>
  <si>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</si>
  <si>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</si>
  <si>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</si>
  <si>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</si>
  <si>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</si>
  <si>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</si>
  <si>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</si>
  <si>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</si>
  <si>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</si>
  <si>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</si>
  <si>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</si>
  <si>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</si>
  <si>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</si>
  <si>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</si>
  <si>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</si>
  <si>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</si>
  <si>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</si>
  <si>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</si>
  <si>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</si>
  <si>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</si>
  <si>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</si>
  <si>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</si>
  <si>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</si>
  <si>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</si>
  <si>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</si>
  <si>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</si>
  <si>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</si>
  <si>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</si>
  <si>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</si>
  <si>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</si>
  <si>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</si>
  <si>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</si>
  <si>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</si>
  <si>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</si>
  <si>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</si>
  <si>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</si>
  <si>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</si>
  <si>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</si>
  <si>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</si>
  <si>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</si>
  <si>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</si>
  <si>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</si>
  <si>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</si>
  <si>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</si>
  <si>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</si>
  <si>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</si>
  <si>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</si>
  <si>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</si>
  <si>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</si>
  <si>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</si>
  <si>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</si>
  <si>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</si>
  <si>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</si>
  <si>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</si>
  <si>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</si>
  <si>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</si>
  <si>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</si>
  <si>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</si>
  <si>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</si>
  <si>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</si>
  <si>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</si>
  <si>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</si>
  <si>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</si>
  <si>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</si>
  <si>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</si>
  <si>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</si>
  <si>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</si>
  <si>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</si>
  <si>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</si>
  <si>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</si>
  <si>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</si>
  <si>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</si>
  <si>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</si>
  <si>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</si>
  <si>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</si>
  <si>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</si>
  <si>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</si>
  <si>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</si>
  <si>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</si>
  <si>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</si>
  <si>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</si>
  <si>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</si>
  <si>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</si>
  <si>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</si>
  <si>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</si>
  <si>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</si>
  <si>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</si>
  <si>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</si>
  <si>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</si>
  <si>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</si>
  <si>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</si>
  <si>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</si>
  <si>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</si>
  <si>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</si>
  <si>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</si>
  <si>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</si>
  <si>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</si>
  <si>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</si>
  <si>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</si>
  <si>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</si>
  <si>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</si>
  <si>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</si>
  <si>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</si>
  <si>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</si>
  <si>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</si>
  <si>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</si>
  <si>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</si>
  <si>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</si>
  <si>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</si>
  <si>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</si>
  <si>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</si>
  <si>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</si>
  <si>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</si>
  <si>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</si>
  <si>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</si>
  <si>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</si>
  <si>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</si>
  <si>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</si>
  <si>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</si>
  <si>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</si>
  <si>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</si>
  <si>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</si>
  <si>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</si>
  <si>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</si>
  <si>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</si>
  <si>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</si>
  <si>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</si>
  <si>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</si>
  <si>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</si>
  <si>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</si>
  <si>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</si>
  <si>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</si>
  <si>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</si>
  <si>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</si>
  <si>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</si>
  <si>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</si>
  <si>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</si>
  <si>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</si>
  <si>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</si>
  <si>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</si>
  <si>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</si>
  <si>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</si>
  <si>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</si>
  <si>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</si>
  <si>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</si>
  <si>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</si>
  <si>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</si>
  <si>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</si>
  <si>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</si>
  <si>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</si>
  <si>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</si>
  <si>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</si>
  <si>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</si>
  <si>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</si>
  <si>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</si>
  <si>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</si>
  <si>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</si>
  <si>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</si>
  <si>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</si>
  <si>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</si>
  <si>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</si>
  <si>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</si>
  <si>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</si>
  <si>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</si>
  <si>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</si>
  <si>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</si>
  <si>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</si>
  <si>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</si>
  <si>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</si>
  <si>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</si>
  <si>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</si>
  <si>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</si>
  <si>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</si>
  <si>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</si>
  <si>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</si>
  <si>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</si>
  <si>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</si>
  <si>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</si>
  <si>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</si>
  <si>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</si>
  <si>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</si>
  <si>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</si>
  <si>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</si>
  <si>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</si>
  <si>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</si>
  <si>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</si>
  <si>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</si>
  <si>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</si>
  <si>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</si>
  <si>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</si>
  <si>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</si>
  <si>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</si>
  <si>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</si>
  <si>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</si>
  <si>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</si>
  <si>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</si>
  <si>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</si>
  <si>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</si>
  <si>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</si>
  <si>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</si>
  <si>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</si>
  <si>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</si>
  <si>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</si>
  <si>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</si>
  <si>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</si>
  <si>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</si>
  <si>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</si>
  <si>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</si>
  <si>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</si>
  <si>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</si>
  <si>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</si>
  <si>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</si>
  <si>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</si>
  <si>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</si>
  <si>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</si>
  <si>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</si>
  <si>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</si>
  <si>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</si>
  <si>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</si>
  <si>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</si>
  <si>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</si>
  <si>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</si>
  <si>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</si>
  <si>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</si>
  <si>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</si>
  <si>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</si>
  <si>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</si>
  <si>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</si>
  <si>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</si>
  <si>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</si>
  <si>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</si>
  <si>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</si>
  <si>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</si>
  <si>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</si>
  <si>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</si>
  <si>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</si>
  <si>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</si>
  <si>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</si>
  <si>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</si>
  <si>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</si>
  <si>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</si>
  <si>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</si>
  <si>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</si>
  <si>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</si>
  <si>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</si>
  <si>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</si>
  <si>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</si>
  <si>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</si>
  <si>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</si>
  <si>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</si>
  <si>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</si>
  <si>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</si>
  <si>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</si>
  <si>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</si>
  <si>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</si>
  <si>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</si>
  <si>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</si>
  <si>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</si>
  <si>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</si>
  <si>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</si>
  <si>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</si>
  <si>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</si>
  <si>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</si>
  <si>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</si>
  <si>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</si>
  <si>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</si>
  <si>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</si>
  <si>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</si>
  <si>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</si>
  <si>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</si>
  <si>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</si>
  <si>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</si>
  <si>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</si>
  <si>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</si>
  <si>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</si>
  <si>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</si>
  <si>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</si>
  <si>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</si>
  <si>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</si>
  <si>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</si>
  <si>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</si>
  <si>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</si>
  <si>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</si>
  <si>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</si>
  <si>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</si>
  <si>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</si>
  <si>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</si>
  <si>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</si>
  <si>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</si>
  <si>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</si>
  <si>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</si>
  <si>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</si>
  <si>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</si>
  <si>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</si>
  <si>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</si>
  <si>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</si>
  <si>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</si>
  <si>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</si>
  <si>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</si>
  <si>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</si>
  <si>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</si>
  <si>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</si>
  <si>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</si>
  <si>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</si>
  <si>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</si>
  <si>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</si>
  <si>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</si>
  <si>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</si>
  <si>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</si>
  <si>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</si>
  <si>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</si>
  <si>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</si>
  <si>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</si>
  <si>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</si>
  <si>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</si>
  <si>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</si>
  <si>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</si>
  <si>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</si>
  <si>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</si>
  <si>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</si>
  <si>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</si>
  <si>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</si>
  <si>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</si>
  <si>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</si>
  <si>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</si>
  <si>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</si>
  <si>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</si>
  <si>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</si>
  <si>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</si>
  <si>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</si>
  <si>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</si>
  <si>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</si>
  <si>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</si>
  <si>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</si>
  <si>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</si>
  <si>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</si>
  <si>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</si>
  <si>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</si>
  <si>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</si>
  <si>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</si>
  <si>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</si>
  <si>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</si>
  <si>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</si>
  <si>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</si>
  <si>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</si>
  <si>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</si>
  <si>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</si>
  <si>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</si>
  <si>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</si>
  <si>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</si>
  <si>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</si>
  <si>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</si>
  <si>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</si>
  <si>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</si>
  <si>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</si>
  <si>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</si>
  <si>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</si>
  <si>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</si>
  <si>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</si>
  <si>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</si>
  <si>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</si>
  <si>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</si>
  <si>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</si>
  <si>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</si>
  <si>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</si>
  <si>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</si>
  <si>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</si>
  <si>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</si>
  <si>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</si>
  <si>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</si>
  <si>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</si>
  <si>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</si>
  <si>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</si>
  <si>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</si>
  <si>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</si>
  <si>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</si>
  <si>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</si>
  <si>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</si>
  <si>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</si>
  <si>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</si>
  <si>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</si>
  <si>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</si>
  <si>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</si>
  <si>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</si>
  <si>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</si>
  <si>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</si>
  <si>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</si>
  <si>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</si>
  <si>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</si>
  <si>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</si>
  <si>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</si>
  <si>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</si>
  <si>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</si>
  <si>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</si>
  <si>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</si>
  <si>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</si>
  <si>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</si>
  <si>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</si>
  <si>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</si>
  <si>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</si>
  <si>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</si>
  <si>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</si>
  <si>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</si>
  <si>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</si>
  <si>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</si>
  <si>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</si>
  <si>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</si>
  <si>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</si>
  <si>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</si>
  <si>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</si>
  <si>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</si>
  <si>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</si>
  <si>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</si>
  <si>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</si>
  <si>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</si>
  <si>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</si>
  <si>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</si>
  <si>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</si>
  <si>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</si>
  <si>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</si>
  <si>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</si>
  <si>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</si>
  <si>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</si>
  <si>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</si>
  <si>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</si>
  <si>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</si>
  <si>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</si>
  <si>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</si>
  <si>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</si>
  <si>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</si>
  <si>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</si>
  <si>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</si>
  <si>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</si>
  <si>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</si>
  <si>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</si>
  <si>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</si>
  <si>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</si>
  <si>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</si>
  <si>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</si>
  <si>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</si>
  <si>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</si>
  <si>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</si>
  <si>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</si>
  <si>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</si>
  <si>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</si>
  <si>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</si>
  <si>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</si>
  <si>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</si>
  <si>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</si>
  <si>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</si>
  <si>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</si>
  <si>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</si>
  <si>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</si>
  <si>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</si>
  <si>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</si>
  <si>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</si>
  <si>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</si>
  <si>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</si>
  <si>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</si>
  <si>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</si>
  <si>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</si>
  <si>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</si>
  <si>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</si>
  <si>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</si>
  <si>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</si>
  <si>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</si>
  <si>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</si>
  <si>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</si>
  <si>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</si>
  <si>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</si>
  <si>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</si>
  <si>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</si>
  <si>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</si>
  <si>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</si>
  <si>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</si>
  <si>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</si>
  <si>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</si>
  <si>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</si>
  <si>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</si>
  <si>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</si>
  <si>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</si>
  <si>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</si>
  <si>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</si>
  <si>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</si>
  <si>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</si>
  <si>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</si>
  <si>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</si>
  <si>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</si>
  <si>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</si>
  <si>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</si>
  <si>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</si>
  <si>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</si>
  <si>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</si>
  <si>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</si>
  <si>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</si>
  <si>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</si>
  <si>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</si>
  <si>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</si>
  <si>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</si>
  <si>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</si>
  <si>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</si>
  <si>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</si>
  <si>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</si>
  <si>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</si>
  <si>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</si>
  <si>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</si>
  <si>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</si>
  <si>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</si>
  <si>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</si>
  <si>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</si>
  <si>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</si>
  <si>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</si>
  <si>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</si>
  <si>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</si>
  <si>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</si>
  <si>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</si>
  <si>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</si>
  <si>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</si>
  <si>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</si>
  <si>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</si>
  <si>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</si>
  <si>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</si>
  <si>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</si>
  <si>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</si>
  <si>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</si>
  <si>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</si>
  <si>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</si>
  <si>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</si>
  <si>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</si>
  <si>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</si>
  <si>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</si>
  <si>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</si>
  <si>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</si>
  <si>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</si>
  <si>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</si>
  <si>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</si>
  <si>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</si>
  <si>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</si>
  <si>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</si>
  <si>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</si>
  <si>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</si>
  <si>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</si>
  <si>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</si>
  <si>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</si>
  <si>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</si>
  <si>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</si>
  <si>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</si>
  <si>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</si>
  <si>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</si>
  <si>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</si>
  <si>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</si>
  <si>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</si>
  <si>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</si>
  <si>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</si>
  <si>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</si>
  <si>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</si>
  <si>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</si>
  <si>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</si>
  <si>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</si>
  <si>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</si>
  <si>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</si>
  <si>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</si>
  <si>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</si>
  <si>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</si>
  <si>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</si>
  <si>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</si>
  <si>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</si>
  <si>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</si>
  <si>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</si>
  <si>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</si>
  <si>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</si>
  <si>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</si>
  <si>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</si>
  <si>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</si>
  <si>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</si>
  <si>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</si>
  <si>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</si>
  <si>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</si>
  <si>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</si>
  <si>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</si>
  <si>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</si>
  <si>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</si>
  <si>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</si>
  <si>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</si>
  <si>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</si>
  <si>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</si>
  <si>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</si>
  <si>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</si>
  <si>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</si>
  <si>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</si>
  <si>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</si>
  <si>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</si>
  <si>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</si>
  <si>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</si>
  <si>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</si>
  <si>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</si>
  <si>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</si>
  <si>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</si>
  <si>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</si>
  <si>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</si>
  <si>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</si>
  <si>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</si>
  <si>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</si>
  <si>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</si>
  <si>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</si>
  <si>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</si>
  <si>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</si>
  <si>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</si>
  <si>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</si>
  <si>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</si>
  <si>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</si>
  <si>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</si>
  <si>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</si>
  <si>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</si>
  <si>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</si>
  <si>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</si>
  <si>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</si>
  <si>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</si>
  <si>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</si>
  <si>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</si>
  <si>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</si>
  <si>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</si>
  <si>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</si>
  <si>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</si>
  <si>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</si>
  <si>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</si>
  <si>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</si>
  <si>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</si>
  <si>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</si>
  <si>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</si>
  <si>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</si>
  <si>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</si>
  <si>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</si>
  <si>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</si>
  <si>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</si>
  <si>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</si>
  <si>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</si>
  <si>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</si>
  <si>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</si>
  <si>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</si>
  <si>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</si>
  <si>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</si>
  <si>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</si>
  <si>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</si>
  <si>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</si>
  <si>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</si>
  <si>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</si>
  <si>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</si>
  <si>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</si>
  <si>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</si>
  <si>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</si>
  <si>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</si>
  <si>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</si>
  <si>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</si>
  <si>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</si>
  <si>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</si>
  <si>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</si>
  <si>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</si>
  <si>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</si>
  <si>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</si>
  <si>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</si>
  <si>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</si>
  <si>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</si>
  <si>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</si>
  <si>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</si>
  <si>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</si>
  <si>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</si>
  <si>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</si>
  <si>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</si>
  <si>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</si>
  <si>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</si>
  <si>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</si>
  <si>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</si>
  <si>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</si>
  <si>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</si>
  <si>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</si>
  <si>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</si>
  <si>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</si>
  <si>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</si>
  <si>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</si>
  <si>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</si>
  <si>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</si>
  <si>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</si>
  <si>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</si>
  <si>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</si>
  <si>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</si>
  <si>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</si>
  <si>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</si>
  <si>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</si>
  <si>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</si>
  <si>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</si>
  <si>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</si>
  <si>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</si>
  <si>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</si>
  <si>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</si>
  <si>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</si>
  <si>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</si>
  <si>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</si>
  <si>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</si>
  <si>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</si>
  <si>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</si>
  <si>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</si>
  <si>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</si>
  <si>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</si>
  <si>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</si>
  <si>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</si>
  <si>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</si>
  <si>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</si>
  <si>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</si>
  <si>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</si>
  <si>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</si>
  <si>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</si>
  <si>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</si>
  <si>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</si>
  <si>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</si>
  <si>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</si>
  <si>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</si>
  <si>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</si>
  <si>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</si>
  <si>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</si>
  <si>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</si>
  <si>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</si>
  <si>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</si>
  <si>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</si>
  <si>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</si>
  <si>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</si>
  <si>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</si>
  <si>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</si>
  <si>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</si>
  <si>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</si>
  <si>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</si>
  <si>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</si>
  <si>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</si>
  <si>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</si>
  <si>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</si>
  <si>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</si>
  <si>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</si>
  <si>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</si>
  <si>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</si>
  <si>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</si>
  <si>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</si>
  <si>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</si>
  <si>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</si>
  <si>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</si>
  <si>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</si>
  <si>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</si>
  <si>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</si>
  <si>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</si>
  <si>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</si>
  <si>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</si>
  <si>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</si>
  <si>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</si>
  <si>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</si>
  <si>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</si>
  <si>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</si>
  <si>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</si>
  <si>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</si>
  <si>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</si>
  <si>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</si>
  <si>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</si>
  <si>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</si>
  <si>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</si>
  <si>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</si>
  <si>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</si>
  <si>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</si>
  <si>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</si>
  <si>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</si>
  <si>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</si>
  <si>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</si>
  <si>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</si>
  <si>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</si>
  <si>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</si>
  <si>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</si>
  <si>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</si>
  <si>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</si>
  <si>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</si>
  <si>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</si>
  <si>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</si>
  <si>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</si>
  <si>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</si>
  <si>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</si>
  <si>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</si>
  <si>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</si>
  <si>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</si>
  <si>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</si>
  <si>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</si>
  <si>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</si>
  <si>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</si>
  <si>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</si>
  <si>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</si>
  <si>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</si>
  <si>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</si>
  <si>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</si>
  <si>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</si>
  <si>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</si>
  <si>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</si>
  <si>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</si>
  <si>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</si>
  <si>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</si>
  <si>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</si>
  <si>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</si>
  <si>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</si>
  <si>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</si>
  <si>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</si>
  <si>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</si>
  <si>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</si>
  <si>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</si>
  <si>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</si>
  <si>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</si>
  <si>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</si>
  <si>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</si>
  <si>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</si>
  <si>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</si>
  <si>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</si>
  <si>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</si>
  <si>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</si>
  <si>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</si>
  <si>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</si>
  <si>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</si>
  <si>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</si>
  <si>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</si>
  <si>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</si>
  <si>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</si>
  <si>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</si>
  <si>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</si>
  <si>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</si>
  <si>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</si>
  <si>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</si>
  <si>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</si>
  <si>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</si>
  <si>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</si>
  <si>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</si>
  <si>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</si>
  <si>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</si>
  <si>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</si>
  <si>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</si>
  <si>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</si>
  <si>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</si>
  <si>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</si>
  <si>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</si>
  <si>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</si>
  <si>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</si>
  <si>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</si>
  <si>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</si>
  <si>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</si>
  <si>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</si>
  <si>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</si>
  <si>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</si>
  <si>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</si>
  <si>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</si>
  <si>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</si>
  <si>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</si>
  <si>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</si>
  <si>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</si>
  <si>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</si>
  <si>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</si>
  <si>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</si>
  <si>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</si>
  <si>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</si>
  <si>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</si>
  <si>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</si>
  <si>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</si>
  <si>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</si>
  <si>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</si>
  <si>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</si>
  <si>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</si>
  <si>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</si>
  <si>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</si>
  <si>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</si>
  <si>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</si>
  <si>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</si>
  <si>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</si>
  <si>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</si>
  <si>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</si>
  <si>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</si>
  <si>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</si>
  <si>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</si>
  <si>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</si>
  <si>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</si>
  <si>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</si>
  <si>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</si>
  <si>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</si>
  <si>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</si>
  <si>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</si>
  <si>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</si>
  <si>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</si>
  <si>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</si>
  <si>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</si>
  <si>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</si>
  <si>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</si>
  <si>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</si>
  <si>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</si>
  <si>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</si>
  <si>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</si>
  <si>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</si>
  <si>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</si>
  <si>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</si>
  <si>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</si>
  <si>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</si>
  <si>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</si>
  <si>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</si>
  <si>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</si>
  <si>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</si>
  <si>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</si>
  <si>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</si>
  <si>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</si>
  <si>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</si>
  <si>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</si>
  <si>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</si>
  <si>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</si>
  <si>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</si>
  <si>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</si>
  <si>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</si>
  <si>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</si>
  <si>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</si>
  <si>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</si>
  <si>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</si>
  <si>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</si>
  <si>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</si>
  <si>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</si>
  <si>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</si>
  <si>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</si>
  <si>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</si>
  <si>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</si>
  <si>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</si>
  <si>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</si>
  <si>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</si>
  <si>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</si>
  <si>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</si>
  <si>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</si>
  <si>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</si>
  <si>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</si>
  <si>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</si>
  <si>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</si>
  <si>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</si>
  <si>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</si>
  <si>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</si>
  <si>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</si>
  <si>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</si>
  <si>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</si>
  <si>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</si>
  <si>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</si>
  <si>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</si>
  <si>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</si>
  <si>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</si>
  <si>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</si>
  <si>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</si>
  <si>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</si>
  <si>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</si>
  <si>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</si>
  <si>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</si>
  <si>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</si>
  <si>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</si>
  <si>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</si>
  <si>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</si>
  <si>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</si>
  <si>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</si>
  <si>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</si>
  <si>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</si>
  <si>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</si>
  <si>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</si>
  <si>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</si>
  <si>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</si>
  <si>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</si>
  <si>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</si>
  <si>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</si>
  <si>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</si>
  <si>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</si>
  <si>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</si>
  <si>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</si>
  <si>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</si>
  <si>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</si>
  <si>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</si>
  <si>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</si>
  <si>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</si>
  <si>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</si>
  <si>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</si>
  <si>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</si>
  <si>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</si>
  <si>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</si>
  <si>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</si>
  <si>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</si>
  <si>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</si>
  <si>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</si>
  <si>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</si>
  <si>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</si>
  <si>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</si>
  <si>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</si>
  <si>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</si>
  <si>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</si>
  <si>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</si>
  <si>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</si>
  <si>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</si>
  <si>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</si>
  <si>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</si>
  <si>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</si>
  <si>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</si>
  <si>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</si>
  <si>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</si>
  <si>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</si>
  <si>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</si>
  <si>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</si>
  <si>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</si>
  <si>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</si>
  <si>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</si>
  <si>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</si>
  <si>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</si>
  <si>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</si>
  <si>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</si>
  <si>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</si>
  <si>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</si>
  <si>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</si>
  <si>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</si>
  <si>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</si>
  <si>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</si>
  <si>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</si>
  <si>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</si>
  <si>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</si>
  <si>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</si>
  <si>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</si>
  <si>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</si>
  <si>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</si>
  <si>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</si>
  <si>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</si>
  <si>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</si>
  <si>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</si>
  <si>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</si>
  <si>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</si>
  <si>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</si>
  <si>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</si>
  <si>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</si>
  <si>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</si>
  <si>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</si>
  <si>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</si>
  <si>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</si>
  <si>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</si>
  <si>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</si>
  <si>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</si>
  <si>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</si>
  <si>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</si>
  <si>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</si>
  <si>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</si>
  <si>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</si>
  <si>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</si>
  <si>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</si>
  <si>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</si>
  <si>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</si>
  <si>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</si>
  <si>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</si>
  <si>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</si>
  <si>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</si>
  <si>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</si>
  <si>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</si>
  <si>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</si>
  <si>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</si>
  <si>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</si>
  <si>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</si>
  <si>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</si>
  <si>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</si>
  <si>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</si>
  <si>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</si>
  <si>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</si>
  <si>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</si>
  <si>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</si>
  <si>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</si>
  <si>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</si>
  <si>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</si>
  <si>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</si>
  <si>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</si>
  <si>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</si>
  <si>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</si>
  <si>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</si>
  <si>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</si>
  <si>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</si>
  <si>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</si>
  <si>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</si>
  <si>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</si>
  <si>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</si>
  <si>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</si>
  <si>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</si>
  <si>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</si>
  <si>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</si>
  <si>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</si>
  <si>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</si>
  <si>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</si>
  <si>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</si>
  <si>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</si>
  <si>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</si>
  <si>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</si>
  <si>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</si>
  <si>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</si>
  <si>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</si>
  <si>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</si>
  <si>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</si>
  <si>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</si>
  <si>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</si>
  <si>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</si>
  <si>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</si>
  <si>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</si>
  <si>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</si>
  <si>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</si>
  <si>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</si>
  <si>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</si>
  <si>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</si>
  <si>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</si>
  <si>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</si>
  <si>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</si>
  <si>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</si>
  <si>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</si>
  <si>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</si>
  <si>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</si>
  <si>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</si>
  <si>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</si>
  <si>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</si>
  <si>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</si>
  <si>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</si>
  <si>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</si>
  <si>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</si>
  <si>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</si>
  <si>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</si>
  <si>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</si>
  <si>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</si>
  <si>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</si>
  <si>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</si>
  <si>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</si>
  <si>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</si>
  <si>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</si>
  <si>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</si>
  <si>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</si>
  <si>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</si>
  <si>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</si>
  <si>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</si>
  <si>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</si>
  <si>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</si>
  <si>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</si>
  <si>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</si>
  <si>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</si>
  <si>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</si>
  <si>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</si>
  <si>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</si>
  <si>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</si>
  <si>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</si>
  <si>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</si>
  <si>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</si>
  <si>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</si>
  <si>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</si>
  <si>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</si>
  <si>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</si>
  <si>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</si>
  <si>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</si>
  <si>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</si>
  <si>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</si>
  <si>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</si>
  <si>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</si>
  <si>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</si>
  <si>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</si>
  <si>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</si>
  <si>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</si>
  <si>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</si>
  <si>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</si>
  <si>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</si>
  <si>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</si>
  <si>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</si>
  <si>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</si>
  <si>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</si>
  <si>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</si>
  <si>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</si>
  <si>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</si>
  <si>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</si>
  <si>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</si>
  <si>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</si>
  <si>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</si>
  <si>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</si>
  <si>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</si>
  <si>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</si>
  <si>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</si>
  <si>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</si>
  <si>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</si>
  <si>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</si>
  <si>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</si>
  <si>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</si>
  <si>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</si>
  <si>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</si>
  <si>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</si>
  <si>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</si>
  <si>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</si>
  <si>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</si>
  <si>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</si>
  <si>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</si>
  <si>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</si>
  <si>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</si>
  <si>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</si>
  <si>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</si>
  <si>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</si>
  <si>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</si>
  <si>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</si>
  <si>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</si>
  <si>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</si>
  <si>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</si>
  <si>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</si>
  <si>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</si>
  <si>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</si>
  <si>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</si>
  <si>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</si>
  <si>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</si>
  <si>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</si>
  <si>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</si>
  <si>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</si>
  <si>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</si>
  <si>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</si>
  <si>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</si>
  <si>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</si>
  <si>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</si>
  <si>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</si>
  <si>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</si>
  <si>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</si>
  <si>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</si>
  <si>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</si>
  <si>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</si>
  <si>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</si>
  <si>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</si>
  <si>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</si>
  <si>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</si>
  <si>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</si>
  <si>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</si>
  <si>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</si>
  <si>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</si>
  <si>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</si>
  <si>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</si>
  <si>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</si>
  <si>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</si>
  <si>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</si>
  <si>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</si>
  <si>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</si>
  <si>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</si>
  <si>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</si>
  <si>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</si>
  <si>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</si>
  <si>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</si>
  <si>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</si>
  <si>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</si>
  <si>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</si>
  <si>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</si>
  <si>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</si>
  <si>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</si>
  <si>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</si>
  <si>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</si>
  <si>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</si>
  <si>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</si>
  <si>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</si>
  <si>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</si>
  <si>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</si>
  <si>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</si>
  <si>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</si>
  <si>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</si>
  <si>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</si>
  <si>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</si>
  <si>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</si>
  <si>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</si>
  <si>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</si>
  <si>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</si>
  <si>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</si>
  <si>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</si>
  <si>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</si>
  <si>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</si>
  <si>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</si>
  <si>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</si>
  <si>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</si>
  <si>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</si>
  <si>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</si>
  <si>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</si>
  <si>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</si>
  <si>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</si>
  <si>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</si>
  <si>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</si>
  <si>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</si>
  <si>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</si>
  <si>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</si>
  <si>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</si>
  <si>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</si>
  <si>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</si>
  <si>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</si>
  <si>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</si>
  <si>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</si>
  <si>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</si>
  <si>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</si>
  <si>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</si>
  <si>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</si>
  <si>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</si>
  <si>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</si>
  <si>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</si>
  <si>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</si>
  <si>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</si>
  <si>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</si>
  <si>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</si>
  <si>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</si>
  <si>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</si>
  <si>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</si>
  <si>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</si>
  <si>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</si>
  <si>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</si>
  <si>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</si>
  <si>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</si>
  <si>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</si>
  <si>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</si>
  <si>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</si>
  <si>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</si>
  <si>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</si>
  <si>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</si>
  <si>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</si>
  <si>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</si>
  <si>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</si>
  <si>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</si>
  <si>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</si>
  <si>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</si>
  <si>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</si>
  <si>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</si>
  <si>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</si>
  <si>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</si>
  <si>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</si>
  <si>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</si>
  <si>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</si>
  <si>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</si>
  <si>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</si>
  <si>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</si>
  <si>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</si>
  <si>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</si>
  <si>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</si>
  <si>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</si>
  <si>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</si>
  <si>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</si>
  <si>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</si>
  <si>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</si>
  <si>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</si>
  <si>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</si>
  <si>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</si>
  <si>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</si>
  <si>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</si>
  <si>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</si>
  <si>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</si>
  <si>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</si>
  <si>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</si>
  <si>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</si>
  <si>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</si>
  <si>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</si>
  <si>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</si>
  <si>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</si>
  <si>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</si>
  <si>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</si>
  <si>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</si>
  <si>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</si>
  <si>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</si>
  <si>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</si>
  <si>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</si>
  <si>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</si>
  <si>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</si>
  <si>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</si>
  <si>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</si>
  <si>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</si>
  <si>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</si>
  <si>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</si>
  <si>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</si>
  <si>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</si>
  <si>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</si>
  <si>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</si>
  <si>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</si>
  <si>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</si>
  <si>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</si>
  <si>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</si>
  <si>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</si>
  <si>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</si>
  <si>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</si>
  <si>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</si>
  <si>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</si>
  <si>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</si>
  <si>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</si>
  <si>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</si>
  <si>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</si>
  <si>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</si>
  <si>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</si>
  <si>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</si>
  <si>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</si>
  <si>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</si>
  <si>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</si>
  <si>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</si>
  <si>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</si>
  <si>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</si>
  <si>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</si>
  <si>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</si>
  <si>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</si>
  <si>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</si>
  <si>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</si>
  <si>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</si>
  <si>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</si>
  <si>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</si>
  <si>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</si>
  <si>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</si>
  <si>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</si>
  <si>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</si>
  <si>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</si>
  <si>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</si>
  <si>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</si>
  <si>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</si>
  <si>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</si>
  <si>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</si>
  <si>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</si>
  <si>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</si>
  <si>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</si>
  <si>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</si>
  <si>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</si>
  <si>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</si>
  <si>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</si>
  <si>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</si>
  <si>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</si>
  <si>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</si>
  <si>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</si>
  <si>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</si>
  <si>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</si>
  <si>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</si>
  <si>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</si>
  <si>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</si>
  <si>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</si>
  <si>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</si>
  <si>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</si>
  <si>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</si>
  <si>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</si>
  <si>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</si>
  <si>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</si>
  <si>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</si>
  <si>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</si>
  <si>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</si>
  <si>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</si>
  <si>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</si>
  <si>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</si>
  <si>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</si>
  <si>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</si>
  <si>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</si>
  <si>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</si>
  <si>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</si>
  <si>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</si>
  <si>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</si>
  <si>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</si>
  <si>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</si>
  <si>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</si>
  <si>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</si>
  <si>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</si>
  <si>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</si>
  <si>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</si>
  <si>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</si>
  <si>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</si>
  <si>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</si>
  <si>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</si>
  <si>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</si>
  <si>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</si>
  <si>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</si>
  <si>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</si>
  <si>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</si>
  <si>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</si>
  <si>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</si>
  <si>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</si>
  <si>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</si>
  <si>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</si>
  <si>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</si>
  <si>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</si>
  <si>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</si>
  <si>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</si>
  <si>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</si>
  <si>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</si>
  <si>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</si>
  <si>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</si>
  <si>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</si>
  <si>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</si>
  <si>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</si>
  <si>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</si>
  <si>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</si>
  <si>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</si>
  <si>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</si>
  <si>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</si>
  <si>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</si>
  <si>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</si>
  <si>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</si>
  <si>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</si>
  <si>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</si>
  <si>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</si>
  <si>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</si>
  <si>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</si>
  <si>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</si>
  <si>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</si>
  <si>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</si>
  <si>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</si>
  <si>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</si>
  <si>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</si>
  <si>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</si>
  <si>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</si>
  <si>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</si>
  <si>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</si>
  <si>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</si>
  <si>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</si>
  <si>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</si>
  <si>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</si>
  <si>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</si>
  <si>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</si>
  <si>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</si>
  <si>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</si>
  <si>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</si>
  <si>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</si>
  <si>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</si>
  <si>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</si>
  <si>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</si>
  <si>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</si>
  <si>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</si>
  <si>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</si>
  <si>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</si>
  <si>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</si>
  <si>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</si>
  <si>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</si>
  <si>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</si>
  <si>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</si>
  <si>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</si>
  <si>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</si>
  <si>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</si>
  <si>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</si>
  <si>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</si>
  <si>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</si>
  <si>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</si>
  <si>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</si>
  <si>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</si>
  <si>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</si>
  <si>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</si>
  <si>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</si>
  <si>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</si>
  <si>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</si>
  <si>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</si>
  <si>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</si>
  <si>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</si>
  <si>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</si>
  <si>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</si>
  <si>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</si>
  <si>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</si>
  <si>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</si>
  <si>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</si>
  <si>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</si>
  <si>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</si>
  <si>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</si>
  <si>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</si>
  <si>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</si>
  <si>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</si>
  <si>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</si>
  <si>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</si>
  <si>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</si>
  <si>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</si>
  <si>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</si>
  <si>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</si>
  <si>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</si>
  <si>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</si>
  <si>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</si>
  <si>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</si>
  <si>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</si>
  <si>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</si>
  <si>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</si>
  <si>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</si>
  <si>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</si>
  <si>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</si>
  <si>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</si>
  <si>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</si>
  <si>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</si>
  <si>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</si>
  <si>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</si>
  <si>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</si>
  <si>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</si>
  <si>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</si>
  <si>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</si>
  <si>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</si>
  <si>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</si>
  <si>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</si>
  <si>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</si>
  <si>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</si>
  <si>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</si>
  <si>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</si>
  <si>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</si>
  <si>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</si>
  <si>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</si>
  <si>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</si>
  <si>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</si>
  <si>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</si>
  <si>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</si>
  <si>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</si>
  <si>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</si>
  <si>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</si>
  <si>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</si>
  <si>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</si>
  <si>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</si>
  <si>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</si>
  <si>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</si>
  <si>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</si>
  <si>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</si>
  <si>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</si>
  <si>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</si>
  <si>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</si>
  <si>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</si>
  <si>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</si>
  <si>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</si>
  <si>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</si>
  <si>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</si>
  <si>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</si>
  <si>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</si>
  <si>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</si>
  <si>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</si>
  <si>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</si>
  <si>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</si>
  <si>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</si>
  <si>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</si>
  <si>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</si>
  <si>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</si>
  <si>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</si>
  <si>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</si>
  <si>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</si>
  <si>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</si>
  <si>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</si>
  <si>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</si>
  <si>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</si>
  <si>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</si>
  <si>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</si>
  <si>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</si>
  <si>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</si>
  <si>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</si>
  <si>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</si>
  <si>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</si>
  <si>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</si>
  <si>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</si>
  <si>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</si>
  <si>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</si>
  <si>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</si>
  <si>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</si>
  <si>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</si>
  <si>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</si>
  <si>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</si>
  <si>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</si>
  <si>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</si>
  <si>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</si>
  <si>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</si>
  <si>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</si>
  <si>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</si>
  <si>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</si>
  <si>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</si>
  <si>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</si>
  <si>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</si>
  <si>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</si>
  <si>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</si>
  <si>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</si>
  <si>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</si>
  <si>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</si>
  <si>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</si>
  <si>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</si>
  <si>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</si>
  <si>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</si>
  <si>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</si>
  <si>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</si>
  <si>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</si>
  <si>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</si>
  <si>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</si>
  <si>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</si>
  <si>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</si>
  <si>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</si>
  <si>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</si>
  <si>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</si>
  <si>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</si>
  <si>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</si>
  <si>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</si>
  <si>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</si>
  <si>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</si>
  <si>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</si>
  <si>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</si>
  <si>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</si>
  <si>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</si>
  <si>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</si>
  <si>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</si>
  <si>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</si>
  <si>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</si>
  <si>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</si>
  <si>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</si>
  <si>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</si>
  <si>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</si>
  <si>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</si>
  <si>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</si>
  <si>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</si>
  <si>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</si>
  <si>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</si>
  <si>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</si>
  <si>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</si>
  <si>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</si>
  <si>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</si>
  <si>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</si>
  <si>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</si>
  <si>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</si>
  <si>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</si>
  <si>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</si>
  <si>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</si>
  <si>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</si>
  <si>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</si>
  <si>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</si>
  <si>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</si>
  <si>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</si>
  <si>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</si>
  <si>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</si>
  <si>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</si>
  <si>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</si>
  <si>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</si>
  <si>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</si>
  <si>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</si>
  <si>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</si>
  <si>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</si>
  <si>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</si>
  <si>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</si>
  <si>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</si>
  <si>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</si>
  <si>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</si>
  <si>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</si>
  <si>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</si>
  <si>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</si>
  <si>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</si>
  <si>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</si>
  <si>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</si>
  <si>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</si>
  <si>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</si>
  <si>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</si>
  <si>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</si>
  <si>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</si>
  <si>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</si>
  <si>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</si>
  <si>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</si>
  <si>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</si>
  <si>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</si>
  <si>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</si>
  <si>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</si>
  <si>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</si>
  <si>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</si>
  <si>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</si>
  <si>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</si>
  <si>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</si>
  <si>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</si>
  <si>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</si>
  <si>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</si>
  <si>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</si>
  <si>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</si>
  <si>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</si>
  <si>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</si>
  <si>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</si>
  <si>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</si>
  <si>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</si>
  <si>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</si>
  <si>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</si>
  <si>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</si>
  <si>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</si>
  <si>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</si>
  <si>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</si>
  <si>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</si>
  <si>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</si>
  <si>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</si>
  <si>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</si>
  <si>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</si>
  <si>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</si>
  <si>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</si>
  <si>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</si>
  <si>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</si>
  <si>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</si>
  <si>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</si>
  <si>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</si>
  <si>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</si>
  <si>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</si>
  <si>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</si>
  <si>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</si>
  <si>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</si>
  <si>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</si>
  <si>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</si>
  <si>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</si>
  <si>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</si>
  <si>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</si>
  <si>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</si>
  <si>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</si>
  <si>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</si>
  <si>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</si>
  <si>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</si>
  <si>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</si>
  <si>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</si>
  <si>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</si>
  <si>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</si>
  <si>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</si>
  <si>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</si>
  <si>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</si>
  <si>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</si>
  <si>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</si>
  <si>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</si>
  <si>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</si>
  <si>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</si>
  <si>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</si>
  <si>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</si>
  <si>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</si>
  <si>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</si>
  <si>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</si>
  <si>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</si>
  <si>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</si>
  <si>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</si>
  <si>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</si>
  <si>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</si>
  <si>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</si>
  <si>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</si>
  <si>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</si>
  <si>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</si>
  <si>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</si>
  <si>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</si>
  <si>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</si>
  <si>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</si>
  <si>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</si>
  <si>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</si>
  <si>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</si>
  <si>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</si>
  <si>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</si>
  <si>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</si>
  <si>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</si>
  <si>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</si>
  <si>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</si>
  <si>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</si>
  <si>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</si>
  <si>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</si>
  <si>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</si>
  <si>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</si>
  <si>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</si>
  <si>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</si>
  <si>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</si>
  <si>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</si>
  <si>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</si>
  <si>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</si>
  <si>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</si>
  <si>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</si>
  <si>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</si>
  <si>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</si>
  <si>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</si>
  <si>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</si>
  <si>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</si>
  <si>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</si>
  <si>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</si>
  <si>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</si>
  <si>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</si>
  <si>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</si>
  <si>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</si>
  <si>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</si>
  <si>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</si>
  <si>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</si>
  <si>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</si>
  <si>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</si>
  <si>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</si>
  <si>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</si>
  <si>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</si>
  <si>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</si>
  <si>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</si>
  <si>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</si>
  <si>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</si>
  <si>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</si>
  <si>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</si>
  <si>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</si>
  <si>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</si>
  <si>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</si>
  <si>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</si>
  <si>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</si>
  <si>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</si>
  <si>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</si>
  <si>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</si>
  <si>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</si>
  <si>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</si>
  <si>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</si>
  <si>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</si>
  <si>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</si>
  <si>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</si>
  <si>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</si>
  <si>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</si>
  <si>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</si>
  <si>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</si>
  <si>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</si>
  <si>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</si>
  <si>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</si>
  <si>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</si>
  <si>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</si>
  <si>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</si>
  <si>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</si>
  <si>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</si>
  <si>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</si>
  <si>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</si>
  <si>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</si>
  <si>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</si>
  <si>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</si>
  <si>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</si>
  <si>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</si>
  <si>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</si>
  <si>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</si>
  <si>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</si>
  <si>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</si>
  <si>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</si>
  <si>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</si>
  <si>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</si>
  <si>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</si>
  <si>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</si>
  <si>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</si>
  <si>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</si>
  <si>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</si>
  <si>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</si>
  <si>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</si>
  <si>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</si>
  <si>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</si>
  <si>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</si>
  <si>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</si>
  <si>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</si>
  <si>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</si>
  <si>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</si>
  <si>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</si>
  <si>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</si>
  <si>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</si>
  <si>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</si>
  <si>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</si>
  <si>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</si>
  <si>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</si>
  <si>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</si>
  <si>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</si>
  <si>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</si>
  <si>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</si>
  <si>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</si>
  <si>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</si>
  <si>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</si>
  <si>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</si>
  <si>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</si>
  <si>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</si>
  <si>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</si>
  <si>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</si>
  <si>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</si>
  <si>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</si>
  <si>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</si>
  <si>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</si>
  <si>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</si>
  <si>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</si>
  <si>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</si>
  <si>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</si>
  <si>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</si>
  <si>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</si>
  <si>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</si>
  <si>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</si>
  <si>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</si>
  <si>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</si>
  <si>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</si>
  <si>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</si>
  <si>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</si>
  <si>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</si>
  <si>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</si>
  <si>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</si>
  <si>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</si>
  <si>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</si>
  <si>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</si>
  <si>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</si>
  <si>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</si>
  <si>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</si>
  <si>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</si>
  <si>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</si>
  <si>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</si>
  <si>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</si>
  <si>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</si>
  <si>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</si>
  <si>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</si>
  <si>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</si>
  <si>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</si>
  <si>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</si>
  <si>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</si>
  <si>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</si>
  <si>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</si>
  <si>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</si>
  <si>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</si>
  <si>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</si>
  <si>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</si>
  <si>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</si>
  <si>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</si>
  <si>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</si>
  <si>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</si>
  <si>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</si>
  <si>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</si>
  <si>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</si>
  <si>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</si>
  <si>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</si>
  <si>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</si>
  <si>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</si>
  <si>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</si>
  <si>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</si>
  <si>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</si>
  <si>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</si>
  <si>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</si>
  <si>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</si>
  <si>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</si>
  <si>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</si>
  <si>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</si>
  <si>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</si>
  <si>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</si>
  <si>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</si>
  <si>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</si>
  <si>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</si>
  <si>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</si>
  <si>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</si>
  <si>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</si>
  <si>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</si>
  <si>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</si>
  <si>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</si>
  <si>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</si>
  <si>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</si>
  <si>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</si>
  <si>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</si>
  <si>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</si>
  <si>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</si>
  <si>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</si>
  <si>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</si>
  <si>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</si>
  <si>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</si>
  <si>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</si>
  <si>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</si>
  <si>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</si>
  <si>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</si>
  <si>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</si>
  <si>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</si>
  <si>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</si>
  <si>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</si>
  <si>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</si>
  <si>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</si>
  <si>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</si>
  <si>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</si>
  <si>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</si>
  <si>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</si>
  <si>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</si>
  <si>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</si>
  <si>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</si>
  <si>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</si>
  <si>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</si>
  <si>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</si>
  <si>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</si>
  <si>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</si>
  <si>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</si>
  <si>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</si>
  <si>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</si>
  <si>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</si>
  <si>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</si>
  <si>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</si>
  <si>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</si>
  <si>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</si>
  <si>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</si>
  <si>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</si>
  <si>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</si>
  <si>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</si>
  <si>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</si>
  <si>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</si>
  <si>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</si>
  <si>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</si>
  <si>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</si>
  <si>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</si>
  <si>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</si>
  <si>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</si>
  <si>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</si>
  <si>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</si>
  <si>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</si>
  <si>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</si>
  <si>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</si>
  <si>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</si>
  <si>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</si>
  <si>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</si>
  <si>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</si>
  <si>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</si>
  <si>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</si>
  <si>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</si>
  <si>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</si>
  <si>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</si>
  <si>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</si>
  <si>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</si>
  <si>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</si>
  <si>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</si>
  <si>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</si>
  <si>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</si>
  <si>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</si>
  <si>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</si>
  <si>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</si>
  <si>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</si>
  <si>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</si>
  <si>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</si>
  <si>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</si>
  <si>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</si>
  <si>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</si>
  <si>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</si>
  <si>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</si>
  <si>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</si>
  <si>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</si>
  <si>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</si>
  <si>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</si>
  <si>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</si>
  <si>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</si>
  <si>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</si>
  <si>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</si>
  <si>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</si>
  <si>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</si>
  <si>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</si>
  <si>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</si>
  <si>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</si>
  <si>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</si>
  <si>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</si>
  <si>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</si>
  <si>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</si>
  <si>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</si>
  <si>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</si>
  <si>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</si>
  <si>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</si>
  <si>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</si>
  <si>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</si>
  <si>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</si>
  <si>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</si>
  <si>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</si>
  <si>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</si>
  <si>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</si>
  <si>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</si>
  <si>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</si>
  <si>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</si>
  <si>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</si>
  <si>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</si>
  <si>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</si>
  <si>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</si>
  <si>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</si>
  <si>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</si>
  <si>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</si>
  <si>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</si>
  <si>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</si>
  <si>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</si>
  <si>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</si>
  <si>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</si>
  <si>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</si>
  <si>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</si>
  <si>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</si>
  <si>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</si>
  <si>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</si>
  <si>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</si>
  <si>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</si>
  <si>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</si>
  <si>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</si>
  <si>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</si>
  <si>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</si>
  <si>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</si>
  <si>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</si>
  <si>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</si>
  <si>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</si>
  <si>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</si>
  <si>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</si>
  <si>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</si>
  <si>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</si>
  <si>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</si>
  <si>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</si>
  <si>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</si>
  <si>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</si>
  <si>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</si>
  <si>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</si>
  <si>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</si>
  <si>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</si>
  <si>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</si>
  <si>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</si>
  <si>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</si>
  <si>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</si>
  <si>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</si>
  <si>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</si>
  <si>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</si>
  <si>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</si>
  <si>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</si>
  <si>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</si>
  <si>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</si>
  <si>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</si>
  <si>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</si>
  <si>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</si>
  <si>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</si>
  <si>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</si>
  <si>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</si>
  <si>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</si>
  <si>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</si>
  <si>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</si>
  <si>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</si>
  <si>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</si>
  <si>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</si>
  <si>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</si>
  <si>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</si>
  <si>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</si>
  <si>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</si>
  <si>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</si>
  <si>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</si>
  <si>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</si>
  <si>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</si>
  <si>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</si>
  <si>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</si>
  <si>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</si>
  <si>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</si>
  <si>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</si>
  <si>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</si>
  <si>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</si>
  <si>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</si>
  <si>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</si>
  <si>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</si>
  <si>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</si>
  <si>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</si>
  <si>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</si>
  <si>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</si>
  <si>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</si>
  <si>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</si>
  <si>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</si>
  <si>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</si>
  <si>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</si>
  <si>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</si>
  <si>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</si>
  <si>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</si>
  <si>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</si>
  <si>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</si>
  <si>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</si>
  <si>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</si>
  <si>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</si>
  <si>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</si>
  <si>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</si>
  <si>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</si>
  <si>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</si>
  <si>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</si>
  <si>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</si>
  <si>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</si>
  <si>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</si>
  <si>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</si>
  <si>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</si>
  <si>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</si>
  <si>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</si>
  <si>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</si>
  <si>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</si>
  <si>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</si>
  <si>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</si>
  <si>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</si>
  <si>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</si>
  <si>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</si>
  <si>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</si>
  <si>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</si>
  <si>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</si>
  <si>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</si>
  <si>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</si>
  <si>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</si>
  <si>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</si>
  <si>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</si>
  <si>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</si>
  <si>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</si>
  <si>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</si>
  <si>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</si>
  <si>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</si>
  <si>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</si>
  <si>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</si>
  <si>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</si>
  <si>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</si>
  <si>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</si>
  <si>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</si>
  <si>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</si>
  <si>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</si>
  <si>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</si>
  <si>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</si>
  <si>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</si>
  <si>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</si>
  <si>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</si>
  <si>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</si>
  <si>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</si>
  <si>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</si>
  <si>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</si>
  <si>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</si>
  <si>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</si>
  <si>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</si>
  <si>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</si>
  <si>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</si>
  <si>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</si>
  <si>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</si>
  <si>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</si>
  <si>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</si>
  <si>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</si>
  <si>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</si>
  <si>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</si>
  <si>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</si>
  <si>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</si>
  <si>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</si>
  <si>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</si>
  <si>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</si>
  <si>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</si>
  <si>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</si>
  <si>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</si>
  <si>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</si>
  <si>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</si>
  <si>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</si>
  <si>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</si>
  <si>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</si>
  <si>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</si>
  <si>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</si>
  <si>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</si>
  <si>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</si>
  <si>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</si>
  <si>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</si>
  <si>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</si>
  <si>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</si>
  <si>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</si>
  <si>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</si>
  <si>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</si>
  <si>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</si>
  <si>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</si>
  <si>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</si>
  <si>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</si>
  <si>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</si>
  <si>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</si>
  <si>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</si>
  <si>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</si>
  <si>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</si>
  <si>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</si>
  <si>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</si>
  <si>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</si>
  <si>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</si>
  <si>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</si>
  <si>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</si>
  <si>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</si>
  <si>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</si>
  <si>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</si>
  <si>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</si>
  <si>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</si>
  <si>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</si>
  <si>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</si>
  <si>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</si>
  <si>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</si>
  <si>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</si>
  <si>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</si>
  <si>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</si>
  <si>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</si>
  <si>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</si>
  <si>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</si>
  <si>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</si>
  <si>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</si>
  <si>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</si>
  <si>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</si>
  <si>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</si>
  <si>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</si>
  <si>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</si>
  <si>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</si>
  <si>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</si>
  <si>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</si>
  <si>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</si>
  <si>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</si>
  <si>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</si>
  <si>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</si>
  <si>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</si>
  <si>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</si>
  <si>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</si>
  <si>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</si>
  <si>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</si>
  <si>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</si>
  <si>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</si>
  <si>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</si>
  <si>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</si>
  <si>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</si>
  <si>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</si>
  <si>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</si>
  <si>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</si>
  <si>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</si>
  <si>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</si>
  <si>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</si>
  <si>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</si>
  <si>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</si>
  <si>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</si>
  <si>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</si>
  <si>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</si>
  <si>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</si>
  <si>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</si>
  <si>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</si>
  <si>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</si>
  <si>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</si>
  <si>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</si>
  <si>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</si>
  <si>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</si>
  <si>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</si>
  <si>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</si>
  <si>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</si>
  <si>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</si>
  <si>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</si>
  <si>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</si>
  <si>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</si>
  <si>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</si>
  <si>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</si>
  <si>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</si>
  <si>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</si>
  <si>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</si>
  <si>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</si>
  <si>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</si>
  <si>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</si>
  <si>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</si>
  <si>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</si>
  <si>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</si>
  <si>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</si>
  <si>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</si>
  <si>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</si>
  <si>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</si>
  <si>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</si>
  <si>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</si>
  <si>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</si>
  <si>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</si>
  <si>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</si>
  <si>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</si>
  <si>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</si>
  <si>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</si>
  <si>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</si>
  <si>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</si>
  <si>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</si>
  <si>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</si>
  <si>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</si>
  <si>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</si>
  <si>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</si>
  <si>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</si>
  <si>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</si>
  <si>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</si>
  <si>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</si>
  <si>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</si>
  <si>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</si>
  <si>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</si>
  <si>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</si>
  <si>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</si>
  <si>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</si>
  <si>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</si>
  <si>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</si>
  <si>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</si>
  <si>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</si>
  <si>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</si>
  <si>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</si>
  <si>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</si>
  <si>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</si>
  <si>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</si>
  <si>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</si>
  <si>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</si>
  <si>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</si>
  <si>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</si>
  <si>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</si>
  <si>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</si>
  <si>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</si>
  <si>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</si>
  <si>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</si>
  <si>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</si>
  <si>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</si>
  <si>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</si>
  <si>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</si>
  <si>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</si>
  <si>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</si>
  <si>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</si>
  <si>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</si>
  <si>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</si>
  <si>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</si>
  <si>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</si>
  <si>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</si>
  <si>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</si>
  <si>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</si>
  <si>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</si>
  <si>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</si>
  <si>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</si>
  <si>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</si>
  <si>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</si>
  <si>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</si>
  <si>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</si>
  <si>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</si>
  <si>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</si>
  <si>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</si>
  <si>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</si>
  <si>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</si>
  <si>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</si>
  <si>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</si>
  <si>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</si>
  <si>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</si>
  <si>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</si>
  <si>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</si>
  <si>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</si>
  <si>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</si>
  <si>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</si>
  <si>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</si>
  <si>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</si>
  <si>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</si>
  <si>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</si>
  <si>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</si>
  <si>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</si>
  <si>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</si>
  <si>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</si>
  <si>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</si>
  <si>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</si>
  <si>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</si>
  <si>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</si>
  <si>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</si>
  <si>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</si>
  <si>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</si>
  <si>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</si>
  <si>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</si>
  <si>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</si>
  <si>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</si>
  <si>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</si>
  <si>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</si>
  <si>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</si>
  <si>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</si>
  <si>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</si>
  <si>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</si>
  <si>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</si>
  <si>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</si>
  <si>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</si>
  <si>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</si>
  <si>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</si>
  <si>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</si>
  <si>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</si>
  <si>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</si>
  <si>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</si>
  <si>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</si>
  <si>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</si>
  <si>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</si>
  <si>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</si>
  <si>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</si>
  <si>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</si>
  <si>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</si>
  <si>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</si>
  <si>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</si>
  <si>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</si>
  <si>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</si>
  <si>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</si>
  <si>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</si>
  <si>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</si>
  <si>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</si>
  <si>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</si>
  <si>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</si>
  <si>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</si>
  <si>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</si>
  <si>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</si>
  <si>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</si>
  <si>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</si>
  <si>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</si>
  <si>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</si>
  <si>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</si>
  <si>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</si>
  <si>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</si>
  <si>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</si>
  <si>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</si>
  <si>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</si>
  <si>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</si>
  <si>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</si>
  <si>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</si>
  <si>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</si>
  <si>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</si>
  <si>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</si>
  <si>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</si>
  <si>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</si>
  <si>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</si>
  <si>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</si>
  <si>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</si>
  <si>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</si>
  <si>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</si>
  <si>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</si>
  <si>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</si>
  <si>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</si>
  <si>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</si>
  <si>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</si>
  <si>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</si>
  <si>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</si>
  <si>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</si>
  <si>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</si>
  <si>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</si>
  <si>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</si>
  <si>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</si>
  <si>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</si>
  <si>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</si>
  <si>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</si>
  <si>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</si>
  <si>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</si>
  <si>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</si>
  <si>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</si>
  <si>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</si>
  <si>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</si>
  <si>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</si>
  <si>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</si>
  <si>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</si>
  <si>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</si>
  <si>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</si>
  <si>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</si>
  <si>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</si>
  <si>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</si>
  <si>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</si>
  <si>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</si>
  <si>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</si>
  <si>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</si>
  <si>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</si>
  <si>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</si>
  <si>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</si>
  <si>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</si>
  <si>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</si>
  <si>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</si>
  <si>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</si>
  <si>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</si>
  <si>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</si>
  <si>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</si>
  <si>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</si>
  <si>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</si>
  <si>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</si>
  <si>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</si>
  <si>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</si>
  <si>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</si>
  <si>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</si>
  <si>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</si>
  <si>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</si>
  <si>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</si>
  <si>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</si>
  <si>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</si>
  <si>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</si>
  <si>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</si>
  <si>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</si>
  <si>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</si>
  <si>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</si>
  <si>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</si>
  <si>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</si>
  <si>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</si>
  <si>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</si>
  <si>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</si>
  <si>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</si>
  <si>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</si>
  <si>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</si>
  <si>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</si>
  <si>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</si>
  <si>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</si>
  <si>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</si>
  <si>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</si>
  <si>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</si>
  <si>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</si>
  <si>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</si>
  <si>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</si>
  <si>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</si>
  <si>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</si>
  <si>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</si>
  <si>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</si>
  <si>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</si>
  <si>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</si>
  <si>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</si>
  <si>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</si>
  <si>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</si>
  <si>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</si>
  <si>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</si>
  <si>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</si>
  <si>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</si>
  <si>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</si>
  <si>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</si>
  <si>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</si>
  <si>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</si>
  <si>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</si>
  <si>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</si>
  <si>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</si>
  <si>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</si>
  <si>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</si>
  <si>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</si>
  <si>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</si>
  <si>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</si>
  <si>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</si>
  <si>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</si>
  <si>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</si>
  <si>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</si>
  <si>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</si>
  <si>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</si>
  <si>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</si>
  <si>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</si>
  <si>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</si>
  <si>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</si>
  <si>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</si>
  <si>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</si>
  <si>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</si>
  <si>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</si>
  <si>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</si>
  <si>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</si>
  <si>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</si>
  <si>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</si>
  <si>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</si>
  <si>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</si>
  <si>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</si>
  <si>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</si>
  <si>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</si>
  <si>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</si>
  <si>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</si>
  <si>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</si>
  <si>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</si>
  <si>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</si>
  <si>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</si>
  <si>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</si>
  <si>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</si>
  <si>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</si>
  <si>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</si>
  <si>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</si>
  <si>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</si>
  <si>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</si>
  <si>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</si>
  <si>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</si>
  <si>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</si>
  <si>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</si>
  <si>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</si>
  <si>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</si>
  <si>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</si>
  <si>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</si>
  <si>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</si>
  <si>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</si>
  <si>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</si>
  <si>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</si>
  <si>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</si>
  <si>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</si>
  <si>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</si>
  <si>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</si>
  <si>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</si>
  <si>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</si>
  <si>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</si>
  <si>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</si>
  <si>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</si>
  <si>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</si>
  <si>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</si>
  <si>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</si>
  <si>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</si>
  <si>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</si>
  <si>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</si>
  <si>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</si>
  <si>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</si>
  <si>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</si>
  <si>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</si>
  <si>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</si>
  <si>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</si>
  <si>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</si>
  <si>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</si>
  <si>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</si>
  <si>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</si>
  <si>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</si>
  <si>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</si>
  <si>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</si>
  <si>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</si>
  <si>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</si>
  <si>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</si>
  <si>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</si>
  <si>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</si>
  <si>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</si>
  <si>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</si>
  <si>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</si>
  <si>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</si>
  <si>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</si>
  <si>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</si>
  <si>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</si>
  <si>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</si>
  <si>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</si>
  <si>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</si>
  <si>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</si>
  <si>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</si>
  <si>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</si>
  <si>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</si>
  <si>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</si>
  <si>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</si>
  <si>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</si>
  <si>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</si>
  <si>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</si>
  <si>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</si>
  <si>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</si>
  <si>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</si>
  <si>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</si>
  <si>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</si>
  <si>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</si>
  <si>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</si>
  <si>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</si>
  <si>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</si>
  <si>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</si>
  <si>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</si>
  <si>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</si>
  <si>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</si>
  <si>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</si>
  <si>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</si>
  <si>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</si>
  <si>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</si>
  <si>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</si>
  <si>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</si>
  <si>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</si>
  <si>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</si>
  <si>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</si>
  <si>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</si>
  <si>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</si>
  <si>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</si>
  <si>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</si>
  <si>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</si>
  <si>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</si>
  <si>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</si>
  <si>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</si>
  <si>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</si>
  <si>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</si>
  <si>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</si>
  <si>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</si>
  <si>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</si>
  <si>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</si>
  <si>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</si>
  <si>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</si>
  <si>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</si>
  <si>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</si>
  <si>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</si>
  <si>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</si>
  <si>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</si>
  <si>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</si>
  <si>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</si>
  <si>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</si>
  <si>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</si>
  <si>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</si>
  <si>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</si>
  <si>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</si>
  <si>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</si>
  <si>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</si>
  <si>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</si>
  <si>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</si>
  <si>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</si>
  <si>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</si>
  <si>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</si>
  <si>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</si>
  <si>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</si>
  <si>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</si>
  <si>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</si>
  <si>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</si>
  <si>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</si>
  <si>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</si>
  <si>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</si>
  <si>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</si>
  <si>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</si>
  <si>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</si>
  <si>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</si>
  <si>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</si>
  <si>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</si>
  <si>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</si>
  <si>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</si>
  <si>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</si>
  <si>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</si>
  <si>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</si>
  <si>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</si>
  <si>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</si>
  <si>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</si>
  <si>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</si>
  <si>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</si>
  <si>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</si>
  <si>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</si>
  <si>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</si>
  <si>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</si>
  <si>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</si>
  <si>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</si>
  <si>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</si>
  <si>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</si>
  <si>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</si>
  <si>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</si>
  <si>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</si>
  <si>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</si>
  <si>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</si>
  <si>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</si>
  <si>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</si>
  <si>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</si>
  <si>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</si>
  <si>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</si>
  <si>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</si>
  <si>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</si>
  <si>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</si>
  <si>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</si>
  <si>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</si>
  <si>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</si>
  <si>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</si>
  <si>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</si>
  <si>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</si>
  <si>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</si>
  <si>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</si>
  <si>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</si>
  <si>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</si>
  <si>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</si>
  <si>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</si>
  <si>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</si>
  <si>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</si>
  <si>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</si>
  <si>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</si>
  <si>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</si>
  <si>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</si>
  <si>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</si>
  <si>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</si>
  <si>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</si>
  <si>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</si>
  <si>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</si>
  <si>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</si>
  <si>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</si>
  <si>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</si>
  <si>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</si>
  <si>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</si>
  <si>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</si>
  <si>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</si>
  <si>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</si>
  <si>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</si>
  <si>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</si>
  <si>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</si>
  <si>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</si>
  <si>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</si>
  <si>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</si>
  <si>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</si>
  <si>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</si>
  <si>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</si>
  <si>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</si>
  <si>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</si>
  <si>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</si>
  <si>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</si>
  <si>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</si>
  <si>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</si>
  <si>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</si>
  <si>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</si>
  <si>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</si>
  <si>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</si>
  <si>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</si>
  <si>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</si>
  <si>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</si>
  <si>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</si>
  <si>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</si>
  <si>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</si>
  <si>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</si>
  <si>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</si>
  <si>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</si>
  <si>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</si>
  <si>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</si>
  <si>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</si>
  <si>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</si>
  <si>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</si>
  <si>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</si>
  <si>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</si>
  <si>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</si>
  <si>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</si>
  <si>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</si>
  <si>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</si>
  <si>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</si>
  <si>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</si>
  <si>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</si>
  <si>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</si>
  <si>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</si>
  <si>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</si>
  <si>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</si>
  <si>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</si>
  <si>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</si>
  <si>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</si>
  <si>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</si>
  <si>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</si>
  <si>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</si>
  <si>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</si>
  <si>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</si>
  <si>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</si>
  <si>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</si>
  <si>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</si>
  <si>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</si>
  <si>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</si>
  <si>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</si>
  <si>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</si>
  <si>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</si>
  <si>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</si>
  <si>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</si>
  <si>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</si>
  <si>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</si>
  <si>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</si>
  <si>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</si>
  <si>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</si>
  <si>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</si>
  <si>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</si>
  <si>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</si>
  <si>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</si>
  <si>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</si>
  <si>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</si>
  <si>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</si>
  <si>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</si>
  <si>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</si>
  <si>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</si>
  <si>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</si>
  <si>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</si>
  <si>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</si>
  <si>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</si>
  <si>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</si>
  <si>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</si>
  <si>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</si>
  <si>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</si>
  <si>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</si>
  <si>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</si>
  <si>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</si>
  <si>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</si>
  <si>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</si>
  <si>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</si>
  <si>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</si>
  <si>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</si>
  <si>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</si>
  <si>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</si>
  <si>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</si>
  <si>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</si>
  <si>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</si>
  <si>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</si>
  <si>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</si>
  <si>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</si>
  <si>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</si>
  <si>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</si>
  <si>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</si>
  <si>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</si>
  <si>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</si>
  <si>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</si>
  <si>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</si>
  <si>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</si>
  <si>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</si>
  <si>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</si>
  <si>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</si>
  <si>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</si>
  <si>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</si>
  <si>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</si>
  <si>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</si>
  <si>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</si>
  <si>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</si>
  <si>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</si>
  <si>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</si>
  <si>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</si>
  <si>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</si>
  <si>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</si>
  <si>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</si>
  <si>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</si>
  <si>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</si>
  <si>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</si>
  <si>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</si>
  <si>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</si>
  <si>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</si>
  <si>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</si>
  <si>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</si>
  <si>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</si>
  <si>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</si>
  <si>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</si>
  <si>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</si>
  <si>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</si>
  <si>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</si>
  <si>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</si>
  <si>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</si>
  <si>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</si>
  <si>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</si>
  <si>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</si>
  <si>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</si>
  <si>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</si>
  <si>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</si>
  <si>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</si>
  <si>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</si>
  <si>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</si>
  <si>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</si>
  <si>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</si>
  <si>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</si>
  <si>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</si>
  <si>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</si>
  <si>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</si>
  <si>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</si>
  <si>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</si>
  <si>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</si>
  <si>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</si>
  <si>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</si>
  <si>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</si>
  <si>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</si>
  <si>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</si>
  <si>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</si>
  <si>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</si>
  <si>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</si>
  <si>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</si>
  <si>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</si>
  <si>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</si>
  <si>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</si>
  <si>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</si>
  <si>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</si>
  <si>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</si>
  <si>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</si>
  <si>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</si>
  <si>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</si>
  <si>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</si>
  <si>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</si>
  <si>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</si>
  <si>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</si>
  <si>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</si>
  <si>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</si>
  <si>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</si>
  <si>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</si>
  <si>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</si>
  <si>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</si>
  <si>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</si>
  <si>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</si>
  <si>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</si>
  <si>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</si>
  <si>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</si>
  <si>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</si>
  <si>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</si>
  <si>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</si>
  <si>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</si>
  <si>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</si>
  <si>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</si>
  <si>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</si>
  <si>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</si>
  <si>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</si>
  <si>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</si>
  <si>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</si>
  <si>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</si>
  <si>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</si>
  <si>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</si>
  <si>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</si>
  <si>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</si>
  <si>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</si>
  <si>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</si>
  <si>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</si>
  <si>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</si>
  <si>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</si>
  <si>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</si>
  <si>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</si>
  <si>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</si>
  <si>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</si>
  <si>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</si>
  <si>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</si>
  <si>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</si>
  <si>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</si>
  <si>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</si>
  <si>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</si>
  <si>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</si>
  <si>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</si>
  <si>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</si>
  <si>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</si>
  <si>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</si>
  <si>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</si>
  <si>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</si>
  <si>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</si>
  <si>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</si>
  <si>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</si>
  <si>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</si>
  <si>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</si>
  <si>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</si>
  <si>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</si>
  <si>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</si>
  <si>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</si>
  <si>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</si>
  <si>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</si>
  <si>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</si>
  <si>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</si>
  <si>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</si>
  <si>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</si>
  <si>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</si>
  <si>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</si>
  <si>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</si>
  <si>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</si>
  <si>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</si>
  <si>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</si>
  <si>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</si>
  <si>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</si>
  <si>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</si>
  <si>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</si>
  <si>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</si>
  <si>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</si>
  <si>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</si>
  <si>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</si>
  <si>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</si>
  <si>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</si>
  <si>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</si>
  <si>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</si>
  <si>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</si>
  <si>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</si>
  <si>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</si>
  <si>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</si>
  <si>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</si>
  <si>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</si>
  <si>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</si>
  <si>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</si>
  <si>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</si>
  <si>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</si>
  <si>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</si>
  <si>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</si>
  <si>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</si>
  <si>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</si>
  <si>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</si>
  <si>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</si>
  <si>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</si>
  <si>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</si>
  <si>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</si>
  <si>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</si>
  <si>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</si>
  <si>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</si>
  <si>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</si>
  <si>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</si>
  <si>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</si>
  <si>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</si>
  <si>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</si>
  <si>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</si>
  <si>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</si>
  <si>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</si>
  <si>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</si>
  <si>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</si>
  <si>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</si>
  <si>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</si>
  <si>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</si>
  <si>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</si>
  <si>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</si>
  <si>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</si>
  <si>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</si>
  <si>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</si>
  <si>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</si>
  <si>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</si>
  <si>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</si>
  <si>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</si>
  <si>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</si>
  <si>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</si>
  <si>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</si>
  <si>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</si>
  <si>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</si>
  <si>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</si>
  <si>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</si>
  <si>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</si>
  <si>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</si>
  <si>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</si>
  <si>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</si>
  <si>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</si>
  <si>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</si>
  <si>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</si>
  <si>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</si>
  <si>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</si>
  <si>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</si>
  <si>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</si>
  <si>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</si>
  <si>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</si>
  <si>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</si>
  <si>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</si>
  <si>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</si>
  <si>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</si>
  <si>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</si>
  <si>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</si>
  <si>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</si>
  <si>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</si>
  <si>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</si>
  <si>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</si>
  <si>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</si>
  <si>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</si>
  <si>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</si>
  <si>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</si>
  <si>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</si>
  <si>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</si>
  <si>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</si>
  <si>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</si>
  <si>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</si>
  <si>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</si>
  <si>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</si>
  <si>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</si>
  <si>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</si>
  <si>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</si>
  <si>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</si>
  <si>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</si>
  <si>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</si>
  <si>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</si>
  <si>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</si>
  <si>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</si>
  <si>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</si>
  <si>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</si>
  <si>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</si>
  <si>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</si>
  <si>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</si>
  <si>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</si>
  <si>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</si>
  <si>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</si>
  <si>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</si>
  <si>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</si>
  <si>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</si>
  <si>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</si>
  <si>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</si>
  <si>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</si>
  <si>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</si>
  <si>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</si>
  <si>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</si>
  <si>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</si>
  <si>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</si>
  <si>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</si>
  <si>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</si>
  <si>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</si>
  <si>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</si>
  <si>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</si>
  <si>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</si>
  <si>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</si>
  <si>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</si>
  <si>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</si>
  <si>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</si>
  <si>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</si>
  <si>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</si>
  <si>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</si>
  <si>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</si>
  <si>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</si>
  <si>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</si>
  <si>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</si>
  <si>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</si>
  <si>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</si>
  <si>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</si>
  <si>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</si>
  <si>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</si>
  <si>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</si>
  <si>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</si>
  <si>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</si>
  <si>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</si>
  <si>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</si>
  <si>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</si>
  <si>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</si>
  <si>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</si>
  <si>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</si>
  <si>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</si>
  <si>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</si>
  <si>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</si>
  <si>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</si>
  <si>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</si>
  <si>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</si>
  <si>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</si>
  <si>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</si>
  <si>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</si>
  <si>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</si>
  <si>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</si>
  <si>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</si>
  <si>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</si>
  <si>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</si>
  <si>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</si>
  <si>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EAC</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</si>
  <si>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</si>
  <si>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</si>
  <si>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</si>
  <si>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</si>
  <si>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</si>
  <si>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</si>
  <si>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Non COVID</t>
  </si>
  <si>
    <t>BELANJA BAHAN</t>
  </si>
  <si>
    <t>Belanja Barang Non Operasional</t>
  </si>
  <si>
    <t>NON OPS LAINNYA</t>
  </si>
  <si>
    <t>COVID</t>
  </si>
  <si>
    <t>BELANJA JASA</t>
  </si>
  <si>
    <t>PERJALANAN DINAS</t>
  </si>
  <si>
    <t>PERSEDIAAN</t>
  </si>
  <si>
    <t>TRANSPORT LOKAL</t>
  </si>
  <si>
    <t>Belanja Barang Operasional</t>
  </si>
  <si>
    <t>BELANJA SEWA</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</si>
  <si>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</si>
  <si>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</si>
  <si>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</si>
  <si>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</si>
  <si>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</si>
  <si>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</si>
  <si>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</si>
  <si>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</si>
  <si>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</si>
  <si>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</si>
  <si>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</si>
  <si>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</si>
  <si>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</si>
  <si>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</si>
  <si>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</si>
  <si>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</si>
  <si>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</si>
  <si>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</si>
  <si>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</si>
  <si>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</si>
  <si>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</si>
  <si>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</si>
  <si>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</si>
  <si>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</si>
  <si>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</si>
  <si>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</si>
  <si>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</si>
  <si>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</si>
  <si>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</si>
  <si>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</si>
  <si>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</si>
  <si>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</si>
  <si>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</si>
  <si>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</si>
  <si>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</si>
  <si>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</si>
  <si>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</si>
  <si>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</si>
  <si>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</si>
  <si>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</si>
  <si>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</si>
  <si>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</si>
  <si>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</si>
  <si>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</si>
  <si>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</si>
  <si>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</si>
  <si>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</si>
  <si>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</si>
  <si>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</si>
  <si>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</si>
  <si>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</si>
  <si>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</si>
  <si>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</si>
  <si>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</si>
  <si>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</si>
  <si>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</si>
  <si>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</si>
  <si>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</si>
  <si>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</si>
  <si>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</si>
  <si>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</si>
  <si>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</si>
  <si>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</si>
  <si>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</si>
  <si>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</si>
  <si>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</si>
  <si>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</si>
  <si>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</si>
  <si>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</si>
  <si>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</si>
  <si>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</si>
  <si>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</si>
  <si>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</si>
  <si>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</si>
  <si>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</si>
  <si>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</si>
  <si>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</si>
  <si>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</si>
  <si>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</si>
  <si>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</si>
  <si>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</si>
  <si>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DL.2376.AFA.001.054.B.522192</t>
  </si>
  <si>
    <t>DL.2376.AFA.001.054.B.521211</t>
  </si>
  <si>
    <t>DL.2376.AFA.001.054.B.521219</t>
  </si>
  <si>
    <t>DL.2376.AFA.001.054.B.524111</t>
  </si>
  <si>
    <t>BELANJA PERSEDIAAN</t>
  </si>
  <si>
    <t>BELANJA PENGIRIMAN</t>
  </si>
  <si>
    <t>BELANJA PEMELIHARAAN</t>
  </si>
  <si>
    <t>BELANJA HONOR</t>
  </si>
  <si>
    <t>WA.2378.EBA.994.002.GD.521811</t>
  </si>
  <si>
    <t>WA.2378.EBA.994.002.GD.523121</t>
  </si>
  <si>
    <t>BELANJA PERKANTORAN</t>
  </si>
  <si>
    <t>WA.2378.EBD.953.302.B.521211</t>
  </si>
  <si>
    <t>WA.2378.EBD.953.302.B.521219</t>
  </si>
  <si>
    <t>WA.2378.EBD.953.302.B.524111</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</si>
  <si>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</si>
  <si>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</si>
  <si>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</si>
  <si>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</si>
  <si>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</si>
  <si>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</si>
  <si>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</si>
  <si>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</si>
  <si>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</si>
  <si>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</si>
  <si>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</si>
  <si>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</si>
  <si>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</si>
  <si>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</si>
  <si>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</si>
  <si>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</si>
  <si>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</si>
  <si>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</si>
  <si>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</si>
  <si>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</si>
  <si>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</si>
  <si>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</si>
  <si>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</si>
  <si>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</si>
  <si>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</si>
  <si>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</si>
  <si>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</si>
  <si>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</si>
  <si>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</si>
  <si>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</si>
  <si>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</si>
  <si>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</si>
  <si>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</si>
  <si>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</si>
  <si>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</si>
  <si>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</si>
  <si>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</si>
  <si>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</si>
  <si>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</si>
  <si>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</si>
  <si>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</si>
  <si>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</si>
  <si>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</si>
  <si>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</si>
  <si>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</si>
  <si>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</si>
  <si>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</si>
  <si>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</si>
  <si>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</si>
  <si>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</si>
  <si>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</si>
  <si>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</si>
  <si>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</si>
  <si>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</si>
  <si>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</si>
  <si>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</si>
  <si>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</si>
  <si>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</si>
  <si>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</si>
  <si>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</si>
  <si>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</si>
  <si>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</si>
  <si>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</si>
  <si>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</si>
  <si>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</si>
  <si>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</si>
  <si>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</si>
  <si>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</si>
  <si>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</si>
  <si>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</si>
  <si>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</si>
  <si>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</si>
  <si>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</si>
  <si>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</si>
  <si>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</si>
  <si>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</si>
  <si>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</si>
  <si>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</si>
  <si>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</si>
  <si>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</si>
  <si>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</si>
  <si>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</si>
  <si>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</si>
  <si>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</si>
  <si>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</si>
  <si>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</si>
  <si>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</si>
  <si>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</si>
  <si>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</si>
  <si>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</si>
  <si>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</si>
  <si>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</si>
  <si>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</si>
  <si>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</si>
  <si>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</si>
  <si>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</si>
  <si>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</si>
  <si>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</si>
  <si>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</si>
  <si>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</si>
  <si>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</si>
  <si>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</si>
  <si>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</si>
  <si>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</si>
  <si>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</si>
  <si>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</si>
  <si>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</si>
  <si>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</si>
  <si>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</si>
  <si>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</si>
  <si>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</si>
  <si>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</si>
  <si>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</si>
  <si>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</si>
  <si>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</si>
  <si>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</si>
  <si>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</si>
  <si>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</si>
  <si>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</si>
  <si>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</si>
  <si>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</si>
  <si>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</si>
  <si>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</si>
  <si>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</si>
  <si>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</si>
  <si>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</si>
  <si>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</si>
  <si>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</si>
  <si>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</si>
  <si>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</si>
  <si>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</si>
  <si>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</si>
  <si>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</si>
  <si>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</si>
  <si>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</si>
  <si>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</si>
  <si>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</si>
  <si>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</si>
  <si>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</si>
  <si>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</si>
  <si>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</si>
  <si>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</si>
  <si>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</si>
  <si>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</si>
  <si>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</si>
  <si>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</si>
  <si>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</si>
  <si>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</si>
  <si>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</si>
  <si>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</si>
  <si>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</si>
  <si>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</si>
  <si>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</si>
  <si>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</si>
  <si>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</si>
  <si>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</si>
  <si>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</si>
  <si>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</si>
  <si>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</si>
  <si>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</si>
  <si>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</si>
  <si>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</si>
  <si>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</si>
  <si>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</si>
  <si>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</si>
  <si>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</si>
  <si>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</si>
  <si>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</si>
  <si>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</si>
  <si>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</si>
  <si>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</si>
  <si>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</si>
  <si>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</si>
  <si>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</si>
  <si>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</si>
  <si>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</si>
  <si>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</si>
  <si>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</si>
  <si>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</si>
  <si>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</si>
  <si>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</si>
  <si>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</si>
  <si>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</si>
  <si>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</si>
  <si>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</si>
  <si>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</si>
  <si>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</si>
  <si>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</si>
  <si>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</si>
  <si>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</si>
  <si>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</si>
  <si>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</si>
  <si>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</si>
  <si>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</si>
  <si>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</si>
  <si>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</si>
  <si>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</si>
  <si>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</si>
  <si>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</si>
  <si>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</si>
  <si>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</si>
  <si>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</si>
  <si>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</si>
  <si>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</si>
  <si>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</si>
  <si>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</si>
  <si>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</si>
  <si>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</si>
  <si>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</si>
  <si>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</si>
  <si>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</si>
  <si>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</si>
  <si>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</si>
  <si>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</si>
  <si>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</si>
  <si>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</si>
  <si>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</si>
  <si>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</si>
  <si>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</si>
  <si>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</si>
  <si>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</si>
  <si>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</si>
  <si>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</si>
  <si>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</si>
  <si>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</si>
  <si>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</si>
  <si>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</si>
  <si>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</si>
  <si>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</si>
  <si>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</si>
  <si>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</si>
  <si>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</si>
  <si>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</si>
  <si>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</si>
  <si>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</si>
  <si>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</si>
  <si>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</si>
  <si>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</si>
  <si>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</si>
  <si>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</si>
  <si>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</si>
  <si>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</si>
  <si>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</si>
  <si>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</si>
  <si>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</si>
  <si>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</si>
  <si>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</si>
  <si>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</si>
  <si>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</si>
  <si>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</si>
  <si>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</si>
  <si>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</si>
  <si>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</si>
  <si>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</si>
  <si>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</si>
  <si>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</si>
  <si>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</si>
  <si>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</si>
  <si>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</si>
  <si>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</si>
  <si>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</si>
  <si>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</si>
  <si>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</si>
  <si>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</si>
  <si>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</si>
  <si>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</si>
  <si>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</si>
  <si>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</si>
  <si>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</si>
  <si>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</si>
  <si>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</si>
  <si>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</si>
  <si>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</si>
  <si>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</si>
  <si>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</si>
  <si>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</si>
  <si>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</si>
  <si>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</si>
  <si>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</si>
  <si>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</si>
  <si>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</si>
  <si>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</si>
  <si>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</si>
  <si>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</si>
  <si>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</si>
  <si>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</si>
  <si>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</si>
  <si>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</si>
  <si>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</si>
  <si>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</si>
  <si>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</si>
  <si>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</si>
  <si>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</si>
  <si>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</si>
  <si>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</si>
  <si>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</si>
  <si>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</si>
  <si>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</si>
  <si>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</si>
  <si>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</si>
  <si>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</si>
  <si>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</si>
  <si>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</si>
  <si>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</si>
  <si>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</si>
  <si>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</si>
  <si>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</si>
  <si>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</si>
  <si>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</si>
  <si>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</si>
  <si>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</si>
  <si>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</si>
  <si>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</si>
  <si>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</si>
  <si>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</si>
  <si>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</si>
  <si>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</si>
  <si>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</si>
  <si>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</si>
  <si>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</si>
  <si>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</si>
  <si>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</si>
  <si>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</si>
  <si>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</si>
  <si>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</si>
  <si>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</si>
  <si>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</si>
  <si>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</si>
  <si>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</si>
  <si>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</si>
  <si>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</si>
  <si>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</si>
  <si>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</si>
  <si>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</si>
  <si>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</si>
  <si>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</si>
  <si>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</si>
  <si>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</si>
  <si>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</si>
  <si>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</si>
  <si>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</si>
  <si>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</si>
  <si>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</si>
  <si>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</si>
  <si>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</si>
  <si>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</si>
  <si>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</si>
  <si>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</si>
  <si>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</si>
  <si>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</si>
  <si>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</si>
  <si>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</si>
  <si>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</si>
  <si>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</si>
  <si>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</si>
  <si>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</si>
  <si>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</si>
  <si>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</si>
  <si>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</si>
  <si>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</si>
  <si>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</si>
  <si>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</si>
  <si>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</si>
  <si>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</si>
  <si>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</si>
  <si>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</si>
  <si>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</si>
  <si>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</si>
  <si>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</si>
  <si>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</si>
  <si>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</si>
  <si>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</si>
  <si>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</si>
  <si>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</si>
  <si>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</si>
  <si>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</si>
  <si>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</si>
  <si>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</si>
  <si>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</si>
  <si>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</si>
  <si>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</si>
  <si>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</si>
  <si>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</si>
  <si>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</si>
  <si>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</si>
  <si>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</si>
  <si>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</si>
  <si>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</si>
  <si>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</si>
  <si>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</si>
  <si>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</si>
  <si>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</si>
  <si>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</si>
  <si>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</si>
  <si>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</si>
  <si>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</si>
  <si>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</si>
  <si>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</si>
  <si>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</si>
  <si>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</si>
  <si>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</si>
  <si>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</si>
  <si>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</si>
  <si>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</si>
  <si>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</si>
  <si>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</si>
  <si>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</si>
  <si>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</si>
  <si>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</si>
  <si>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</si>
  <si>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</si>
  <si>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</si>
  <si>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</si>
  <si>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</si>
  <si>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</si>
  <si>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</si>
  <si>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</si>
  <si>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</si>
  <si>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</si>
  <si>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</si>
  <si>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</si>
  <si>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</si>
  <si>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</si>
  <si>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</si>
  <si>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DL.2376.AFA.001.054.B.522151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</si>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</sst>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s>
  <cellStyleXfs count="10">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cellStyleXfs>
  <cellXfs count="46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41" fontId="0" fillId="7" borderId="1" xfId="0" applyNumberFormat="1" applyFill="1" applyBorder="1"/>
    <xf numFmtId="2" fontId="0" fillId="7" borderId="1" xfId="0" applyNumberFormat="1" applyFill="1" applyBorder="1"/>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41" fontId="0" fillId="0" borderId="1" xfId="0" applyNumberFormat="1" applyFill="1" applyBorder="1"/>
    <xf numFmtId="2" fontId="0" fillId="0" borderId="1" xfId="0" applyNumberFormat="1" applyFill="1" applyBorder="1"/>
    <xf numFmtId="0" fontId="0" fillId="0" borderId="1" xfId="0" applyFill="1" applyBorder="1" applyAlignment="1">
      <alignment horizontal="left" wrapText="1"/>
    </xf>
    <xf numFmtId="0" fontId="0" fillId="23" borderId="1" xfId="0" applyFill="1" applyBorder="1" applyAlignment="1">
      <alignment horizontal="left"/>
    </xf>
    <xf numFmtId="41" fontId="0" fillId="23" borderId="1" xfId="0" applyNumberFormat="1" applyFill="1" applyBorder="1"/>
    <xf numFmtId="2" fontId="0" fillId="23" borderId="1" xfId="0" applyNumberFormat="1" applyFill="1" applyBorder="1"/>
    <xf numFmtId="41" fontId="0" fillId="33" borderId="1" xfId="0" applyNumberFormat="1" applyFill="1" applyBorder="1"/>
    <xf numFmtId="2" fontId="0" fillId="33" borderId="1" xfId="0" applyNumberFormat="1" applyFill="1" applyBorder="1"/>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41" fontId="0" fillId="36" borderId="1" xfId="0" applyNumberFormat="1" applyFill="1" applyBorder="1"/>
    <xf numFmtId="2" fontId="0" fillId="36" borderId="1" xfId="0" applyNumberFormat="1"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37" fillId="29" borderId="1" xfId="0" applyFont="1" applyFill="1" applyBorder="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6" borderId="1" xfId="0" applyFont="1" applyFill="1" applyBorder="1" applyAlignment="1">
      <alignment horizontal="center"/>
    </xf>
    <xf numFmtId="0" fontId="37" fillId="0" borderId="1" xfId="0" applyFont="1" applyBorder="1" applyAlignment="1">
      <alignment horizontal="center" vertical="center" wrapText="1"/>
    </xf>
    <xf numFmtId="0" fontId="42" fillId="0" borderId="0" xfId="0" applyFont="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9" fillId="30" borderId="1" xfId="2" applyFont="1" applyFill="1" applyBorder="1" applyAlignment="1">
      <alignment horizontal="center" vertical="center"/>
    </xf>
    <xf numFmtId="0" fontId="37" fillId="0" borderId="0" xfId="0" applyFont="1" applyAlignment="1">
      <alignment horizontal="center"/>
    </xf>
  </cellXfs>
  <cellStyles count="10">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Normal" xfId="0" builtinId="0"/>
    <cellStyle name="Normal 2" xfId="2" xr:uid="{C610A14A-F97F-48D0-BD88-0DFD6DA48947}"/>
    <cellStyle name="Normal 3" xfId="5" xr:uid="{EEA6B10C-8250-4879-BF21-439B00E716AC}"/>
    <cellStyle name="Normal 4" xfId="8" xr:uid="{4605B257-5931-4773-98F8-78304C69CFB6}"/>
    <cellStyle name="Percent" xfId="4" builtinId="5"/>
  </cellStyles>
  <dxfs count="596">
    <dxf>
      <fill>
        <patternFill patternType="none">
          <bgColor auto="1"/>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358140</xdr:colOff>
      <xdr:row>1</xdr:row>
      <xdr:rowOff>76200</xdr:rowOff>
    </xdr:from>
    <xdr:to>
      <xdr:col>10</xdr:col>
      <xdr:colOff>15240</xdr:colOff>
      <xdr:row>5</xdr:row>
      <xdr:rowOff>22860</xdr:rowOff>
    </xdr:to>
    <xdr:sp macro="" textlink="">
      <xdr:nvSpPr>
        <xdr:cNvPr id="2" name="Rectangle: Rounded Corners 1">
          <a:extLst>
            <a:ext uri="{FF2B5EF4-FFF2-40B4-BE49-F238E27FC236}">
              <a16:creationId xmlns:a16="http://schemas.microsoft.com/office/drawing/2014/main" id="{F70BCA17-85ED-4B81-14E2-EC5AEE37F144}"/>
            </a:ext>
          </a:extLst>
        </xdr:cNvPr>
        <xdr:cNvSpPr/>
      </xdr:nvSpPr>
      <xdr:spPr>
        <a:xfrm>
          <a:off x="8846820" y="274320"/>
          <a:ext cx="3131820" cy="723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CRUTTT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327660</xdr:colOff>
          <xdr:row>1</xdr:row>
          <xdr:rowOff>22860</xdr:rowOff>
        </xdr:from>
        <xdr:to>
          <xdr:col>12</xdr:col>
          <xdr:colOff>1402080</xdr:colOff>
          <xdr:row>3</xdr:row>
          <xdr:rowOff>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137160</xdr:rowOff>
        </xdr:from>
        <xdr:to>
          <xdr:col>13</xdr:col>
          <xdr:colOff>502920</xdr:colOff>
          <xdr:row>15</xdr:row>
          <xdr:rowOff>7620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60960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99060</xdr:rowOff>
        </xdr:from>
        <xdr:to>
          <xdr:col>13</xdr:col>
          <xdr:colOff>449580</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327660</xdr:rowOff>
        </xdr:from>
        <xdr:to>
          <xdr:col>13</xdr:col>
          <xdr:colOff>449580</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xdr:row>
          <xdr:rowOff>160020</xdr:rowOff>
        </xdr:from>
        <xdr:to>
          <xdr:col>13</xdr:col>
          <xdr:colOff>449580</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175260</xdr:rowOff>
        </xdr:from>
        <xdr:to>
          <xdr:col>13</xdr:col>
          <xdr:colOff>449580</xdr:colOff>
          <xdr:row>21</xdr:row>
          <xdr:rowOff>60960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15</xdr:row>
          <xdr:rowOff>60960</xdr:rowOff>
        </xdr:from>
        <xdr:to>
          <xdr:col>13</xdr:col>
          <xdr:colOff>487680</xdr:colOff>
          <xdr:row>15</xdr:row>
          <xdr:rowOff>274320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327660</xdr:colOff>
          <xdr:row>21</xdr:row>
          <xdr:rowOff>137160</xdr:rowOff>
        </xdr:from>
        <xdr:to>
          <xdr:col>12</xdr:col>
          <xdr:colOff>1668780</xdr:colOff>
          <xdr:row>23</xdr:row>
          <xdr:rowOff>22860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a:extLst>
                <a:ext uri="{84589F7E-364E-4C9E-8A38-B11213B215E9}">
                  <a14:cameraTool cellRange="PERSUBBID!$A$5:$G$24" spid="_x0000_s51940"/>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a:extLst>
                <a:ext uri="{84589F7E-364E-4C9E-8A38-B11213B215E9}">
                  <a14:cameraTool cellRange="PERSUBBID!$A$39:$G$54" spid="_x0000_s51941"/>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a:extLst>
                <a:ext uri="{84589F7E-364E-4C9E-8A38-B11213B215E9}">
                  <a14:cameraTool cellRange="PERSUBBID!$A$26:$G$37" spid="_x0000_s51942"/>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a:extLst>
                <a:ext uri="{84589F7E-364E-4C9E-8A38-B11213B215E9}">
                  <a14:cameraTool cellRange="'PERSUBBID GAJI'!$A$1:$G$59" spid="_x0000_s39341"/>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2/RKAKL%20DIPA%20REVISI%201%20POK%202/MONITORING%20REALISASI%20DIPA%201%20POK%202,%20GAJI.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2/REALISASI%20PUSDIK/MONITORING%20REALISASI%20DIPA%201%20POK%202%20GAJ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SP2D"/>
      <sheetName val="PER BULAN"/>
      <sheetName val="PERSUBBID"/>
      <sheetName val="PERSUBIDANG"/>
      <sheetName val="PER BULAN gaji"/>
      <sheetName val=""/>
      <sheetName val="cu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34">
          <cell r="AQ234">
            <v>844671100</v>
          </cell>
        </row>
        <row r="235">
          <cell r="AQ235">
            <v>13332</v>
          </cell>
        </row>
        <row r="236">
          <cell r="AQ236">
            <v>54902410</v>
          </cell>
        </row>
        <row r="237">
          <cell r="AQ237">
            <v>16238512</v>
          </cell>
        </row>
        <row r="238">
          <cell r="AQ238">
            <v>48661304</v>
          </cell>
        </row>
        <row r="239">
          <cell r="AQ239">
            <v>23708000</v>
          </cell>
        </row>
        <row r="240">
          <cell r="AQ240">
            <v>3811510</v>
          </cell>
        </row>
        <row r="241">
          <cell r="AQ241">
            <v>35413380</v>
          </cell>
        </row>
        <row r="242">
          <cell r="AQ242">
            <v>83602000</v>
          </cell>
        </row>
        <row r="243">
          <cell r="AQ243">
            <v>27710000</v>
          </cell>
        </row>
        <row r="244">
          <cell r="AQ244">
            <v>839367902</v>
          </cell>
        </row>
      </sheetData>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PERSUBBID"/>
      <sheetName val="PERSUBIDANG"/>
      <sheetName val="SP2D gaji"/>
      <sheetName val="cuk"/>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33">
          <cell r="F233">
            <v>6155047000</v>
          </cell>
          <cell r="AQ233">
            <v>2939763957</v>
          </cell>
        </row>
        <row r="245">
          <cell r="F245">
            <v>323949000</v>
          </cell>
          <cell r="AQ245">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X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7.383334375001" createdVersion="7" refreshedVersion="8" minRefreshableVersion="3" recordCount="140" xr:uid="{F6A9A8BE-9DF4-47CC-B2DE-53AB58A65CAC}">
  <cacheSource type="worksheet">
    <worksheetSource ref="A3:AP143" sheet="SP2D"/>
  </cacheSource>
  <cacheFields count="44">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30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427.41701111111115"/>
    </cacheField>
    <cacheField name="Sisa" numFmtId="0">
      <sharedItems containsSemiMixedTypes="0" containsString="0" containsNumber="1" containsInteger="1" minValue="-29467531" maxValue="2915628794"/>
    </cacheField>
    <cacheField name="Real %2" numFmtId="43">
      <sharedItems containsSemiMixedTypes="0" containsString="0" containsNumber="1" minValue="-327.41701111111115"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900000"/>
    <n v="0"/>
    <n v="0"/>
    <n v="7990750"/>
    <n v="0"/>
    <n v="1500000"/>
    <n v="0"/>
    <n v="0"/>
    <n v="0"/>
    <n v="0"/>
    <n v="0"/>
    <n v="0"/>
    <n v="0"/>
    <x v="0"/>
    <x v="1"/>
    <x v="3"/>
    <s v="52"/>
    <s v="SEKRETARIAT BADAN RISET DAN SUMBERDAYA MANUSIA KELAUTAN DAN PERIKANAN"/>
    <n v="9490750"/>
    <n v="68.27877697841727"/>
    <n v="4409250"/>
    <n v="31.721223021582734"/>
    <s v="DL.2376.AFA.001.054.B.521211"/>
    <s v="Non COVID"/>
    <s v="BELANJA BAHAN"/>
    <s v="Belanja Barang Non Operasional"/>
  </r>
  <r>
    <s v="032"/>
    <s v="12"/>
    <s v="DL"/>
    <x v="0"/>
    <s v="2376"/>
    <x v="0"/>
    <s v="AFA"/>
    <s v="2376.AFA. Norma, Standard, Prosedur dan Kriteria"/>
    <s v="001"/>
    <x v="0"/>
    <s v="054"/>
    <x v="3"/>
    <s v="A"/>
    <x v="6"/>
    <n v="521219"/>
    <x v="3"/>
    <n v="8784000"/>
    <n v="0"/>
    <n v="0"/>
    <n v="0"/>
    <n v="0"/>
    <n v="0"/>
    <n v="0"/>
    <n v="0"/>
    <n v="0"/>
    <n v="0"/>
    <n v="0"/>
    <n v="0"/>
    <n v="0"/>
    <x v="0"/>
    <x v="1"/>
    <x v="3"/>
    <s v="52"/>
    <s v="SEKRETARIAT BADAN RISET DAN SUMBERDAYA MANUSIA KELAUTAN DAN PERIKANAN"/>
    <n v="0"/>
    <n v="0"/>
    <n v="8784000"/>
    <n v="100"/>
    <s v="DL.2376.AFA.001.054.B.521219"/>
    <s v="Non COVID"/>
    <s v="PERJALANAN DINAS"/>
    <s v="Belanja Barang Non Operasional"/>
  </r>
  <r>
    <s v="032"/>
    <s v="12"/>
    <s v="DL"/>
    <x v="0"/>
    <s v="2376"/>
    <x v="0"/>
    <s v="AFA"/>
    <s v="2376.AFA. Norma, Standard, Prosedur dan Kriteria"/>
    <s v="001"/>
    <x v="0"/>
    <s v="054"/>
    <x v="3"/>
    <s v="A"/>
    <x v="6"/>
    <n v="522151"/>
    <x v="1"/>
    <n v="10000000"/>
    <n v="0"/>
    <n v="0"/>
    <n v="0"/>
    <n v="7200000"/>
    <n v="0"/>
    <n v="0"/>
    <n v="0"/>
    <n v="0"/>
    <n v="0"/>
    <n v="0"/>
    <n v="0"/>
    <n v="0"/>
    <x v="0"/>
    <x v="1"/>
    <x v="3"/>
    <s v="52"/>
    <s v="SEKRETARIAT BADAN RISET DAN SUMBERDAYA MANUSIA KELAUTAN DAN PERIKANAN"/>
    <n v="7200000"/>
    <n v="72"/>
    <n v="2800000"/>
    <n v="28.000000000000004"/>
    <s v="DL.2376.AFA.001.054.B.522151"/>
    <s v="Non COVID"/>
    <s v="BELANJA BAHAN"/>
    <s v="Belanja Barang Non Operasional"/>
  </r>
  <r>
    <s v="032"/>
    <s v="12"/>
    <s v="DL"/>
    <x v="0"/>
    <s v="2376"/>
    <x v="0"/>
    <s v="AFA"/>
    <s v="2376.AFA. Norma, Standard, Prosedur dan Kriteria"/>
    <s v="001"/>
    <x v="0"/>
    <s v="054"/>
    <x v="3"/>
    <s v="A"/>
    <x v="6"/>
    <s v="522192"/>
    <x v="5"/>
    <n v="5000000"/>
    <n v="0"/>
    <n v="0"/>
    <n v="0"/>
    <n v="0"/>
    <n v="0"/>
    <n v="0"/>
    <n v="0"/>
    <n v="0"/>
    <n v="0"/>
    <n v="0"/>
    <n v="0"/>
    <n v="0"/>
    <x v="0"/>
    <x v="1"/>
    <x v="3"/>
    <s v="52"/>
    <s v="SEKRETARIAT BADAN RISET DAN SUMBERDAYA MANUSIA KELAUTAN DAN PERIKANAN"/>
    <n v="0"/>
    <n v="0"/>
    <n v="5000000"/>
    <n v="100"/>
    <s v="DL.2376.AFA.001.054.B.522192"/>
    <s v="COVID"/>
    <s v="BELANJA JASA"/>
    <s v="Belanja Barang Non Operasional"/>
  </r>
  <r>
    <s v="032"/>
    <s v="12"/>
    <s v="DL"/>
    <x v="0"/>
    <s v="2376"/>
    <x v="0"/>
    <s v="AFA"/>
    <s v="2376.AFA. Norma, Standard, Prosedur dan Kriteria"/>
    <s v="001"/>
    <x v="0"/>
    <s v="054"/>
    <x v="3"/>
    <s v="A"/>
    <x v="6"/>
    <s v="524111"/>
    <x v="2"/>
    <n v="97416000"/>
    <n v="0"/>
    <n v="0"/>
    <n v="28850000"/>
    <n v="6320000"/>
    <n v="0"/>
    <n v="22748610"/>
    <n v="0"/>
    <n v="0"/>
    <n v="0"/>
    <n v="0"/>
    <n v="0"/>
    <n v="0"/>
    <x v="0"/>
    <x v="1"/>
    <x v="3"/>
    <s v="52"/>
    <s v="SEKRETARIAT BADAN RISET DAN SUMBERDAYA MANUSIA KELAUTAN DAN PERIKANAN"/>
    <n v="57918610"/>
    <n v="59.454925268949651"/>
    <n v="39497390"/>
    <n v="40.545074731050342"/>
    <s v="DL.2376.AFA.001.054.B.524111"/>
    <s v="Non COVID"/>
    <s v="PERJALANAN DINAS"/>
    <s v="Belanja Barang Non Operasional"/>
  </r>
  <r>
    <s v="032"/>
    <s v="12"/>
    <s v="WA"/>
    <x v="1"/>
    <s v="2378"/>
    <x v="1"/>
    <s v="CAN"/>
    <s v="2378.CAN. Sarana Bidang Teknologi Informasi dan Komunikasi"/>
    <s v="001"/>
    <x v="1"/>
    <n v="301"/>
    <x v="4"/>
    <s v="A"/>
    <x v="7"/>
    <n v="532111"/>
    <x v="7"/>
    <n v="115000000"/>
    <n v="0"/>
    <n v="0"/>
    <n v="0"/>
    <n v="0"/>
    <n v="114200000"/>
    <n v="0"/>
    <n v="0"/>
    <n v="0"/>
    <n v="0"/>
    <n v="0"/>
    <n v="0"/>
    <n v="0"/>
    <x v="0"/>
    <x v="2"/>
    <x v="4"/>
    <n v="53"/>
    <s v="SEKRETARIAT BADAN RISET DAN SUMBERDAYA MANUSIA KELAUTAN DAN PERIKANAN"/>
    <n v="114200000"/>
    <n v="99.304347826086953"/>
    <n v="800000"/>
    <n v="0.69565217391304346"/>
    <s v="WA.2378.CAN.001.301.A.532111"/>
    <s v="Non COVID"/>
    <s v="BELANJA MODAL"/>
    <s v="Belanja Barang Non Operasional"/>
  </r>
  <r>
    <s v="032"/>
    <s v="12"/>
    <s v="WA"/>
    <x v="1"/>
    <s v="2378"/>
    <x v="1"/>
    <s v="EBA"/>
    <s v="2378.EBA. Layanan Dukungan Manajemen Internal"/>
    <n v="958"/>
    <x v="2"/>
    <n v="311"/>
    <x v="5"/>
    <s v="A"/>
    <x v="8"/>
    <n v="521211"/>
    <x v="0"/>
    <n v="14400000"/>
    <n v="0"/>
    <n v="0"/>
    <n v="2876000"/>
    <n v="0"/>
    <n v="3071500"/>
    <n v="0"/>
    <n v="0"/>
    <n v="0"/>
    <n v="0"/>
    <n v="0"/>
    <n v="0"/>
    <n v="0"/>
    <x v="0"/>
    <x v="3"/>
    <x v="5"/>
    <s v="52"/>
    <s v="SEKRETARIAT BADAN RISET DAN SUMBERDAYA MANUSIA KELAUTAN DAN PERIKANAN"/>
    <n v="5947500"/>
    <n v="41.302083333333336"/>
    <n v="8452500"/>
    <n v="58.697916666666671"/>
    <s v="WA.2378.EBA.958.311.A.521211"/>
    <s v="Non COVID"/>
    <s v="BELANJA BAHAN"/>
    <s v="Belanja Barang Non Operasional"/>
  </r>
  <r>
    <s v="032"/>
    <s v="12"/>
    <s v="WA"/>
    <x v="1"/>
    <s v="2378"/>
    <x v="1"/>
    <s v="EBA"/>
    <s v="2378.EBA. Layanan Dukungan Manajemen Internal"/>
    <n v="958"/>
    <x v="2"/>
    <n v="311"/>
    <x v="5"/>
    <s v="A"/>
    <x v="8"/>
    <n v="521219"/>
    <x v="3"/>
    <n v="8000000"/>
    <n v="0"/>
    <n v="0"/>
    <n v="0"/>
    <n v="0"/>
    <n v="0"/>
    <n v="0"/>
    <n v="0"/>
    <n v="0"/>
    <n v="0"/>
    <n v="0"/>
    <n v="0"/>
    <n v="0"/>
    <x v="0"/>
    <x v="3"/>
    <x v="5"/>
    <s v="52"/>
    <s v="SEKRETARIAT BADAN RISET DAN SUMBERDAYA MANUSIA KELAUTAN DAN PERIKANAN"/>
    <n v="0"/>
    <n v="0"/>
    <n v="8000000"/>
    <n v="100"/>
    <s v="WA.2378.EBA.958.311.A.521219"/>
    <s v="Non COVID"/>
    <s v="NON OPS LAINNYA"/>
    <s v="Belanja Barang Non Operasional"/>
  </r>
  <r>
    <s v="032"/>
    <s v="12"/>
    <s v="WA"/>
    <x v="1"/>
    <s v="2378"/>
    <x v="1"/>
    <s v="EBA"/>
    <s v="2378.EBA. Layanan Dukungan Manajemen Internal"/>
    <n v="958"/>
    <x v="2"/>
    <n v="311"/>
    <x v="5"/>
    <s v="A"/>
    <x v="8"/>
    <n v="521811"/>
    <x v="4"/>
    <n v="12000000"/>
    <n v="0"/>
    <n v="0"/>
    <n v="2450750"/>
    <n v="0"/>
    <n v="1929000"/>
    <n v="0"/>
    <n v="0"/>
    <n v="0"/>
    <n v="0"/>
    <n v="0"/>
    <n v="0"/>
    <n v="0"/>
    <x v="0"/>
    <x v="3"/>
    <x v="5"/>
    <s v="52"/>
    <s v="SEKRETARIAT BADAN RISET DAN SUMBERDAYA MANUSIA KELAUTAN DAN PERIKANAN"/>
    <n v="4379750"/>
    <n v="36.497916666666669"/>
    <n v="7620250"/>
    <n v="63.502083333333339"/>
    <s v="WA.2378.EBA.958.311.A.521811"/>
    <s v="Non COVID"/>
    <s v="PERSEDIAAN"/>
    <s v="Belanja Barang Non Operasional"/>
  </r>
  <r>
    <s v="032"/>
    <s v="12"/>
    <s v="WA"/>
    <x v="1"/>
    <s v="2378"/>
    <x v="1"/>
    <s v="EBA"/>
    <s v="2378.EBA. Layanan Dukungan Manajemen Internal"/>
    <n v="958"/>
    <x v="2"/>
    <n v="311"/>
    <x v="5"/>
    <s v="A"/>
    <x v="8"/>
    <n v="522151"/>
    <x v="1"/>
    <n v="4000000"/>
    <n v="0"/>
    <n v="0"/>
    <n v="0"/>
    <n v="0"/>
    <n v="0"/>
    <n v="0"/>
    <n v="0"/>
    <n v="0"/>
    <n v="0"/>
    <n v="0"/>
    <n v="0"/>
    <n v="0"/>
    <x v="0"/>
    <x v="3"/>
    <x v="5"/>
    <s v="52"/>
    <s v="SEKRETARIAT BADAN RISET DAN SUMBERDAYA MANUSIA KELAUTAN DAN PERIKANAN"/>
    <n v="0"/>
    <n v="0"/>
    <n v="4000000"/>
    <n v="100"/>
    <s v="WA.2378.EBA.958.311.A.522151"/>
    <s v="Non COVID"/>
    <s v="BELANJA JASA"/>
    <s v="Belanja Barang Non Operasional"/>
  </r>
  <r>
    <s v="032"/>
    <s v="12"/>
    <s v="WA"/>
    <x v="1"/>
    <s v="2378"/>
    <x v="1"/>
    <s v="EBA"/>
    <s v="2378.EBA. Layanan Dukungan Manajemen Internal"/>
    <n v="958"/>
    <x v="2"/>
    <n v="311"/>
    <x v="5"/>
    <s v="A"/>
    <x v="8"/>
    <s v="524111"/>
    <x v="2"/>
    <n v="115380000"/>
    <n v="0"/>
    <n v="0"/>
    <n v="0"/>
    <n v="3570000"/>
    <n v="10960600"/>
    <n v="3840000"/>
    <n v="0"/>
    <n v="0"/>
    <n v="0"/>
    <n v="0"/>
    <n v="0"/>
    <n v="0"/>
    <x v="0"/>
    <x v="3"/>
    <x v="5"/>
    <s v="52"/>
    <s v="SEKRETARIAT BADAN RISET DAN SUMBERDAYA MANUSIA KELAUTAN DAN PERIKANAN"/>
    <n v="18370600"/>
    <n v="15.921823539608251"/>
    <n v="97009400"/>
    <n v="84.078176460391745"/>
    <s v="WA.2378.EBA.958.311.A.524111"/>
    <s v="Non COVID"/>
    <s v="PERJALANAN DINAS"/>
    <s v="Belanja Barang Non Operasional"/>
  </r>
  <r>
    <s v="032"/>
    <s v="12"/>
    <s v="WA"/>
    <x v="1"/>
    <s v="2378"/>
    <x v="1"/>
    <s v="EBA"/>
    <s v="2378.EBA. Layanan Dukungan Manajemen Internal"/>
    <n v="301"/>
    <x v="3"/>
    <n v="301"/>
    <x v="6"/>
    <s v="A"/>
    <x v="9"/>
    <n v="521211"/>
    <x v="0"/>
    <n v="22000000"/>
    <n v="0"/>
    <n v="0"/>
    <n v="3998800"/>
    <n v="0"/>
    <n v="0"/>
    <n v="0"/>
    <n v="0"/>
    <n v="0"/>
    <n v="0"/>
    <n v="0"/>
    <n v="0"/>
    <n v="0"/>
    <x v="0"/>
    <x v="2"/>
    <x v="4"/>
    <s v="52"/>
    <s v="SEKRETARIAT BADAN RISET DAN SUMBERDAYA MANUSIA KELAUTAN DAN PERIKANAN"/>
    <n v="3998800"/>
    <n v="18.176363636363639"/>
    <n v="18001200"/>
    <n v="81.823636363636368"/>
    <s v="WA.2378.EBA.962.301.A.521211"/>
    <s v="Non COVID"/>
    <s v="BELANJA BAHAN"/>
    <s v="Belanja Barang Non Operasional"/>
  </r>
  <r>
    <s v="032"/>
    <s v="12"/>
    <s v="WA"/>
    <x v="1"/>
    <s v="2378"/>
    <x v="1"/>
    <s v="EBA"/>
    <s v="2378.EBA. Layanan Dukungan Manajemen Internal"/>
    <n v="301"/>
    <x v="3"/>
    <n v="301"/>
    <x v="6"/>
    <s v="A"/>
    <x v="9"/>
    <s v="524111"/>
    <x v="2"/>
    <n v="27000000"/>
    <n v="0"/>
    <n v="0"/>
    <n v="4335000"/>
    <n v="3960000"/>
    <n v="3043500"/>
    <n v="0"/>
    <n v="0"/>
    <n v="0"/>
    <n v="0"/>
    <n v="0"/>
    <n v="0"/>
    <n v="0"/>
    <x v="0"/>
    <x v="2"/>
    <x v="4"/>
    <s v="52"/>
    <s v="SEKRETARIAT BADAN RISET DAN SUMBERDAYA MANUSIA KELAUTAN DAN PERIKANAN"/>
    <n v="11338500"/>
    <n v="41.994444444444447"/>
    <n v="15661500"/>
    <n v="58.005555555555553"/>
    <s v="WA.2378.EBA.962.301.A.524111"/>
    <s v="Non COVID"/>
    <s v="PERJALANAN DINAS"/>
    <s v="Belanja Barang Non Operasional"/>
  </r>
  <r>
    <s v="032"/>
    <s v="12"/>
    <s v="WA"/>
    <x v="1"/>
    <s v="2378"/>
    <x v="1"/>
    <s v="EBA"/>
    <s v="2378.EBA. Layanan Dukungan Manajemen Internal"/>
    <n v="301"/>
    <x v="3"/>
    <n v="301"/>
    <x v="6"/>
    <s v="A"/>
    <x v="9"/>
    <s v="524113"/>
    <x v="6"/>
    <n v="2100000"/>
    <n v="0"/>
    <n v="0"/>
    <n v="750000"/>
    <n v="0"/>
    <n v="0"/>
    <n v="0"/>
    <n v="0"/>
    <n v="0"/>
    <n v="0"/>
    <n v="0"/>
    <n v="0"/>
    <n v="0"/>
    <x v="0"/>
    <x v="2"/>
    <x v="4"/>
    <s v="52"/>
    <s v="SEKRETARIAT BADAN RISET DAN SUMBERDAYA MANUSIA KELAUTAN DAN PERIKANAN"/>
    <n v="750000"/>
    <n v="35.714285714285715"/>
    <n v="1350000"/>
    <n v="64.285714285714292"/>
    <s v="WA.2378.EBA.962.301.A.524113"/>
    <s v="Non COVID"/>
    <s v="TRANSPORT LOKAL"/>
    <s v="Belanja Barang Non Operasional"/>
  </r>
  <r>
    <s v="032"/>
    <s v="12"/>
    <s v="WA"/>
    <x v="1"/>
    <s v="2378"/>
    <x v="1"/>
    <s v="EBA"/>
    <s v="2378.EBA. Layanan Dukungan Manajemen Internal"/>
    <n v="301"/>
    <x v="3"/>
    <n v="301"/>
    <x v="6"/>
    <s v="B"/>
    <x v="10"/>
    <n v="521211"/>
    <x v="0"/>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301"/>
    <x v="3"/>
    <n v="301"/>
    <x v="6"/>
    <s v="B"/>
    <x v="10"/>
    <s v="522192"/>
    <x v="5"/>
    <n v="23680000"/>
    <n v="0"/>
    <n v="0"/>
    <n v="2031000"/>
    <n v="0"/>
    <n v="0"/>
    <n v="0"/>
    <n v="0"/>
    <n v="0"/>
    <n v="0"/>
    <n v="0"/>
    <n v="0"/>
    <n v="0"/>
    <x v="0"/>
    <x v="2"/>
    <x v="4"/>
    <s v="52"/>
    <s v="SEKRETARIAT BADAN RISET DAN SUMBERDAYA MANUSIA KELAUTAN DAN PERIKANAN"/>
    <n v="2031000"/>
    <n v="8.5768581081081088"/>
    <n v="21649000"/>
    <n v="91.423141891891888"/>
    <s v="WA.2378.EBA.962.301.B.522192"/>
    <s v="COVID"/>
    <s v="BELANJA JASA"/>
    <s v="Belanja Barang Non Operasional"/>
  </r>
  <r>
    <s v="032"/>
    <s v="12"/>
    <s v="WA"/>
    <x v="1"/>
    <s v="2378"/>
    <x v="1"/>
    <s v="EBA"/>
    <s v="2378.EBA. Layanan Dukungan Manajemen Internal"/>
    <n v="301"/>
    <x v="3"/>
    <n v="301"/>
    <x v="6"/>
    <s v="B"/>
    <x v="10"/>
    <s v="524111"/>
    <x v="2"/>
    <n v="514500000"/>
    <n v="0"/>
    <n v="0"/>
    <n v="68815500"/>
    <n v="66565460"/>
    <n v="25199501"/>
    <n v="0"/>
    <n v="0"/>
    <n v="0"/>
    <n v="0"/>
    <n v="0"/>
    <n v="0"/>
    <n v="0"/>
    <x v="0"/>
    <x v="2"/>
    <x v="4"/>
    <s v="52"/>
    <s v="SEKRETARIAT BADAN RISET DAN SUMBERDAYA MANUSIA KELAUTAN DAN PERIKANAN"/>
    <n v="160580461"/>
    <n v="31.210973955296407"/>
    <n v="353919539"/>
    <n v="68.78902604470359"/>
    <s v="WA.2378.EBA.962.301.B.524111"/>
    <s v="Non COVID"/>
    <s v="PERJALANAN DINAS"/>
    <s v="Belanja Barang Non Operasional"/>
  </r>
  <r>
    <s v="032"/>
    <s v="12"/>
    <s v="WA"/>
    <x v="1"/>
    <s v="2378"/>
    <x v="1"/>
    <s v="EBA"/>
    <s v="2378.EBA. Layanan Dukungan Manajemen Internal"/>
    <n v="301"/>
    <x v="3"/>
    <n v="301"/>
    <x v="6"/>
    <s v="C"/>
    <x v="11"/>
    <n v="521211"/>
    <x v="0"/>
    <n v="46000000"/>
    <n v="0"/>
    <n v="0"/>
    <n v="3987000"/>
    <n v="0"/>
    <n v="29384740"/>
    <n v="0"/>
    <n v="0"/>
    <n v="0"/>
    <n v="0"/>
    <n v="0"/>
    <n v="0"/>
    <n v="0"/>
    <x v="0"/>
    <x v="2"/>
    <x v="4"/>
    <s v="52"/>
    <s v="SEKRETARIAT BADAN RISET DAN SUMBERDAYA MANUSIA KELAUTAN DAN PERIKANAN"/>
    <n v="33371740"/>
    <n v="72.547260869565221"/>
    <n v="12628260"/>
    <n v="27.452739130434782"/>
    <s v="WA.2378.EBA.962.301.C.521211"/>
    <s v="Non COVID"/>
    <s v="BELANJA BAHAN"/>
    <s v="Belanja Barang Non Operasional"/>
  </r>
  <r>
    <s v="032"/>
    <s v="12"/>
    <s v="WA"/>
    <x v="1"/>
    <s v="2378"/>
    <x v="1"/>
    <s v="EBA"/>
    <s v="2378.EBA. Layanan Dukungan Manajemen Internal"/>
    <n v="301"/>
    <x v="3"/>
    <n v="301"/>
    <x v="6"/>
    <s v="C"/>
    <x v="11"/>
    <n v="522141"/>
    <x v="8"/>
    <n v="6000000"/>
    <n v="0"/>
    <n v="0"/>
    <n v="0"/>
    <n v="0"/>
    <n v="0"/>
    <n v="0"/>
    <n v="0"/>
    <n v="0"/>
    <n v="0"/>
    <n v="0"/>
    <n v="0"/>
    <n v="0"/>
    <x v="0"/>
    <x v="2"/>
    <x v="4"/>
    <s v="52"/>
    <s v="SEKRETARIAT BADAN RISET DAN SUMBERDAYA MANUSIA KELAUTAN DAN PERIKANAN"/>
    <n v="0"/>
    <n v="0"/>
    <n v="6000000"/>
    <n v="100"/>
    <s v="WA.2378.EBA.962.301.C.522141"/>
    <s v="Non COVID"/>
    <s v="BELANJA SEWA"/>
    <s v="Belanja Barang Non Operasional"/>
  </r>
  <r>
    <s v="032"/>
    <s v="12"/>
    <s v="WA"/>
    <x v="1"/>
    <s v="2378"/>
    <x v="1"/>
    <s v="EBA"/>
    <s v="2378.EBA. Layanan Dukungan Manajemen Internal"/>
    <n v="301"/>
    <x v="3"/>
    <n v="301"/>
    <x v="6"/>
    <s v="C"/>
    <x v="11"/>
    <s v="524111"/>
    <x v="2"/>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301"/>
    <x v="3"/>
    <n v="301"/>
    <x v="6"/>
    <s v="C"/>
    <x v="11"/>
    <s v="524113"/>
    <x v="6"/>
    <n v="4500000"/>
    <n v="0"/>
    <n v="0"/>
    <n v="600000"/>
    <n v="0"/>
    <n v="0"/>
    <n v="0"/>
    <n v="0"/>
    <n v="0"/>
    <n v="0"/>
    <n v="0"/>
    <n v="0"/>
    <n v="0"/>
    <x v="0"/>
    <x v="2"/>
    <x v="4"/>
    <s v="52"/>
    <s v="SEKRETARIAT BADAN RISET DAN SUMBERDAYA MANUSIA KELAUTAN DAN PERIKANAN"/>
    <n v="600000"/>
    <n v="13.333333333333334"/>
    <n v="3900000"/>
    <n v="86.666666666666671"/>
    <s v="WA.2378.EBA.962.301.C.524113"/>
    <s v="Non COVID"/>
    <s v="TRANSPORT LOKAL"/>
    <s v="Belanja Barang Non Operasional"/>
  </r>
  <r>
    <s v="032"/>
    <s v="12"/>
    <s v="WA"/>
    <x v="1"/>
    <s v="2378"/>
    <x v="1"/>
    <s v="EBA"/>
    <s v="2378.EBA. Layanan Dukungan Manajemen Internal"/>
    <n v="301"/>
    <x v="3"/>
    <n v="301"/>
    <x v="6"/>
    <s v="D"/>
    <x v="12"/>
    <n v="521211"/>
    <x v="0"/>
    <n v="28000000"/>
    <n v="0"/>
    <n v="0"/>
    <n v="5459000"/>
    <n v="0"/>
    <n v="0"/>
    <n v="0"/>
    <n v="0"/>
    <n v="0"/>
    <n v="0"/>
    <n v="0"/>
    <n v="0"/>
    <n v="0"/>
    <x v="0"/>
    <x v="2"/>
    <x v="4"/>
    <s v="52"/>
    <s v="SEKRETARIAT BADAN RISET DAN SUMBERDAYA MANUSIA KELAUTAN DAN PERIKANAN"/>
    <n v="5459000"/>
    <n v="19.49642857142857"/>
    <n v="22541000"/>
    <n v="80.503571428571433"/>
    <s v="WA.2378.EBA.962.301.D.521211"/>
    <s v="Non COVID"/>
    <s v="BELANJA BAHAN"/>
    <s v="Belanja Barang Non Operasional"/>
  </r>
  <r>
    <s v="032"/>
    <s v="12"/>
    <s v="WA"/>
    <x v="1"/>
    <s v="2378"/>
    <x v="1"/>
    <s v="EBA"/>
    <s v="2378.EBA. Layanan Dukungan Manajemen Internal"/>
    <n v="301"/>
    <x v="3"/>
    <n v="301"/>
    <x v="6"/>
    <s v="D"/>
    <x v="12"/>
    <s v="524111"/>
    <x v="2"/>
    <n v="71250000"/>
    <n v="0"/>
    <n v="0"/>
    <n v="8227400"/>
    <n v="15762838"/>
    <n v="3691500"/>
    <n v="0"/>
    <n v="0"/>
    <n v="0"/>
    <n v="0"/>
    <n v="0"/>
    <n v="0"/>
    <n v="0"/>
    <x v="0"/>
    <x v="2"/>
    <x v="4"/>
    <s v="52"/>
    <s v="SEKRETARIAT BADAN RISET DAN SUMBERDAYA MANUSIA KELAUTAN DAN PERIKANAN"/>
    <n v="27681738"/>
    <n v="38.851562105263163"/>
    <n v="43568262"/>
    <n v="61.148437894736837"/>
    <s v="WA.2378.EBA.962.301.D.524111"/>
    <s v="Non COVID"/>
    <s v="PERJALANAN DINAS"/>
    <s v="Belanja Barang Non Operasional"/>
  </r>
  <r>
    <s v="032"/>
    <s v="12"/>
    <s v="WA"/>
    <x v="1"/>
    <s v="2378"/>
    <x v="1"/>
    <s v="EBA"/>
    <s v="2378.EBA. Layanan Dukungan Manajemen Internal"/>
    <n v="301"/>
    <x v="3"/>
    <n v="301"/>
    <x v="6"/>
    <s v="D"/>
    <x v="12"/>
    <s v="524113"/>
    <x v="6"/>
    <n v="1800000"/>
    <n v="0"/>
    <n v="0"/>
    <n v="0"/>
    <n v="0"/>
    <n v="0"/>
    <n v="0"/>
    <n v="0"/>
    <n v="0"/>
    <n v="0"/>
    <n v="0"/>
    <n v="0"/>
    <n v="0"/>
    <x v="0"/>
    <x v="2"/>
    <x v="4"/>
    <s v="52"/>
    <s v="SEKRETARIAT BADAN RISET DAN SUMBERDAYA MANUSIA KELAUTAN DAN PERIKANAN"/>
    <n v="0"/>
    <n v="0"/>
    <n v="1800000"/>
    <n v="100"/>
    <s v="WA.2378.EBA.962.301.C.524113"/>
    <s v="Non COVID"/>
    <s v="TRANSPORT LOKAL"/>
    <s v="Belanja Barang Non Operasional"/>
  </r>
  <r>
    <s v="032"/>
    <s v="12"/>
    <s v="WA"/>
    <x v="1"/>
    <s v="2378"/>
    <x v="1"/>
    <s v="EBA"/>
    <s v="2378.EBA. Layanan Dukungan Manajemen Internal"/>
    <n v="301"/>
    <x v="3"/>
    <n v="301"/>
    <x v="6"/>
    <s v="E"/>
    <x v="13"/>
    <n v="521211"/>
    <x v="0"/>
    <n v="57600000"/>
    <n v="0"/>
    <n v="0"/>
    <n v="31495000"/>
    <n v="0"/>
    <n v="6600000"/>
    <n v="0"/>
    <n v="0"/>
    <n v="0"/>
    <n v="0"/>
    <n v="0"/>
    <n v="0"/>
    <n v="0"/>
    <x v="0"/>
    <x v="2"/>
    <x v="4"/>
    <s v="52"/>
    <s v="SEKRETARIAT BADAN RISET DAN SUMBERDAYA MANUSIA KELAUTAN DAN PERIKANAN"/>
    <n v="38095000"/>
    <n v="66.137152777777771"/>
    <n v="19505000"/>
    <n v="33.862847222222221"/>
    <s v="WA.2378.EBA.962.301.E.524113"/>
    <s v="Non COVID"/>
    <s v="BELANJA BAHAN"/>
    <s v="Belanja Barang Non Operasional"/>
  </r>
  <r>
    <s v="032"/>
    <s v="12"/>
    <s v="WA"/>
    <x v="1"/>
    <s v="2378"/>
    <x v="1"/>
    <s v="EBA"/>
    <s v="2378.EBA. Layanan Dukungan Manajemen Internal"/>
    <n v="301"/>
    <x v="3"/>
    <n v="301"/>
    <x v="6"/>
    <s v="E"/>
    <x v="13"/>
    <n v="521241"/>
    <x v="9"/>
    <n v="226200000"/>
    <n v="0"/>
    <n v="0"/>
    <n v="47132450"/>
    <n v="0"/>
    <n v="20031830"/>
    <n v="0"/>
    <n v="0"/>
    <n v="0"/>
    <n v="0"/>
    <n v="0"/>
    <n v="0"/>
    <n v="0"/>
    <x v="0"/>
    <x v="2"/>
    <x v="4"/>
    <s v="52"/>
    <s v="SEKRETARIAT BADAN RISET DAN SUMBERDAYA MANUSIA KELAUTAN DAN PERIKANAN"/>
    <n v="67164280"/>
    <n v="29.692431476569407"/>
    <n v="159035720"/>
    <n v="70.307568523430604"/>
    <s v="WA.2378.EBA.962.301.E.521241"/>
    <s v="COVID"/>
    <s v="BELANJA JASA"/>
    <s v="Belanja Barang Non Operasional"/>
  </r>
  <r>
    <s v="032"/>
    <s v="12"/>
    <s v="WA"/>
    <x v="1"/>
    <s v="2378"/>
    <x v="1"/>
    <s v="EBA"/>
    <s v="2378.EBA. Layanan Dukungan Manajemen Internal"/>
    <n v="301"/>
    <x v="3"/>
    <n v="301"/>
    <x v="6"/>
    <s v="E"/>
    <x v="13"/>
    <n v="522191"/>
    <x v="10"/>
    <n v="35000000"/>
    <n v="0"/>
    <n v="0"/>
    <n v="0"/>
    <n v="0"/>
    <n v="0"/>
    <n v="0"/>
    <n v="0"/>
    <n v="0"/>
    <n v="0"/>
    <n v="0"/>
    <n v="0"/>
    <n v="0"/>
    <x v="0"/>
    <x v="2"/>
    <x v="4"/>
    <n v="52"/>
    <s v="SEKRETARIAT BADAN RISET DAN SUMBERDAYA MANUSIA KELAUTAN DAN PERIKANAN"/>
    <n v="0"/>
    <n v="0"/>
    <n v="35000000"/>
    <n v="100"/>
    <s v="WA.2378.EBA.962.301.E.522191"/>
    <s v="Non COVID"/>
    <s v="BELANJA JASA"/>
    <s v="Belanja Barang Non Operasional"/>
  </r>
  <r>
    <s v="032"/>
    <s v="12"/>
    <s v="WA"/>
    <x v="1"/>
    <s v="2378"/>
    <x v="1"/>
    <s v="EBA"/>
    <s v="2378.EBA. Layanan Dukungan Manajemen Internal"/>
    <n v="301"/>
    <x v="3"/>
    <n v="301"/>
    <x v="6"/>
    <s v="E"/>
    <x v="13"/>
    <s v="522192"/>
    <x v="5"/>
    <n v="48000000"/>
    <n v="0"/>
    <n v="0"/>
    <n v="802000"/>
    <n v="3229000"/>
    <n v="215000"/>
    <n v="0"/>
    <n v="0"/>
    <n v="0"/>
    <n v="0"/>
    <n v="0"/>
    <n v="0"/>
    <n v="0"/>
    <x v="0"/>
    <x v="2"/>
    <x v="4"/>
    <s v="52"/>
    <s v="SEKRETARIAT BADAN RISET DAN SUMBERDAYA MANUSIA KELAUTAN DAN PERIKANAN"/>
    <n v="4246000"/>
    <n v="8.8458333333333332"/>
    <n v="43754000"/>
    <n v="91.154166666666669"/>
    <s v="WA.2378.EBA.962.301.E.522192"/>
    <s v="COVID"/>
    <s v="BELANJA JASA"/>
    <s v="Belanja Barang Non Operasional"/>
  </r>
  <r>
    <s v="032"/>
    <s v="12"/>
    <s v="WA"/>
    <x v="1"/>
    <s v="2378"/>
    <x v="1"/>
    <s v="EBA"/>
    <s v="2378.EBA. Layanan Dukungan Manajemen Internal"/>
    <n v="301"/>
    <x v="3"/>
    <n v="301"/>
    <x v="6"/>
    <s v="E"/>
    <x v="13"/>
    <s v="524111"/>
    <x v="2"/>
    <n v="42772000"/>
    <n v="0"/>
    <n v="0"/>
    <n v="8250000"/>
    <n v="3712700"/>
    <n v="9888000"/>
    <n v="0"/>
    <n v="0"/>
    <n v="0"/>
    <n v="0"/>
    <n v="0"/>
    <n v="0"/>
    <n v="0"/>
    <x v="0"/>
    <x v="2"/>
    <x v="4"/>
    <s v="52"/>
    <s v="SEKRETARIAT BADAN RISET DAN SUMBERDAYA MANUSIA KELAUTAN DAN PERIKANAN"/>
    <n v="21850700"/>
    <n v="51.08645843074909"/>
    <n v="20921300"/>
    <n v="48.91354156925091"/>
    <s v="WA.2378.EBA.962.301.E.524111"/>
    <s v="Non COVID"/>
    <s v="PERJALANAN DINAS"/>
    <s v="Belanja Barang Non Operasional"/>
  </r>
  <r>
    <s v="032"/>
    <s v="12"/>
    <s v="WA"/>
    <x v="1"/>
    <s v="2378"/>
    <x v="1"/>
    <s v="EBA"/>
    <s v="2378.EBA. Layanan Dukungan Manajemen Internal"/>
    <n v="301"/>
    <x v="3"/>
    <n v="301"/>
    <x v="6"/>
    <s v="E"/>
    <x v="13"/>
    <s v="524113"/>
    <x v="6"/>
    <n v="2100000"/>
    <n v="0"/>
    <n v="0"/>
    <n v="0"/>
    <n v="0"/>
    <n v="0"/>
    <n v="0"/>
    <n v="0"/>
    <n v="0"/>
    <n v="0"/>
    <n v="0"/>
    <n v="0"/>
    <n v="0"/>
    <x v="0"/>
    <x v="2"/>
    <x v="4"/>
    <s v="52"/>
    <s v="SEKRETARIAT BADAN RISET DAN SUMBERDAYA MANUSIA KELAUTAN DAN PERIKANAN"/>
    <n v="0"/>
    <n v="0"/>
    <n v="2100000"/>
    <n v="100"/>
    <s v="WA.2378.EBA.962.301.E.524113"/>
    <s v="Non COVID"/>
    <s v="TRANSPORT LOKAL"/>
    <s v="Belanja Barang Non Operasional"/>
  </r>
  <r>
    <s v="032"/>
    <s v="12"/>
    <s v="WA"/>
    <x v="1"/>
    <s v="2378"/>
    <x v="1"/>
    <s v="EBA"/>
    <s v="2378.EBA. Layanan Dukungan Manajemen Internal"/>
    <n v="301"/>
    <x v="3"/>
    <n v="301"/>
    <x v="6"/>
    <s v="F"/>
    <x v="14"/>
    <n v="521211"/>
    <x v="0"/>
    <n v="32000000"/>
    <n v="0"/>
    <n v="0"/>
    <n v="3999200"/>
    <n v="0"/>
    <n v="0"/>
    <n v="0"/>
    <n v="0"/>
    <n v="0"/>
    <n v="0"/>
    <n v="0"/>
    <n v="0"/>
    <n v="0"/>
    <x v="0"/>
    <x v="1"/>
    <x v="3"/>
    <s v="52"/>
    <s v="SEKRETARIAT BADAN RISET DAN SUMBERDAYA MANUSIA KELAUTAN DAN PERIKANAN"/>
    <n v="3999200"/>
    <n v="12.4975"/>
    <n v="28000800"/>
    <n v="87.502500000000012"/>
    <s v="WA.2378.EBA.962.301.F.521211"/>
    <s v="Non COVID"/>
    <s v="BELANJA BAHAN"/>
    <s v="Belanja Barang Non Operasional"/>
  </r>
  <r>
    <s v="032"/>
    <s v="12"/>
    <s v="WA"/>
    <x v="1"/>
    <s v="2378"/>
    <x v="1"/>
    <s v="EBA"/>
    <s v="2378.EBA. Layanan Dukungan Manajemen Internal"/>
    <n v="301"/>
    <x v="3"/>
    <n v="301"/>
    <x v="6"/>
    <s v="F"/>
    <x v="14"/>
    <n v="521219"/>
    <x v="3"/>
    <n v="298141000"/>
    <n v="0"/>
    <n v="0"/>
    <n v="694240"/>
    <n v="0"/>
    <n v="3603218"/>
    <n v="0"/>
    <n v="0"/>
    <n v="0"/>
    <n v="0"/>
    <n v="0"/>
    <n v="0"/>
    <n v="0"/>
    <x v="0"/>
    <x v="1"/>
    <x v="3"/>
    <s v="52"/>
    <s v="SEKRETARIAT BADAN RISET DAN SUMBERDAYA MANUSIA KELAUTAN DAN PERIKANAN"/>
    <n v="4297458"/>
    <n v="1.4414179867914845"/>
    <n v="293843542"/>
    <n v="98.558582013208522"/>
    <s v="WA.2378.EBA.962.301.F.521219"/>
    <s v="Non COVID"/>
    <s v="NON OPS LAINNYA"/>
    <s v="Belanja Barang Non Operasional"/>
  </r>
  <r>
    <s v="032"/>
    <s v="12"/>
    <s v="WA"/>
    <x v="1"/>
    <s v="2378"/>
    <x v="1"/>
    <s v="EBA"/>
    <s v="2378.EBA. Layanan Dukungan Manajemen Internal"/>
    <n v="301"/>
    <x v="3"/>
    <n v="301"/>
    <x v="6"/>
    <s v="F"/>
    <x v="14"/>
    <n v="522151"/>
    <x v="1"/>
    <n v="30000000"/>
    <n v="0"/>
    <n v="0"/>
    <n v="0"/>
    <n v="0"/>
    <n v="0"/>
    <n v="0"/>
    <n v="0"/>
    <n v="0"/>
    <n v="0"/>
    <n v="0"/>
    <n v="0"/>
    <n v="0"/>
    <x v="0"/>
    <x v="1"/>
    <x v="3"/>
    <s v="52"/>
    <s v="SEKRETARIAT BADAN RISET DAN SUMBERDAYA MANUSIA KELAUTAN DAN PERIKANAN"/>
    <n v="0"/>
    <n v="0"/>
    <n v="30000000"/>
    <n v="100"/>
    <s v="WA.2378.EBA.962.301.F.522151"/>
    <s v="Non COVID"/>
    <s v="BELANJA JASA"/>
    <s v="Belanja Barang Non Operasional"/>
  </r>
  <r>
    <s v="032"/>
    <s v="12"/>
    <s v="WA"/>
    <x v="1"/>
    <s v="2378"/>
    <x v="1"/>
    <s v="EBA"/>
    <s v="2378.EBA. Layanan Dukungan Manajemen Internal"/>
    <n v="301"/>
    <x v="3"/>
    <n v="301"/>
    <x v="6"/>
    <s v="F"/>
    <x v="14"/>
    <s v="522192"/>
    <x v="5"/>
    <n v="8000000"/>
    <n v="0"/>
    <n v="0"/>
    <n v="0"/>
    <n v="0"/>
    <n v="0"/>
    <n v="0"/>
    <n v="0"/>
    <n v="0"/>
    <n v="0"/>
    <n v="0"/>
    <n v="0"/>
    <n v="0"/>
    <x v="0"/>
    <x v="1"/>
    <x v="3"/>
    <s v="52"/>
    <s v="SEKRETARIAT BADAN RISET DAN SUMBERDAYA MANUSIA KELAUTAN DAN PERIKANAN"/>
    <n v="0"/>
    <n v="0"/>
    <n v="8000000"/>
    <n v="100"/>
    <s v="WA.2378.EBA.962.301.F.522192"/>
    <s v="COVID"/>
    <s v="BELANJA JASA"/>
    <s v="Belanja Barang Non Operasional"/>
  </r>
  <r>
    <s v="032"/>
    <s v="12"/>
    <s v="WA"/>
    <x v="1"/>
    <s v="2378"/>
    <x v="1"/>
    <s v="EBA"/>
    <s v="2378.EBA. Layanan Dukungan Manajemen Internal"/>
    <n v="301"/>
    <x v="3"/>
    <n v="301"/>
    <x v="6"/>
    <s v="F"/>
    <x v="14"/>
    <s v="524111"/>
    <x v="2"/>
    <n v="81859000"/>
    <n v="0"/>
    <n v="0"/>
    <n v="0"/>
    <n v="0"/>
    <n v="0"/>
    <n v="5350700"/>
    <n v="0"/>
    <n v="0"/>
    <n v="0"/>
    <n v="0"/>
    <n v="0"/>
    <n v="0"/>
    <x v="0"/>
    <x v="1"/>
    <x v="3"/>
    <s v="52"/>
    <s v="SEKRETARIAT BADAN RISET DAN SUMBERDAYA MANUSIA KELAUTAN DAN PERIKANAN"/>
    <n v="5350700"/>
    <n v="6.5364834654711146"/>
    <n v="76508300"/>
    <n v="93.463516534528893"/>
    <s v="WA.2378.EBA.962.301.F.524111"/>
    <s v="Non COVID"/>
    <s v="PERJALANAN DINAS"/>
    <s v="Belanja Barang Non Operasional"/>
  </r>
  <r>
    <s v="032"/>
    <s v="12"/>
    <s v="WA"/>
    <x v="1"/>
    <s v="2378"/>
    <x v="1"/>
    <s v="EBA"/>
    <s v="2378.EBA. Layanan Dukungan Manajemen Internal"/>
    <n v="301"/>
    <x v="3"/>
    <n v="301"/>
    <x v="6"/>
    <s v="G"/>
    <x v="15"/>
    <n v="521211"/>
    <x v="0"/>
    <n v="31000000"/>
    <n v="0"/>
    <n v="0"/>
    <n v="1200000"/>
    <n v="0"/>
    <n v="10342500"/>
    <n v="0"/>
    <n v="0"/>
    <n v="0"/>
    <n v="0"/>
    <n v="0"/>
    <n v="0"/>
    <n v="0"/>
    <x v="0"/>
    <x v="0"/>
    <x v="0"/>
    <s v="52"/>
    <s v="SEKRETARIAT BADAN RISET DAN SUMBERDAYA MANUSIA KELAUTAN DAN PERIKANAN"/>
    <n v="11542500"/>
    <n v="37.233870967741936"/>
    <n v="19457500"/>
    <n v="62.766129032258064"/>
    <s v="WA.2378.EBA.962.301.G.521211"/>
    <s v="Non COVID"/>
    <s v="BELANJA BAHAN"/>
    <s v="Belanja Barang Non Operasional"/>
  </r>
  <r>
    <s v="032"/>
    <s v="12"/>
    <s v="WA"/>
    <x v="1"/>
    <s v="2378"/>
    <x v="1"/>
    <s v="EBA"/>
    <s v="2378.EBA. Layanan Dukungan Manajemen Internal"/>
    <n v="301"/>
    <x v="3"/>
    <n v="301"/>
    <x v="6"/>
    <s v="G"/>
    <x v="15"/>
    <n v="521219"/>
    <x v="3"/>
    <n v="3000000"/>
    <n v="0"/>
    <n v="0"/>
    <n v="710207"/>
    <n v="0"/>
    <n v="481211"/>
    <n v="0"/>
    <n v="0"/>
    <n v="0"/>
    <n v="0"/>
    <n v="0"/>
    <n v="0"/>
    <n v="0"/>
    <x v="0"/>
    <x v="0"/>
    <x v="0"/>
    <s v="52"/>
    <s v="SEKRETARIAT BADAN RISET DAN SUMBERDAYA MANUSIA KELAUTAN DAN PERIKANAN"/>
    <n v="1191418"/>
    <n v="39.713933333333337"/>
    <n v="1808582"/>
    <n v="60.28606666666667"/>
    <s v="WA.2378.EBA.962.301.G.521219"/>
    <s v="Non COVID"/>
    <s v="NON OPS LAINNYA"/>
    <s v="Belanja Barang Non Operasional"/>
  </r>
  <r>
    <s v="032"/>
    <s v="12"/>
    <s v="WA"/>
    <x v="1"/>
    <s v="2378"/>
    <x v="1"/>
    <s v="EBA"/>
    <s v="2378.EBA. Layanan Dukungan Manajemen Internal"/>
    <n v="301"/>
    <x v="3"/>
    <n v="301"/>
    <x v="6"/>
    <s v="G"/>
    <x v="15"/>
    <n v="522151"/>
    <x v="1"/>
    <n v="70000000"/>
    <n v="0"/>
    <n v="0"/>
    <n v="1800000"/>
    <n v="1000000"/>
    <n v="2000000"/>
    <n v="0"/>
    <n v="0"/>
    <n v="0"/>
    <n v="0"/>
    <n v="0"/>
    <n v="0"/>
    <n v="0"/>
    <x v="0"/>
    <x v="0"/>
    <x v="0"/>
    <s v="52"/>
    <s v="SEKRETARIAT BADAN RISET DAN SUMBERDAYA MANUSIA KELAUTAN DAN PERIKANAN"/>
    <n v="4800000"/>
    <n v="6.8571428571428577"/>
    <n v="65200000"/>
    <n v="93.142857142857139"/>
    <s v="WA.2378.EBA.962.301.G.522151"/>
    <s v="Non COVID"/>
    <s v="BELANJA JASA"/>
    <s v="Belanja Barang Non Operasional"/>
  </r>
  <r>
    <s v="032"/>
    <s v="12"/>
    <s v="WA"/>
    <x v="1"/>
    <s v="2378"/>
    <x v="1"/>
    <s v="EBA"/>
    <s v="2378.EBA. Layanan Dukungan Manajemen Internal"/>
    <n v="301"/>
    <x v="3"/>
    <n v="301"/>
    <x v="6"/>
    <s v="G"/>
    <x v="15"/>
    <s v="524111"/>
    <x v="2"/>
    <n v="246000000"/>
    <n v="0"/>
    <n v="0"/>
    <n v="2700000"/>
    <n v="0"/>
    <n v="27528345"/>
    <n v="30535327"/>
    <n v="0"/>
    <n v="0"/>
    <n v="0"/>
    <n v="0"/>
    <n v="0"/>
    <n v="0"/>
    <x v="0"/>
    <x v="0"/>
    <x v="0"/>
    <s v="52"/>
    <s v="SEKRETARIAT BADAN RISET DAN SUMBERDAYA MANUSIA KELAUTAN DAN PERIKANAN"/>
    <n v="60763672"/>
    <n v="24.700679674796746"/>
    <n v="185236328"/>
    <n v="75.299320325203254"/>
    <s v="WA.2378.EBA.962.301.G.524111"/>
    <s v="Non COVID"/>
    <s v="PERJALANAN DINAS"/>
    <s v="Belanja Barang Non Operasional"/>
  </r>
  <r>
    <s v="032"/>
    <s v="12"/>
    <s v="WA"/>
    <x v="1"/>
    <s v="2378"/>
    <x v="1"/>
    <s v="EBA"/>
    <s v="2378.EBA. Layanan Dukungan Manajemen Internal"/>
    <n v="301"/>
    <x v="3"/>
    <n v="301"/>
    <x v="6"/>
    <s v="H"/>
    <x v="16"/>
    <n v="521211"/>
    <x v="0"/>
    <n v="118575000"/>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301"/>
    <x v="3"/>
    <n v="301"/>
    <x v="6"/>
    <s v="H"/>
    <x v="16"/>
    <n v="521219"/>
    <x v="3"/>
    <n v="393200000"/>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301"/>
    <x v="3"/>
    <n v="301"/>
    <x v="6"/>
    <s v="H"/>
    <x v="16"/>
    <n v="522141"/>
    <x v="8"/>
    <n v="120000000"/>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301"/>
    <x v="3"/>
    <n v="301"/>
    <x v="6"/>
    <s v="H"/>
    <x v="16"/>
    <s v="524111"/>
    <x v="2"/>
    <n v="7962000"/>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301"/>
    <x v="3"/>
    <n v="301"/>
    <x v="6"/>
    <s v="I"/>
    <x v="17"/>
    <n v="521211"/>
    <x v="0"/>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301"/>
    <x v="3"/>
    <n v="301"/>
    <x v="6"/>
    <s v="I"/>
    <x v="17"/>
    <n v="521219"/>
    <x v="3"/>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301"/>
    <x v="3"/>
    <n v="301"/>
    <x v="6"/>
    <s v="I"/>
    <x v="17"/>
    <n v="522151"/>
    <x v="1"/>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301"/>
    <x v="3"/>
    <n v="301"/>
    <x v="6"/>
    <s v="I"/>
    <x v="17"/>
    <s v="524111"/>
    <x v="2"/>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s v="002"/>
    <x v="4"/>
    <s v="001"/>
    <x v="7"/>
    <s v="GA"/>
    <x v="18"/>
    <n v="521111"/>
    <x v="11"/>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s v="002"/>
    <x v="4"/>
    <s v="001"/>
    <x v="7"/>
    <s v="GA"/>
    <x v="18"/>
    <n v="521811"/>
    <x v="4"/>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AC"/>
    <s v="2378.EBA. Layanan Dukungan Manajemen Internal"/>
    <s v="002"/>
    <x v="4"/>
    <s v="001"/>
    <x v="7"/>
    <s v="GB"/>
    <x v="19"/>
    <n v="521114"/>
    <x v="12"/>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AC"/>
    <s v="2378.EBA. Layanan Dukungan Manajemen Internal"/>
    <s v="002"/>
    <x v="4"/>
    <s v="001"/>
    <x v="7"/>
    <s v="GB"/>
    <x v="19"/>
    <n v="522141"/>
    <x v="8"/>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AC"/>
    <s v="2378.EBA. Layanan Dukungan Manajemen Internal"/>
    <s v="002"/>
    <x v="4"/>
    <s v="001"/>
    <x v="7"/>
    <s v="GC"/>
    <x v="20"/>
    <n v="523121"/>
    <x v="13"/>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AC"/>
    <s v="2378.EBA. Layanan Dukungan Manajemen Internal"/>
    <s v="002"/>
    <x v="4"/>
    <s v="001"/>
    <x v="7"/>
    <s v="GC"/>
    <x v="20"/>
    <n v="523199"/>
    <x v="14"/>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AC"/>
    <s v="2378.EBA. Layanan Dukungan Manajemen Internal"/>
    <s v="002"/>
    <x v="4"/>
    <s v="001"/>
    <x v="7"/>
    <s v="GD"/>
    <x v="21"/>
    <n v="521111"/>
    <x v="11"/>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AC"/>
    <s v="2378.EBA. Layanan Dukungan Manajemen Internal"/>
    <s v="002"/>
    <x v="4"/>
    <s v="001"/>
    <x v="7"/>
    <s v="GD"/>
    <x v="21"/>
    <n v="521115"/>
    <x v="15"/>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AC"/>
    <s v="2378.EBA. Layanan Dukungan Manajemen Internal"/>
    <s v="002"/>
    <x v="4"/>
    <s v="001"/>
    <x v="7"/>
    <s v="GE"/>
    <x v="22"/>
    <n v="521111"/>
    <x v="11"/>
    <n v="45000000"/>
    <n v="0"/>
    <n v="0"/>
    <n v="0"/>
    <n v="0"/>
    <n v="0"/>
    <n v="0"/>
    <n v="0"/>
    <n v="0"/>
    <n v="0"/>
    <n v="0"/>
    <n v="0"/>
    <n v="0"/>
    <x v="0"/>
    <x v="2"/>
    <x v="4"/>
    <s v="52"/>
    <s v="SEKRETARIAT BADAN RISET DAN SUMBERDAYA MANUSIA KELAUTAN DAN PERIKANAN"/>
    <n v="0"/>
    <n v="0"/>
    <n v="45000000"/>
    <n v="100"/>
    <s v="WA.2378.EBA.994.002.GD.521111"/>
    <s v="Non COVID"/>
    <s v="BELANJA PERKANTORAN"/>
    <s v="Belanja Barang Operasional"/>
  </r>
  <r>
    <s v="032"/>
    <s v="12"/>
    <s v="WA"/>
    <x v="1"/>
    <s v="2378"/>
    <x v="1"/>
    <s v="EAC"/>
    <s v="2378.EBA. Layanan Dukungan Manajemen Internal"/>
    <s v="002"/>
    <x v="4"/>
    <s v="001"/>
    <x v="7"/>
    <s v="GE"/>
    <x v="22"/>
    <n v="521811"/>
    <x v="4"/>
    <n v="26000000"/>
    <n v="0"/>
    <n v="0"/>
    <n v="0"/>
    <n v="0"/>
    <n v="0"/>
    <n v="0"/>
    <n v="0"/>
    <n v="0"/>
    <n v="0"/>
    <n v="0"/>
    <n v="0"/>
    <n v="0"/>
    <x v="0"/>
    <x v="2"/>
    <x v="4"/>
    <s v="52"/>
    <s v="SEKRETARIAT BADAN RISET DAN SUMBERDAYA MANUSIA KELAUTAN DAN PERIKANAN"/>
    <n v="0"/>
    <n v="0"/>
    <n v="26000000"/>
    <n v="100"/>
    <s v="WA.2378.EBA.994.002.GD.521811"/>
    <s v="Non COVID"/>
    <s v="BELANJA PERSEDIAAN"/>
    <s v="Belanja Barang Operasional"/>
  </r>
  <r>
    <s v="032"/>
    <s v="12"/>
    <s v="WA"/>
    <x v="1"/>
    <s v="2378"/>
    <x v="1"/>
    <s v="EAC"/>
    <s v="2378.EBA. Layanan Dukungan Manajemen Internal"/>
    <s v="002"/>
    <x v="4"/>
    <s v="001"/>
    <x v="7"/>
    <s v="GE"/>
    <x v="22"/>
    <n v="523121"/>
    <x v="13"/>
    <n v="29000000"/>
    <n v="0"/>
    <n v="0"/>
    <n v="0"/>
    <n v="0"/>
    <n v="0"/>
    <n v="0"/>
    <n v="0"/>
    <n v="0"/>
    <n v="0"/>
    <n v="0"/>
    <n v="0"/>
    <n v="0"/>
    <x v="0"/>
    <x v="2"/>
    <x v="4"/>
    <s v="52"/>
    <s v="SEKRETARIAT BADAN RISET DAN SUMBERDAYA MANUSIA KELAUTAN DAN PERIKANAN"/>
    <n v="0"/>
    <n v="0"/>
    <n v="29000000"/>
    <n v="100"/>
    <s v="WA.2378.EBA.994.002.GD.523121"/>
    <s v="Non COVID"/>
    <s v="BELANJA PEMELIHARAAN"/>
    <s v="Belanja Barang Operasional"/>
  </r>
  <r>
    <s v="032"/>
    <s v="12"/>
    <s v="WA"/>
    <x v="1"/>
    <s v="2378"/>
    <x v="1"/>
    <s v="EBB"/>
    <s v="2378.EBB. Layanan Sarana dan Prasarana Internal"/>
    <n v="951"/>
    <x v="5"/>
    <n v="301"/>
    <x v="8"/>
    <s v="A"/>
    <x v="23"/>
    <n v="532111"/>
    <x v="7"/>
    <n v="540934000"/>
    <n v="0"/>
    <n v="0"/>
    <n v="0"/>
    <n v="0"/>
    <n v="540000000"/>
    <n v="0"/>
    <n v="0"/>
    <n v="0"/>
    <n v="0"/>
    <n v="0"/>
    <n v="0"/>
    <n v="0"/>
    <x v="0"/>
    <x v="2"/>
    <x v="4"/>
    <n v="53"/>
    <s v="SEKRETARIAT BADAN RISET DAN SUMBERDAYA MANUSIA KELAUTAN DAN PERIKANAN"/>
    <n v="540000000"/>
    <n v="99.827335682356804"/>
    <n v="934000"/>
    <n v="0.17266431764318754"/>
    <s v="WA.2378.EBB.951.301.A.532111"/>
    <s v="Non COVID"/>
    <s v="BELANJA MODAL"/>
    <s v="Belanja Barang Non Operasional"/>
  </r>
  <r>
    <s v="032"/>
    <s v="12"/>
    <s v="WA"/>
    <x v="1"/>
    <s v="2378"/>
    <x v="1"/>
    <s v="EBD"/>
    <s v="2378.EBD. Layanan Manajemen Kinerja Internal"/>
    <n v="952"/>
    <x v="6"/>
    <n v="301"/>
    <x v="9"/>
    <s v="A"/>
    <x v="24"/>
    <n v="521211"/>
    <x v="0"/>
    <n v="22650000"/>
    <n v="0"/>
    <n v="0"/>
    <n v="1498000"/>
    <n v="0"/>
    <n v="1493000"/>
    <n v="0"/>
    <n v="0"/>
    <n v="0"/>
    <n v="0"/>
    <n v="0"/>
    <n v="0"/>
    <n v="0"/>
    <x v="0"/>
    <x v="3"/>
    <x v="5"/>
    <s v="52"/>
    <s v="SEKRETARIAT BADAN RISET DAN SUMBERDAYA MANUSIA KELAUTAN DAN PERIKANAN"/>
    <n v="2991000"/>
    <n v="13.205298013245034"/>
    <n v="19659000"/>
    <n v="86.794701986754959"/>
    <s v="WA.2378.EBD.952.301.A.521211"/>
    <s v="Non COVID"/>
    <s v="BELANJA BAHAN"/>
    <s v="Belanja Barang Non Operasional"/>
  </r>
  <r>
    <s v="032"/>
    <s v="12"/>
    <s v="WA"/>
    <x v="1"/>
    <s v="2378"/>
    <x v="1"/>
    <s v="EBD"/>
    <s v="2378.EBD. Layanan Manajemen Kinerja Internal"/>
    <n v="952"/>
    <x v="6"/>
    <n v="301"/>
    <x v="9"/>
    <s v="A"/>
    <x v="24"/>
    <n v="521219"/>
    <x v="3"/>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5000000"/>
    <n v="0"/>
    <n v="0"/>
    <n v="2459000"/>
    <n v="0"/>
    <n v="2390000"/>
    <n v="0"/>
    <n v="0"/>
    <n v="0"/>
    <n v="0"/>
    <n v="0"/>
    <n v="0"/>
    <n v="0"/>
    <x v="0"/>
    <x v="3"/>
    <x v="5"/>
    <s v="52"/>
    <s v="SEKRETARIAT BADAN RISET DAN SUMBERDAYA MANUSIA KELAUTAN DAN PERIKANAN"/>
    <n v="4849000"/>
    <n v="32.326666666666668"/>
    <n v="10151000"/>
    <n v="67.673333333333332"/>
    <s v="WA.2378.EBD.952.301.A.521811"/>
    <s v="Non COVID"/>
    <s v="BELANJA PERSEDIAAN"/>
    <s v="Belanja Barang Non Operasional"/>
  </r>
  <r>
    <s v="032"/>
    <s v="12"/>
    <s v="WA"/>
    <x v="1"/>
    <s v="2378"/>
    <x v="1"/>
    <s v="EBD"/>
    <s v="2378.EBD. Layanan Manajemen Kinerja Internal"/>
    <n v="952"/>
    <x v="6"/>
    <n v="301"/>
    <x v="9"/>
    <s v="A"/>
    <x v="24"/>
    <n v="524111"/>
    <x v="2"/>
    <n v="62400000"/>
    <n v="0"/>
    <n v="1010000"/>
    <n v="2805000"/>
    <n v="0"/>
    <n v="1348500"/>
    <n v="0"/>
    <n v="0"/>
    <n v="0"/>
    <n v="0"/>
    <n v="0"/>
    <n v="0"/>
    <n v="0"/>
    <x v="0"/>
    <x v="3"/>
    <x v="5"/>
    <s v="52"/>
    <s v="SEKRETARIAT BADAN RISET DAN SUMBERDAYA MANUSIA KELAUTAN DAN PERIKANAN"/>
    <n v="5163500"/>
    <n v="8.2748397435897427"/>
    <n v="57236500"/>
    <n v="91.725160256410248"/>
    <s v="WA.2378.EBD.952.301.A.524111"/>
    <s v="Non COVID"/>
    <s v="PERJALANAN DINAS"/>
    <s v="Belanja Barang Non Operasional"/>
  </r>
  <r>
    <s v="032"/>
    <s v="12"/>
    <s v="WA"/>
    <x v="1"/>
    <s v="2378"/>
    <x v="1"/>
    <s v="EBD"/>
    <s v="2378.EBD. Layanan Manajemen Kinerja Internal"/>
    <n v="952"/>
    <x v="6"/>
    <n v="301"/>
    <x v="9"/>
    <s v="B"/>
    <x v="25"/>
    <n v="521211"/>
    <x v="0"/>
    <n v="49300000"/>
    <n v="0"/>
    <n v="0"/>
    <n v="2964000"/>
    <n v="0"/>
    <n v="2975000"/>
    <n v="0"/>
    <n v="0"/>
    <n v="0"/>
    <n v="0"/>
    <n v="0"/>
    <n v="0"/>
    <n v="0"/>
    <x v="0"/>
    <x v="3"/>
    <x v="5"/>
    <s v="52"/>
    <s v="SEKRETARIAT BADAN RISET DAN SUMBERDAYA MANUSIA KELAUTAN DAN PERIKANAN"/>
    <n v="5939000"/>
    <n v="12.046653144016227"/>
    <n v="43361000"/>
    <n v="87.953346855983767"/>
    <s v="WA.2378.EBD.952.301.B.521211"/>
    <s v="Non COVID"/>
    <s v="BELANJA BAHAN"/>
    <s v="Belanja Barang Non Operasional"/>
  </r>
  <r>
    <s v="032"/>
    <s v="12"/>
    <s v="WA"/>
    <x v="1"/>
    <s v="2378"/>
    <x v="1"/>
    <s v="EBD"/>
    <s v="2378.EBD. Layanan Manajemen Kinerja Internal"/>
    <n v="952"/>
    <x v="6"/>
    <n v="301"/>
    <x v="9"/>
    <s v="B"/>
    <x v="25"/>
    <n v="521219"/>
    <x v="3"/>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5000000"/>
    <n v="0"/>
    <n v="0"/>
    <n v="4910000"/>
    <n v="0"/>
    <n v="4873000"/>
    <n v="0"/>
    <n v="0"/>
    <n v="0"/>
    <n v="0"/>
    <n v="0"/>
    <n v="0"/>
    <n v="0"/>
    <x v="0"/>
    <x v="3"/>
    <x v="5"/>
    <s v="52"/>
    <s v="SEKRETARIAT BADAN RISET DAN SUMBERDAYA MANUSIA KELAUTAN DAN PERIKANAN"/>
    <n v="9783000"/>
    <n v="39.131999999999998"/>
    <n v="15217000"/>
    <n v="60.868000000000002"/>
    <s v="WA.2378.EBD.952.301.B.521811"/>
    <s v="Non COVID"/>
    <s v="BELANJA PERSEDIAAN"/>
    <s v="Belanja Barang Non Operasional"/>
  </r>
  <r>
    <s v="032"/>
    <s v="12"/>
    <s v="WA"/>
    <x v="1"/>
    <s v="2378"/>
    <x v="1"/>
    <s v="EBD"/>
    <s v="2378.EBD. Layanan Manajemen Kinerja Internal"/>
    <n v="952"/>
    <x v="6"/>
    <n v="301"/>
    <x v="9"/>
    <s v="B"/>
    <x v="25"/>
    <n v="522151"/>
    <x v="1"/>
    <n v="12000000"/>
    <n v="0"/>
    <n v="0"/>
    <n v="0"/>
    <n v="0"/>
    <n v="0"/>
    <n v="0"/>
    <n v="0"/>
    <n v="0"/>
    <n v="0"/>
    <n v="0"/>
    <n v="0"/>
    <n v="0"/>
    <x v="0"/>
    <x v="3"/>
    <x v="5"/>
    <s v="52"/>
    <s v="SEKRETARIAT BADAN RISET DAN SUMBERDAYA MANUSIA KELAUTAN DAN PERIKANAN"/>
    <n v="0"/>
    <n v="0"/>
    <n v="12000000"/>
    <n v="100"/>
    <s v="WA.2378.EBD.952.301.B.522151"/>
    <s v="Non COVID"/>
    <s v="BELANJA JASA"/>
    <s v="Belanja Barang Non Operasional"/>
  </r>
  <r>
    <s v="032"/>
    <s v="12"/>
    <s v="WA"/>
    <x v="1"/>
    <s v="2378"/>
    <x v="1"/>
    <s v="EBD"/>
    <s v="2378.EBD. Layanan Manajemen Kinerja Internal"/>
    <n v="952"/>
    <x v="6"/>
    <n v="301"/>
    <x v="9"/>
    <s v="B"/>
    <x v="25"/>
    <n v="524111"/>
    <x v="2"/>
    <n v="258688000"/>
    <n v="0"/>
    <n v="0"/>
    <n v="0"/>
    <n v="205000"/>
    <n v="4224000"/>
    <n v="0"/>
    <n v="0"/>
    <n v="0"/>
    <n v="0"/>
    <n v="0"/>
    <n v="0"/>
    <n v="0"/>
    <x v="0"/>
    <x v="3"/>
    <x v="5"/>
    <s v="52"/>
    <s v="SEKRETARIAT BADAN RISET DAN SUMBERDAYA MANUSIA KELAUTAN DAN PERIKANAN"/>
    <n v="4429000"/>
    <n v="1.7121010638297871"/>
    <n v="254259000"/>
    <n v="98.287898936170208"/>
    <s v="WA.2378.EBD.952.301.B.524111"/>
    <s v="Non COVID"/>
    <s v="PERJALANAN DINAS"/>
    <s v="Belanja Barang Non Operasional"/>
  </r>
  <r>
    <s v="032"/>
    <s v="12"/>
    <s v="WA"/>
    <x v="1"/>
    <s v="2378"/>
    <x v="1"/>
    <s v="EBD"/>
    <s v="2378.EBD. Layanan Manajemen Kinerja Internal"/>
    <n v="952"/>
    <x v="6"/>
    <n v="301"/>
    <x v="9"/>
    <s v="C"/>
    <x v="26"/>
    <n v="521211"/>
    <x v="0"/>
    <n v="39500000"/>
    <n v="0"/>
    <n v="0"/>
    <n v="2955000"/>
    <n v="0"/>
    <n v="2933500"/>
    <n v="10500000"/>
    <n v="0"/>
    <n v="0"/>
    <n v="0"/>
    <n v="0"/>
    <n v="0"/>
    <n v="0"/>
    <x v="0"/>
    <x v="3"/>
    <x v="5"/>
    <s v="52"/>
    <s v="SEKRETARIAT BADAN RISET DAN SUMBERDAYA MANUSIA KELAUTAN DAN PERIKANAN"/>
    <n v="16388500"/>
    <n v="41.489873417721519"/>
    <n v="23111500"/>
    <n v="58.510126582278474"/>
    <s v="WA.2378.EBD.952.301.C.521211"/>
    <s v="Non COVID"/>
    <s v="BELANJA BAHAN"/>
    <s v="Belanja Barang Non Operasional"/>
  </r>
  <r>
    <s v="032"/>
    <s v="12"/>
    <s v="WA"/>
    <x v="1"/>
    <s v="2378"/>
    <x v="1"/>
    <s v="EBD"/>
    <s v="2378.EBD. Layanan Manajemen Kinerja Internal"/>
    <n v="952"/>
    <x v="6"/>
    <n v="301"/>
    <x v="9"/>
    <s v="C"/>
    <x v="26"/>
    <n v="521811"/>
    <x v="4"/>
    <n v="25000000"/>
    <n v="0"/>
    <n v="0"/>
    <n v="4947750"/>
    <n v="0"/>
    <n v="4878000"/>
    <n v="0"/>
    <n v="0"/>
    <n v="0"/>
    <n v="0"/>
    <n v="0"/>
    <n v="0"/>
    <n v="0"/>
    <x v="0"/>
    <x v="3"/>
    <x v="5"/>
    <s v="52"/>
    <s v="SEKRETARIAT BADAN RISET DAN SUMBERDAYA MANUSIA KELAUTAN DAN PERIKANAN"/>
    <n v="9825750"/>
    <n v="39.302999999999997"/>
    <n v="15174250"/>
    <n v="60.697000000000003"/>
    <s v="WA.2378.EBD.952.301.C.521811"/>
    <s v="Non COVID"/>
    <s v="BELANJA PERSEDIAAN"/>
    <s v="Belanja Barang Non Operasional"/>
  </r>
  <r>
    <s v="032"/>
    <s v="12"/>
    <s v="WA"/>
    <x v="1"/>
    <s v="2378"/>
    <x v="1"/>
    <s v="EBD"/>
    <s v="2378.EBD. Layanan Manajemen Kinerja Internal"/>
    <n v="952"/>
    <x v="6"/>
    <n v="301"/>
    <x v="9"/>
    <s v="C"/>
    <x v="26"/>
    <n v="522151"/>
    <x v="1"/>
    <n v="10000000"/>
    <n v="0"/>
    <n v="0"/>
    <n v="0"/>
    <n v="0"/>
    <n v="0"/>
    <n v="0"/>
    <n v="0"/>
    <n v="0"/>
    <n v="0"/>
    <n v="0"/>
    <n v="0"/>
    <n v="0"/>
    <x v="0"/>
    <x v="3"/>
    <x v="5"/>
    <s v="52"/>
    <s v="SEKRETARIAT BADAN RISET DAN SUMBERDAYA MANUSIA KELAUTAN DAN PERIKANAN"/>
    <n v="0"/>
    <n v="0"/>
    <n v="10000000"/>
    <n v="100"/>
    <s v="WA.2378.EBD.952.301.C.522151"/>
    <s v="Non COVID"/>
    <s v="BELANJA JASA"/>
    <s v="Belanja Barang Non Operasional"/>
  </r>
  <r>
    <s v="032"/>
    <s v="12"/>
    <s v="WA"/>
    <x v="1"/>
    <s v="2378"/>
    <x v="1"/>
    <s v="EBD"/>
    <s v="2378.EBD. Layanan Manajemen Kinerja Internal"/>
    <n v="952"/>
    <x v="6"/>
    <n v="301"/>
    <x v="9"/>
    <s v="C"/>
    <x v="26"/>
    <n v="524111"/>
    <x v="2"/>
    <n v="93600000"/>
    <n v="0"/>
    <n v="9587800"/>
    <n v="22390000"/>
    <n v="6330000"/>
    <n v="3600000"/>
    <n v="0"/>
    <n v="0"/>
    <n v="0"/>
    <n v="0"/>
    <n v="0"/>
    <n v="0"/>
    <n v="0"/>
    <x v="0"/>
    <x v="3"/>
    <x v="5"/>
    <s v="52"/>
    <s v="SEKRETARIAT BADAN RISET DAN SUMBERDAYA MANUSIA KELAUTAN DAN PERIKANAN"/>
    <n v="41907800"/>
    <n v="44.7732905982906"/>
    <n v="51692200"/>
    <n v="55.226709401709407"/>
    <s v="WA.2378.EBD.952.301.C.524111"/>
    <s v="Non COVID"/>
    <s v="PERJALANAN DINAS"/>
    <s v="Belanja Barang Non Operasional"/>
  </r>
  <r>
    <s v="032"/>
    <s v="12"/>
    <s v="WA"/>
    <x v="1"/>
    <s v="2378"/>
    <x v="1"/>
    <s v="EBD"/>
    <s v="2378.EBD. Layanan Manajemen Kinerja Internal"/>
    <n v="953"/>
    <x v="7"/>
    <n v="301"/>
    <x v="10"/>
    <s v="A"/>
    <x v="27"/>
    <n v="521211"/>
    <x v="0"/>
    <n v="46000000"/>
    <n v="0"/>
    <n v="0"/>
    <n v="0"/>
    <n v="0"/>
    <n v="6278500"/>
    <n v="0"/>
    <n v="0"/>
    <n v="0"/>
    <n v="0"/>
    <n v="0"/>
    <n v="0"/>
    <n v="0"/>
    <x v="0"/>
    <x v="3"/>
    <x v="6"/>
    <s v="52"/>
    <s v="SEKRETARIAT BADAN RISET DAN SUMBERDAYA MANUSIA KELAUTAN DAN PERIKANAN"/>
    <n v="6278500"/>
    <n v="13.648913043478261"/>
    <n v="39721500"/>
    <n v="86.35108695652174"/>
    <s v="WA.2378.EBD.953.301.A.521211"/>
    <s v="Non COVID"/>
    <s v="BELANJA BAHAN"/>
    <s v="Belanja Barang Non Operasional"/>
  </r>
  <r>
    <s v="032"/>
    <s v="12"/>
    <s v="WA"/>
    <x v="1"/>
    <s v="2378"/>
    <x v="1"/>
    <s v="EBD"/>
    <s v="2378.EBD. Layanan Manajemen Kinerja Internal"/>
    <n v="953"/>
    <x v="7"/>
    <n v="301"/>
    <x v="10"/>
    <s v="A"/>
    <x v="27"/>
    <n v="521219"/>
    <x v="3"/>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247200000"/>
    <n v="0"/>
    <n v="0"/>
    <n v="0"/>
    <n v="0"/>
    <n v="0"/>
    <n v="0"/>
    <n v="0"/>
    <n v="0"/>
    <n v="0"/>
    <n v="0"/>
    <n v="0"/>
    <n v="0"/>
    <x v="0"/>
    <x v="3"/>
    <x v="6"/>
    <s v="52"/>
    <s v="SEKRETARIAT BADAN RISET DAN SUMBERDAYA MANUSIA KELAUTAN DAN PERIKANAN"/>
    <n v="0"/>
    <n v="0"/>
    <n v="247200000"/>
    <n v="100"/>
    <s v="WA.2378.EBD.953.301.A.524111"/>
    <s v="Non COVID"/>
    <s v="PERJALANAN DINAS"/>
    <s v="Belanja Barang Non Operasional"/>
  </r>
  <r>
    <s v="032"/>
    <s v="12"/>
    <s v="WA"/>
    <x v="1"/>
    <s v="2378"/>
    <x v="1"/>
    <s v="EBD"/>
    <s v="2378.EBD. Layanan Manajemen Kinerja Internal"/>
    <n v="953"/>
    <x v="7"/>
    <n v="301"/>
    <x v="10"/>
    <s v="B"/>
    <x v="28"/>
    <n v="521211"/>
    <x v="0"/>
    <n v="41000000"/>
    <n v="0"/>
    <n v="0"/>
    <n v="3379000"/>
    <n v="0"/>
    <n v="3500000"/>
    <n v="2640000"/>
    <n v="0"/>
    <n v="0"/>
    <n v="0"/>
    <n v="0"/>
    <n v="0"/>
    <n v="0"/>
    <x v="0"/>
    <x v="3"/>
    <x v="6"/>
    <s v="52"/>
    <s v="SEKRETARIAT BADAN RISET DAN SUMBERDAYA MANUSIA KELAUTAN DAN PERIKANAN"/>
    <n v="9519000"/>
    <n v="23.217073170731709"/>
    <n v="31481000"/>
    <n v="76.782926829268291"/>
    <s v="WA.2378.EBD.953.301.B.521211"/>
    <s v="Non COVID"/>
    <s v="BELANJA BAHAN"/>
    <s v="Belanja Barang Non Operasional"/>
  </r>
  <r>
    <s v="032"/>
    <s v="12"/>
    <s v="WA"/>
    <x v="1"/>
    <s v="2378"/>
    <x v="1"/>
    <s v="EBD"/>
    <s v="2378.EBD. Layanan Manajemen Kinerja Internal"/>
    <n v="953"/>
    <x v="7"/>
    <n v="301"/>
    <x v="10"/>
    <s v="B"/>
    <x v="28"/>
    <n v="521219"/>
    <x v="3"/>
    <n v="32000000"/>
    <n v="0"/>
    <n v="0"/>
    <n v="0"/>
    <n v="0"/>
    <n v="603014"/>
    <n v="0"/>
    <n v="0"/>
    <n v="0"/>
    <n v="0"/>
    <n v="0"/>
    <n v="0"/>
    <n v="0"/>
    <x v="0"/>
    <x v="3"/>
    <x v="6"/>
    <s v="52"/>
    <s v="SEKRETARIAT BADAN RISET DAN SUMBERDAYA MANUSIA KELAUTAN DAN PERIKANAN"/>
    <n v="603014"/>
    <n v="1.8844187500000003"/>
    <n v="31396986"/>
    <n v="98.115581249999991"/>
    <s v="WA.2378.EBD.953.301.B.521219"/>
    <s v="Non COVID"/>
    <s v="NON OPS LAINNYA"/>
    <s v="Belanja Barang Non Operasional"/>
  </r>
  <r>
    <s v="032"/>
    <s v="12"/>
    <s v="WA"/>
    <x v="1"/>
    <s v="2378"/>
    <x v="1"/>
    <s v="EBD"/>
    <s v="2378.EBD. Layanan Manajemen Kinerja Internal"/>
    <n v="953"/>
    <x v="7"/>
    <n v="301"/>
    <x v="10"/>
    <s v="B"/>
    <x v="28"/>
    <n v="522151"/>
    <x v="1"/>
    <n v="10000000"/>
    <n v="0"/>
    <n v="0"/>
    <n v="0"/>
    <n v="0"/>
    <n v="0"/>
    <n v="0"/>
    <n v="0"/>
    <n v="0"/>
    <n v="0"/>
    <n v="0"/>
    <n v="0"/>
    <n v="0"/>
    <x v="0"/>
    <x v="3"/>
    <x v="6"/>
    <s v="52"/>
    <s v="SEKRETARIAT BADAN RISET DAN SUMBERDAYA MANUSIA KELAUTAN DAN PERIKANAN"/>
    <n v="0"/>
    <n v="0"/>
    <n v="10000000"/>
    <n v="100"/>
    <s v="WA.2378.EBD.953.301.B.522151"/>
    <s v="Non COVID"/>
    <s v="BELANJA JASA"/>
    <s v="Belanja Barang Non Operasional"/>
  </r>
  <r>
    <s v="032"/>
    <s v="12"/>
    <s v="WA"/>
    <x v="1"/>
    <s v="2378"/>
    <x v="1"/>
    <s v="EBD"/>
    <s v="2378.EBD. Layanan Manajemen Kinerja Internal"/>
    <n v="953"/>
    <x v="7"/>
    <n v="301"/>
    <x v="10"/>
    <s v="B"/>
    <x v="28"/>
    <n v="524111"/>
    <x v="2"/>
    <n v="120000000"/>
    <n v="0"/>
    <n v="0"/>
    <n v="0"/>
    <n v="524500"/>
    <n v="21422224"/>
    <n v="0"/>
    <n v="0"/>
    <n v="0"/>
    <n v="0"/>
    <n v="0"/>
    <n v="0"/>
    <n v="0"/>
    <x v="0"/>
    <x v="3"/>
    <x v="6"/>
    <s v="52"/>
    <s v="SEKRETARIAT BADAN RISET DAN SUMBERDAYA MANUSIA KELAUTAN DAN PERIKANAN"/>
    <n v="21946724"/>
    <n v="18.288936666666665"/>
    <n v="98053276"/>
    <n v="81.711063333333328"/>
    <s v="WA.2378.EBD.953.301.B.524111"/>
    <s v="Non COVID"/>
    <s v="PERJALANAN DINAS"/>
    <s v="Belanja Barang Non Operasional"/>
  </r>
  <r>
    <s v="032"/>
    <s v="12"/>
    <s v="WA"/>
    <x v="1"/>
    <s v="2378"/>
    <x v="1"/>
    <s v="EBD"/>
    <s v="2378.EBD. Layanan Manajemen Kinerja Internal"/>
    <n v="953"/>
    <x v="7"/>
    <n v="301"/>
    <x v="10"/>
    <s v="B"/>
    <x v="28"/>
    <n v="524113"/>
    <x v="6"/>
    <n v="9000000"/>
    <n v="0"/>
    <n v="0"/>
    <n v="0"/>
    <n v="0"/>
    <n v="0"/>
    <n v="38467531"/>
    <n v="0"/>
    <n v="0"/>
    <n v="0"/>
    <n v="0"/>
    <n v="0"/>
    <n v="0"/>
    <x v="0"/>
    <x v="3"/>
    <x v="6"/>
    <s v="52"/>
    <s v="SEKRETARIAT BADAN RISET DAN SUMBERDAYA MANUSIA KELAUTAN DAN PERIKANAN"/>
    <n v="38467531"/>
    <n v="427.41701111111115"/>
    <n v="-29467531"/>
    <n v="-327.41701111111115"/>
    <s v="WA.2378.EBD.953.301.B.524113"/>
    <s v="Non COVID"/>
    <s v="TRANSPORT LOKAL"/>
    <s v="Belanja Barang Non Operasional"/>
  </r>
  <r>
    <s v="032"/>
    <s v="12"/>
    <s v="WA"/>
    <x v="1"/>
    <s v="2378"/>
    <x v="1"/>
    <s v="EBD"/>
    <s v="2378.EBD. Layanan Manajemen Kinerja Internal"/>
    <n v="953"/>
    <x v="7"/>
    <n v="302"/>
    <x v="11"/>
    <s v="A"/>
    <x v="29"/>
    <n v="521211"/>
    <x v="0"/>
    <n v="35500000"/>
    <n v="0"/>
    <n v="0"/>
    <n v="3358000"/>
    <n v="0"/>
    <n v="4986000"/>
    <n v="0"/>
    <n v="0"/>
    <n v="0"/>
    <n v="0"/>
    <n v="0"/>
    <n v="0"/>
    <n v="0"/>
    <x v="0"/>
    <x v="3"/>
    <x v="6"/>
    <s v="52"/>
    <s v="SEKRETARIAT BADAN RISET DAN SUMBERDAYA MANUSIA KELAUTAN DAN PERIKANAN"/>
    <n v="8344000"/>
    <n v="23.504225352112677"/>
    <n v="27156000"/>
    <n v="76.49577464788733"/>
    <s v="WA.2378.EBD.953.302.B.521211"/>
    <s v="Non COVID"/>
    <s v="BELANJA BAHAN"/>
    <s v="Belanja Barang Non Operasional"/>
  </r>
  <r>
    <s v="032"/>
    <s v="12"/>
    <s v="WA"/>
    <x v="1"/>
    <s v="2378"/>
    <x v="1"/>
    <s v="EBD"/>
    <s v="2378.EBD. Layanan Manajemen Kinerja Internal"/>
    <n v="953"/>
    <x v="7"/>
    <n v="302"/>
    <x v="11"/>
    <s v="A"/>
    <x v="29"/>
    <n v="521219"/>
    <x v="3"/>
    <n v="2000000"/>
    <n v="0"/>
    <n v="0"/>
    <n v="0"/>
    <n v="0"/>
    <n v="0"/>
    <n v="0"/>
    <n v="0"/>
    <n v="0"/>
    <n v="0"/>
    <n v="0"/>
    <n v="0"/>
    <n v="0"/>
    <x v="0"/>
    <x v="3"/>
    <x v="6"/>
    <s v="52"/>
    <s v="SEKRETARIAT BADAN RISET DAN SUMBERDAYA MANUSIA KELAUTAN DAN PERIKANAN"/>
    <n v="0"/>
    <n v="0"/>
    <n v="2000000"/>
    <n v="100"/>
    <s v="WA.2378.EBD.953.302.B.521219"/>
    <s v="Non COVID"/>
    <s v="NON OPS LAINNYA"/>
    <s v="Belanja Barang Non Operasional"/>
  </r>
  <r>
    <s v="032"/>
    <s v="12"/>
    <s v="WA"/>
    <x v="1"/>
    <s v="2378"/>
    <x v="1"/>
    <s v="EBD"/>
    <s v="2378.EBD. Layanan Manajemen Kinerja Internal"/>
    <n v="953"/>
    <x v="7"/>
    <n v="302"/>
    <x v="11"/>
    <s v="A"/>
    <x v="29"/>
    <n v="524111"/>
    <x v="2"/>
    <n v="89032000"/>
    <n v="0"/>
    <n v="0"/>
    <n v="2490000"/>
    <n v="15530000"/>
    <n v="0"/>
    <n v="2118000"/>
    <n v="0"/>
    <n v="0"/>
    <n v="0"/>
    <n v="0"/>
    <n v="0"/>
    <n v="0"/>
    <x v="0"/>
    <x v="3"/>
    <x v="6"/>
    <s v="52"/>
    <s v="SEKRETARIAT BADAN RISET DAN SUMBERDAYA MANUSIA KELAUTAN DAN PERIKANAN"/>
    <n v="20138000"/>
    <n v="22.618833677778778"/>
    <n v="68894000"/>
    <n v="77.381166322221233"/>
    <s v="WA.2378.EBD.953.302.B.524111"/>
    <s v="Non COVID"/>
    <s v="PERJALANAN DINAS"/>
    <s v="Belanja Barang Non Operasional"/>
  </r>
  <r>
    <s v="032"/>
    <s v="12"/>
    <s v="WA"/>
    <x v="1"/>
    <s v="2378"/>
    <x v="1"/>
    <s v="EBD"/>
    <s v="2378.EBD. Layanan Manajemen Kinerja Internal"/>
    <n v="955"/>
    <x v="8"/>
    <n v="301"/>
    <x v="12"/>
    <s v="A"/>
    <x v="30"/>
    <n v="521211"/>
    <x v="0"/>
    <n v="23900000"/>
    <n v="0"/>
    <n v="0"/>
    <n v="5725000"/>
    <n v="2446000"/>
    <n v="5660000"/>
    <n v="0"/>
    <n v="0"/>
    <n v="0"/>
    <n v="0"/>
    <n v="0"/>
    <n v="0"/>
    <n v="0"/>
    <x v="0"/>
    <x v="2"/>
    <x v="7"/>
    <s v="52"/>
    <s v="SEKRETARIAT BADAN RISET DAN SUMBERDAYA MANUSIA KELAUTAN DAN PERIKANAN"/>
    <n v="13831000"/>
    <n v="57.870292887029287"/>
    <n v="10069000"/>
    <n v="42.129707112970713"/>
    <s v="WA.2378.EBD.955.301.A.521211"/>
    <s v="Non COVID"/>
    <s v="BELANJA BAHAN"/>
    <s v="Belanja Barang Non Operasional"/>
  </r>
  <r>
    <s v="032"/>
    <s v="12"/>
    <s v="WA"/>
    <x v="1"/>
    <s v="2378"/>
    <x v="1"/>
    <s v="EBD"/>
    <s v="2378.EBD. Layanan Manajemen Kinerja Internal"/>
    <n v="955"/>
    <x v="8"/>
    <n v="301"/>
    <x v="12"/>
    <s v="A"/>
    <x v="30"/>
    <n v="524111"/>
    <x v="2"/>
    <n v="15000000"/>
    <n v="0"/>
    <n v="0"/>
    <n v="0"/>
    <n v="0"/>
    <n v="8701552"/>
    <n v="0"/>
    <n v="0"/>
    <n v="0"/>
    <n v="0"/>
    <n v="0"/>
    <n v="0"/>
    <n v="0"/>
    <x v="0"/>
    <x v="2"/>
    <x v="7"/>
    <s v="52"/>
    <s v="SEKRETARIAT BADAN RISET DAN SUMBERDAYA MANUSIA KELAUTAN DAN PERIKANAN"/>
    <n v="8701552"/>
    <n v="58.010346666666671"/>
    <n v="6298448"/>
    <n v="41.989653333333329"/>
    <s v="WA.2378.EBD.955.301.A.524111"/>
    <s v="Non COVID"/>
    <s v="PERJALANAN DINAS"/>
    <s v="Belanja Barang Non Operasional"/>
  </r>
  <r>
    <s v="032"/>
    <s v="12"/>
    <s v="WA"/>
    <x v="1"/>
    <s v="2378"/>
    <x v="1"/>
    <s v="EBD"/>
    <s v="2378.EBD. Layanan Manajemen Kinerja Internal"/>
    <n v="955"/>
    <x v="8"/>
    <n v="301"/>
    <x v="12"/>
    <s v="B"/>
    <x v="31"/>
    <n v="521211"/>
    <x v="0"/>
    <n v="11400000"/>
    <n v="0"/>
    <n v="0"/>
    <n v="2500000"/>
    <n v="0"/>
    <n v="2444000"/>
    <n v="0"/>
    <n v="0"/>
    <n v="0"/>
    <n v="0"/>
    <n v="0"/>
    <n v="0"/>
    <n v="0"/>
    <x v="0"/>
    <x v="2"/>
    <x v="7"/>
    <s v="52"/>
    <s v="SEKRETARIAT BADAN RISET DAN SUMBERDAYA MANUSIA KELAUTAN DAN PERIKANAN"/>
    <n v="4944000"/>
    <n v="43.368421052631575"/>
    <n v="6456000"/>
    <n v="56.631578947368425"/>
    <s v="WA.2378.EBD.955.301.B.521211"/>
    <s v="Non COVID"/>
    <s v="BELANJA BAHAN"/>
    <s v="Belanja Barang Non Operasional"/>
  </r>
  <r>
    <s v="032"/>
    <s v="12"/>
    <s v="WA"/>
    <x v="1"/>
    <s v="2378"/>
    <x v="1"/>
    <s v="EBD"/>
    <s v="2378.EBD. Layanan Manajemen Kinerja Internal"/>
    <n v="955"/>
    <x v="8"/>
    <n v="301"/>
    <x v="12"/>
    <s v="B"/>
    <x v="31"/>
    <n v="524111"/>
    <x v="2"/>
    <n v="18000000"/>
    <n v="0"/>
    <n v="0"/>
    <n v="2850000"/>
    <n v="0"/>
    <n v="0"/>
    <n v="0"/>
    <n v="0"/>
    <n v="0"/>
    <n v="0"/>
    <n v="0"/>
    <n v="0"/>
    <n v="0"/>
    <x v="0"/>
    <x v="2"/>
    <x v="7"/>
    <s v="52"/>
    <s v="SEKRETARIAT BADAN RISET DAN SUMBERDAYA MANUSIA KELAUTAN DAN PERIKANAN"/>
    <n v="2850000"/>
    <n v="15.833333333333332"/>
    <n v="15150000"/>
    <n v="84.166666666666671"/>
    <s v="WA.2378.EBD.955.301.B.524111"/>
    <s v="Non COVID"/>
    <s v="PERJALANAN DINAS"/>
    <s v="Belanja Barang Non Operasional"/>
  </r>
  <r>
    <s v="032"/>
    <s v="12"/>
    <s v="WA"/>
    <x v="1"/>
    <s v="2378"/>
    <x v="1"/>
    <s v="EBD"/>
    <s v="2378.EBD. Layanan Manajemen Kinerja Internal"/>
    <n v="955"/>
    <x v="8"/>
    <n v="301"/>
    <x v="12"/>
    <s v="C"/>
    <x v="32"/>
    <n v="521211"/>
    <x v="0"/>
    <n v="10000000"/>
    <n v="0"/>
    <n v="0"/>
    <n v="2469500"/>
    <n v="0"/>
    <n v="2499000"/>
    <n v="0"/>
    <n v="0"/>
    <n v="0"/>
    <n v="0"/>
    <n v="0"/>
    <n v="0"/>
    <n v="0"/>
    <x v="0"/>
    <x v="2"/>
    <x v="7"/>
    <s v="52"/>
    <s v="SEKRETARIAT BADAN RISET DAN SUMBERDAYA MANUSIA KELAUTAN DAN PERIKANAN"/>
    <n v="4968500"/>
    <n v="49.685000000000002"/>
    <n v="5031500"/>
    <n v="50.314999999999998"/>
    <s v="WA.2378.EBD.955.301.C.521211"/>
    <s v="Non COVID"/>
    <s v="BELANJA BAHAN"/>
    <s v="Belanja Barang Non Operasional"/>
  </r>
  <r>
    <s v="032"/>
    <s v="12"/>
    <s v="WA"/>
    <x v="1"/>
    <s v="2378"/>
    <x v="1"/>
    <s v="EBD"/>
    <s v="2378.EBD. Layanan Manajemen Kinerja Internal"/>
    <n v="955"/>
    <x v="8"/>
    <n v="301"/>
    <x v="12"/>
    <s v="C"/>
    <x v="32"/>
    <n v="524111"/>
    <x v="2"/>
    <n v="15000000"/>
    <n v="0"/>
    <n v="0"/>
    <n v="0"/>
    <n v="0"/>
    <n v="0"/>
    <n v="0"/>
    <n v="0"/>
    <n v="0"/>
    <n v="0"/>
    <n v="0"/>
    <n v="0"/>
    <n v="0"/>
    <x v="0"/>
    <x v="2"/>
    <x v="7"/>
    <s v="52"/>
    <s v="SEKRETARIAT BADAN RISET DAN SUMBERDAYA MANUSIA KELAUTAN DAN PERIKANAN"/>
    <n v="0"/>
    <n v="0"/>
    <n v="15000000"/>
    <n v="100"/>
    <s v="WA.2378.EBD.955.301.C.524111"/>
    <s v="Non COVID"/>
    <s v="PERJALANAN DINAS"/>
    <s v="Belanja Barang Non Operasional"/>
  </r>
  <r>
    <s v="032"/>
    <s v="12"/>
    <s v="WA"/>
    <x v="1"/>
    <s v="2378"/>
    <x v="1"/>
    <s v="EBD"/>
    <s v="2378.EBD. Layanan Manajemen Kinerja Internal"/>
    <n v="955"/>
    <x v="8"/>
    <n v="301"/>
    <x v="12"/>
    <s v="D"/>
    <x v="33"/>
    <n v="521211"/>
    <x v="0"/>
    <n v="35340000"/>
    <n v="0"/>
    <n v="0"/>
    <n v="2500000"/>
    <n v="3400000"/>
    <n v="5085000"/>
    <n v="0"/>
    <n v="0"/>
    <n v="0"/>
    <n v="0"/>
    <n v="0"/>
    <n v="0"/>
    <n v="0"/>
    <x v="0"/>
    <x v="2"/>
    <x v="7"/>
    <s v="52"/>
    <s v="SEKRETARIAT BADAN RISET DAN SUMBERDAYA MANUSIA KELAUTAN DAN PERIKANAN"/>
    <n v="10985000"/>
    <n v="31.083757781550652"/>
    <n v="24355000"/>
    <n v="68.916242218449355"/>
    <s v="WA.2378.EBD.955.301.D.521211"/>
    <s v="Non COVID"/>
    <s v="BELANJA BAHAN"/>
    <s v="Belanja Barang Non Operasional"/>
  </r>
  <r>
    <s v="032"/>
    <s v="12"/>
    <s v="WA"/>
    <x v="1"/>
    <s v="2378"/>
    <x v="1"/>
    <s v="EBD"/>
    <s v="2378.EBD. Layanan Manajemen Kinerja Internal"/>
    <n v="955"/>
    <x v="8"/>
    <n v="301"/>
    <x v="12"/>
    <s v="D"/>
    <x v="33"/>
    <n v="522151"/>
    <x v="1"/>
    <n v="3600000"/>
    <n v="0"/>
    <n v="0"/>
    <n v="0"/>
    <n v="0"/>
    <n v="0"/>
    <n v="0"/>
    <n v="0"/>
    <n v="0"/>
    <n v="0"/>
    <n v="0"/>
    <n v="0"/>
    <n v="0"/>
    <x v="0"/>
    <x v="2"/>
    <x v="7"/>
    <s v="52"/>
    <s v="SEKRETARIAT BADAN RISET DAN SUMBERDAYA MANUSIA KELAUTAN DAN PERIKANAN"/>
    <n v="0"/>
    <n v="0"/>
    <n v="3600000"/>
    <n v="100"/>
    <s v="WA.2378.EBD.955.301.D.522151"/>
    <s v="Non COVID"/>
    <s v="BELANJA JASA"/>
    <s v="Belanja Barang Non Operasional"/>
  </r>
  <r>
    <s v="032"/>
    <s v="12"/>
    <s v="WA"/>
    <x v="1"/>
    <s v="2378"/>
    <x v="1"/>
    <s v="EBD"/>
    <s v="2378.EBD. Layanan Manajemen Kinerja Internal"/>
    <n v="955"/>
    <x v="8"/>
    <n v="301"/>
    <x v="12"/>
    <s v="D"/>
    <x v="33"/>
    <n v="524111"/>
    <x v="2"/>
    <n v="42000000"/>
    <n v="0"/>
    <n v="0"/>
    <n v="0"/>
    <n v="11593200"/>
    <n v="9041268"/>
    <n v="0"/>
    <n v="0"/>
    <n v="0"/>
    <n v="0"/>
    <n v="0"/>
    <n v="0"/>
    <n v="0"/>
    <x v="0"/>
    <x v="2"/>
    <x v="7"/>
    <s v="52"/>
    <s v="SEKRETARIAT BADAN RISET DAN SUMBERDAYA MANUSIA KELAUTAN DAN PERIKANAN"/>
    <n v="20634468"/>
    <n v="49.129685714285714"/>
    <n v="21365532"/>
    <n v="50.870314285714294"/>
    <s v="WA.2378.EBD.955.301.D.524111"/>
    <s v="Non COVID"/>
    <s v="PERJALANAN DINAS"/>
    <s v="Belanja Barang Non Operasional"/>
  </r>
  <r>
    <s v="032"/>
    <s v="12"/>
    <s v="WA"/>
    <x v="1"/>
    <s v="2378"/>
    <x v="1"/>
    <s v="EBD"/>
    <s v="2378.EBD. Layanan Manajemen Kinerja Internal"/>
    <n v="955"/>
    <x v="8"/>
    <n v="301"/>
    <x v="12"/>
    <s v="E"/>
    <x v="34"/>
    <n v="521211"/>
    <x v="0"/>
    <n v="15000000"/>
    <n v="0"/>
    <n v="0"/>
    <n v="2499500"/>
    <n v="0"/>
    <n v="2444500"/>
    <n v="0"/>
    <n v="0"/>
    <n v="0"/>
    <n v="0"/>
    <n v="0"/>
    <n v="0"/>
    <n v="0"/>
    <x v="0"/>
    <x v="2"/>
    <x v="7"/>
    <s v="52"/>
    <s v="SEKRETARIAT BADAN RISET DAN SUMBERDAYA MANUSIA KELAUTAN DAN PERIKANAN"/>
    <n v="4944000"/>
    <n v="32.96"/>
    <n v="10056000"/>
    <n v="67.040000000000006"/>
    <s v="WA.2378.EBD.955.301.E.521211"/>
    <s v="Non COVID"/>
    <s v="BELANJA BAHAN"/>
    <s v="Belanja Barang Non Operasional"/>
  </r>
  <r>
    <s v="032"/>
    <s v="12"/>
    <s v="WA"/>
    <x v="1"/>
    <s v="2378"/>
    <x v="1"/>
    <s v="EBD"/>
    <s v="2378.EBD. Layanan Manajemen Kinerja Internal"/>
    <n v="955"/>
    <x v="8"/>
    <n v="301"/>
    <x v="12"/>
    <s v="E"/>
    <x v="34"/>
    <n v="524111"/>
    <x v="2"/>
    <n v="12000000"/>
    <n v="0"/>
    <n v="0"/>
    <n v="0"/>
    <n v="0"/>
    <n v="0"/>
    <n v="0"/>
    <n v="0"/>
    <n v="0"/>
    <n v="0"/>
    <n v="0"/>
    <n v="0"/>
    <n v="0"/>
    <x v="0"/>
    <x v="2"/>
    <x v="7"/>
    <s v="52"/>
    <s v="SEKRETARIAT BADAN RISET DAN SUMBERDAYA MANUSIA KELAUTAN DAN PERIKANAN"/>
    <n v="0"/>
    <n v="0"/>
    <n v="12000000"/>
    <n v="100"/>
    <s v="WA.2378.EBD.955.301.E.524111"/>
    <s v="Non COVID"/>
    <s v="PERJALANAN DINAS"/>
    <s v="Belanja Barang Non Operasional"/>
  </r>
  <r>
    <s v="032"/>
    <s v="12"/>
    <s v="WA"/>
    <x v="1"/>
    <s v="2378"/>
    <x v="1"/>
    <s v="EBD"/>
    <s v="2378.EBD. Layanan Manajemen Kinerja Internal"/>
    <n v="955"/>
    <x v="8"/>
    <n v="301"/>
    <x v="12"/>
    <s v="F"/>
    <x v="35"/>
    <n v="521211"/>
    <x v="0"/>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n v="56380000"/>
    <n v="0"/>
    <n v="0"/>
    <n v="45420000"/>
    <n v="0"/>
    <n v="7280000"/>
    <n v="2030000"/>
    <n v="0"/>
    <n v="0"/>
    <n v="0"/>
    <n v="0"/>
    <n v="0"/>
    <n v="0"/>
    <x v="0"/>
    <x v="2"/>
    <x v="7"/>
    <s v="52"/>
    <s v="SEKRETARIAT BADAN RISET DAN SUMBERDAYA MANUSIA KELAUTAN DAN PERIKANAN"/>
    <n v="54730000"/>
    <n v="97.073430294430651"/>
    <n v="1650000"/>
    <n v="2.9265697055693507"/>
    <s v="WA.2378.EBD.955.301.F.524111"/>
    <s v="Non COVID"/>
    <s v="PERJALANAN DINAS"/>
    <s v="Belanja Barang Non Operasional"/>
  </r>
  <r>
    <s v="032"/>
    <s v="12"/>
    <s v="WA"/>
    <x v="1"/>
    <s v="4345"/>
    <x v="2"/>
    <s v="EBC"/>
    <s v="4345.EAM. Layanan Manajemen SDM Internal"/>
    <n v="996"/>
    <x v="9"/>
    <n v="301"/>
    <x v="13"/>
    <s v="A"/>
    <x v="36"/>
    <n v="521211"/>
    <x v="0"/>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0"/>
    <n v="0"/>
    <n v="0"/>
    <n v="1549795356"/>
    <n v="0"/>
    <n v="1843270850"/>
    <n v="0"/>
    <n v="0"/>
    <n v="0"/>
    <n v="0"/>
    <n v="0"/>
    <n v="0"/>
    <x v="0"/>
    <x v="3"/>
    <x v="5"/>
    <s v="52"/>
    <s v="SEKRETARIAT BADAN RISET DAN SUMBERDAYA MANUSIA KELAUTAN DAN PERIKANAN"/>
    <n v="3393066206"/>
    <n v="53.78396333948622"/>
    <n v="2915628794"/>
    <n v="46.21603666051378"/>
    <s v="WA.4345.EBC.996.301.B.521219"/>
    <s v="Non COVID"/>
    <s v="NON OPS LAINNYA"/>
    <s v="Belanja Barang Non Operasional"/>
  </r>
  <r>
    <s v="032"/>
    <s v="12"/>
    <s v="WA"/>
    <x v="1"/>
    <s v="4345"/>
    <x v="2"/>
    <s v="EBC"/>
    <s v="4345.EAM. Layanan Manajemen SDM Internal"/>
    <n v="996"/>
    <x v="9"/>
    <n v="301"/>
    <x v="13"/>
    <s v="B"/>
    <x v="37"/>
    <n v="521811"/>
    <x v="4"/>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186000000"/>
    <n v="0"/>
    <n v="0"/>
    <n v="0"/>
    <n v="0"/>
    <n v="20392633"/>
    <n v="22330573"/>
    <n v="0"/>
    <n v="0"/>
    <n v="0"/>
    <n v="0"/>
    <n v="0"/>
    <n v="0"/>
    <x v="0"/>
    <x v="3"/>
    <x v="5"/>
    <s v="52"/>
    <s v="SEKRETARIAT BADAN RISET DAN SUMBERDAYA MANUSIA KELAUTAN DAN PERIKANAN"/>
    <n v="42723206"/>
    <n v="22.969465591397849"/>
    <n v="143276794"/>
    <n v="77.030534408602151"/>
    <s v="WA.4345.EBC.996.301.B.524111"/>
    <s v="Non COVID"/>
    <s v="PERJALANAN DINAS"/>
    <s v="Belanja Barang Non Operasional"/>
  </r>
  <r>
    <s v="032"/>
    <s v="12"/>
    <s v="WA"/>
    <x v="1"/>
    <s v="4345"/>
    <x v="2"/>
    <s v="EBC"/>
    <s v="4345.EAM. Layanan Manajemen SDM Internal"/>
    <n v="996"/>
    <x v="9"/>
    <n v="301"/>
    <x v="13"/>
    <s v="C"/>
    <x v="38"/>
    <n v="521211"/>
    <x v="0"/>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30000000"/>
    <n v="0"/>
    <n v="0"/>
    <n v="0"/>
    <n v="0"/>
    <n v="0"/>
    <n v="0"/>
    <n v="0"/>
    <n v="0"/>
    <n v="0"/>
    <n v="0"/>
    <n v="0"/>
    <n v="0"/>
    <x v="0"/>
    <x v="3"/>
    <x v="5"/>
    <s v="52"/>
    <s v="SEKRETARIAT BADAN RISET DAN SUMBERDAYA MANUSIA KELAUTAN DAN PERIKANAN"/>
    <n v="0"/>
    <n v="0"/>
    <n v="30000000"/>
    <n v="100"/>
    <s v="WA.4345.EBC.996.301.D.522192"/>
    <s v="COVID"/>
    <s v="BELANJA JASA"/>
    <s v="Belanja Barang Non Operasional"/>
  </r>
  <r>
    <s v="032"/>
    <s v="12"/>
    <s v="WA"/>
    <x v="1"/>
    <s v="4345"/>
    <x v="2"/>
    <s v="EBC"/>
    <s v="4345.EAM. Layanan Manajemen SDM Internal"/>
    <n v="996"/>
    <x v="9"/>
    <n v="302"/>
    <x v="14"/>
    <s v="A"/>
    <x v="40"/>
    <n v="521211"/>
    <x v="0"/>
    <n v="25000000"/>
    <n v="0"/>
    <n v="0"/>
    <n v="0"/>
    <n v="0"/>
    <n v="2961000"/>
    <n v="0"/>
    <n v="0"/>
    <n v="0"/>
    <n v="0"/>
    <n v="0"/>
    <n v="0"/>
    <n v="0"/>
    <x v="0"/>
    <x v="3"/>
    <x v="5"/>
    <s v="52"/>
    <s v="SEKRETARIAT BADAN RISET DAN SUMBERDAYA MANUSIA KELAUTAN DAN PERIKANAN"/>
    <n v="2961000"/>
    <n v="11.844000000000001"/>
    <n v="22039000"/>
    <n v="88.156000000000006"/>
    <s v="WA.4345.EBC.996.301.A.521211"/>
    <s v="Non COVID"/>
    <s v="BELANJA BAHAN"/>
    <s v="Belanja Barang Non Operasional"/>
  </r>
  <r>
    <s v="032"/>
    <s v="12"/>
    <s v="WA"/>
    <x v="1"/>
    <s v="4345"/>
    <x v="2"/>
    <s v="EBC"/>
    <s v="4345.EAM. Layanan Manajemen SDM Internal"/>
    <n v="996"/>
    <x v="9"/>
    <n v="302"/>
    <x v="14"/>
    <s v="A"/>
    <x v="40"/>
    <n v="521811"/>
    <x v="4"/>
    <n v="30000000"/>
    <n v="0"/>
    <n v="0"/>
    <n v="0"/>
    <n v="0"/>
    <n v="4845000"/>
    <n v="0"/>
    <n v="0"/>
    <n v="0"/>
    <n v="0"/>
    <n v="0"/>
    <n v="0"/>
    <n v="0"/>
    <x v="0"/>
    <x v="3"/>
    <x v="5"/>
    <s v="52"/>
    <s v="SEKRETARIAT BADAN RISET DAN SUMBERDAYA MANUSIA KELAUTAN DAN PERIKANAN"/>
    <n v="4845000"/>
    <n v="16.150000000000002"/>
    <n v="25155000"/>
    <n v="83.850000000000009"/>
    <s v="WA.4345.EBC.996.301.A.521811"/>
    <s v="Non COVID"/>
    <s v="BELANJA PERSEDIAAN"/>
    <s v="Belanja Barang Non Operasional"/>
  </r>
  <r>
    <s v="032"/>
    <s v="12"/>
    <s v="WA"/>
    <x v="1"/>
    <s v="4345"/>
    <x v="2"/>
    <s v="EBC"/>
    <s v="4345.EAM. Layanan Manajemen SDM Internal"/>
    <n v="996"/>
    <x v="9"/>
    <n v="302"/>
    <x v="14"/>
    <s v="A"/>
    <x v="40"/>
    <n v="524111"/>
    <x v="2"/>
    <n v="54200000"/>
    <n v="0"/>
    <n v="0"/>
    <n v="0"/>
    <n v="0"/>
    <n v="0"/>
    <n v="0"/>
    <n v="0"/>
    <n v="0"/>
    <n v="0"/>
    <n v="0"/>
    <n v="0"/>
    <n v="0"/>
    <x v="0"/>
    <x v="3"/>
    <x v="5"/>
    <s v="52"/>
    <s v="SEKRETARIAT BADAN RISET DAN SUMBERDAYA MANUSIA KELAUTAN DAN PERIKANAN"/>
    <n v="0"/>
    <n v="0"/>
    <n v="54200000"/>
    <n v="100"/>
    <s v="WA.4345.EBC.996.301.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46" firstHeaderRow="0" firstDataRow="1" firstDataCol="1"/>
  <pivotFields count="44">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29"/>
    <field x="3"/>
    <field x="5"/>
    <field x="30"/>
    <field x="31"/>
    <field x="9"/>
    <field x="11"/>
    <field x="13"/>
    <field x="15"/>
  </rowFields>
  <rowItems count="241">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8"/>
    </i>
    <i r="8">
      <x v="10"/>
    </i>
    <i r="8">
      <x v="13"/>
    </i>
    <i r="3">
      <x v="1"/>
    </i>
    <i r="4">
      <x v="4"/>
    </i>
    <i r="5">
      <x v="3"/>
    </i>
    <i r="6">
      <x v="10"/>
    </i>
    <i r="7">
      <x v="33"/>
    </i>
    <i r="8">
      <x v="3"/>
    </i>
    <i r="8">
      <x v="4"/>
    </i>
    <i r="8">
      <x v="8"/>
    </i>
    <i r="8">
      <x v="13"/>
    </i>
    <i r="4">
      <x v="6"/>
    </i>
    <i r="5">
      <x v="3"/>
    </i>
    <i r="6">
      <x v="10"/>
    </i>
    <i r="7">
      <x v="39"/>
    </i>
    <i r="8">
      <x v="3"/>
    </i>
    <i r="8">
      <x v="4"/>
    </i>
    <i r="8">
      <x v="7"/>
    </i>
    <i r="8">
      <x v="13"/>
    </i>
    <i r="7">
      <x v="40"/>
    </i>
    <i r="8">
      <x v="3"/>
    </i>
    <i r="8">
      <x v="4"/>
    </i>
    <i r="8">
      <x v="8"/>
    </i>
    <i r="8">
      <x v="13"/>
    </i>
    <i r="3">
      <x v="2"/>
    </i>
    <i r="4">
      <x/>
    </i>
    <i r="5">
      <x v="7"/>
    </i>
    <i r="6">
      <x v="8"/>
    </i>
    <i r="7">
      <x v="7"/>
    </i>
    <i r="8">
      <x v="3"/>
    </i>
    <i r="8">
      <x v="4"/>
    </i>
    <i r="8">
      <x v="13"/>
    </i>
    <i r="7">
      <x v="14"/>
    </i>
    <i r="8">
      <x v="3"/>
    </i>
    <i r="8">
      <x v="4"/>
    </i>
    <i r="8">
      <x v="8"/>
    </i>
    <i r="8">
      <x v="13"/>
    </i>
    <i r="8">
      <x v="14"/>
    </i>
    <i r="6">
      <x v="13"/>
    </i>
    <i r="7">
      <x v="10"/>
    </i>
    <i r="8">
      <x v="3"/>
    </i>
    <i r="8">
      <x v="4"/>
    </i>
    <i r="8">
      <x v="13"/>
    </i>
    <i r="4">
      <x v="5"/>
    </i>
    <i r="5">
      <x v="2"/>
    </i>
    <i r="6">
      <x v="14"/>
    </i>
    <i r="7">
      <x v="6"/>
    </i>
    <i r="8">
      <x v="3"/>
    </i>
    <i r="8">
      <x v="4"/>
    </i>
    <i r="8">
      <x v="6"/>
    </i>
    <i r="8">
      <x v="8"/>
    </i>
    <i r="8">
      <x v="13"/>
    </i>
    <i r="5">
      <x v="6"/>
    </i>
    <i r="6">
      <x v="9"/>
    </i>
    <i r="7">
      <x v="11"/>
    </i>
    <i r="8">
      <x v="3"/>
    </i>
    <i r="8">
      <x v="4"/>
    </i>
    <i r="8">
      <x v="6"/>
    </i>
    <i r="8">
      <x v="13"/>
    </i>
    <i r="7">
      <x v="20"/>
    </i>
    <i r="8">
      <x v="3"/>
    </i>
    <i r="8">
      <x v="4"/>
    </i>
    <i r="8">
      <x v="6"/>
    </i>
    <i r="8">
      <x v="8"/>
    </i>
    <i r="8">
      <x v="13"/>
    </i>
    <i r="7">
      <x v="21"/>
    </i>
    <i r="8">
      <x v="3"/>
    </i>
    <i r="8">
      <x v="6"/>
    </i>
    <i r="8">
      <x v="8"/>
    </i>
    <i r="8">
      <x v="13"/>
    </i>
    <i r="3">
      <x v="3"/>
    </i>
    <i r="4">
      <x v="3"/>
    </i>
    <i r="5">
      <x v="8"/>
    </i>
    <i r="6">
      <x v="7"/>
    </i>
    <i r="7">
      <x v="12"/>
    </i>
    <i r="8">
      <x v="3"/>
    </i>
    <i r="8">
      <x v="13"/>
    </i>
    <i r="7">
      <x v="19"/>
    </i>
    <i r="8">
      <x v="3"/>
    </i>
    <i r="8">
      <x v="13"/>
    </i>
    <i r="7">
      <x v="24"/>
    </i>
    <i r="8">
      <x v="3"/>
    </i>
    <i r="8">
      <x v="13"/>
    </i>
    <i r="7">
      <x v="27"/>
    </i>
    <i r="8">
      <x v="3"/>
    </i>
    <i r="8">
      <x v="8"/>
    </i>
    <i r="8">
      <x v="13"/>
    </i>
    <i r="7">
      <x v="30"/>
    </i>
    <i r="8">
      <x v="3"/>
    </i>
    <i r="8">
      <x v="1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8">
      <x v="14"/>
    </i>
    <i r="7">
      <x v="29"/>
    </i>
    <i r="8">
      <x v="3"/>
    </i>
    <i r="8">
      <x v="5"/>
    </i>
    <i r="8">
      <x v="9"/>
    </i>
    <i r="8">
      <x v="10"/>
    </i>
    <i r="8">
      <x v="13"/>
    </i>
    <i r="8">
      <x v="14"/>
    </i>
    <i r="5">
      <x v="4"/>
    </i>
    <i r="6">
      <x v="15"/>
    </i>
    <i r="7">
      <x v="34"/>
    </i>
    <i r="8">
      <x/>
    </i>
    <i r="8">
      <x v="6"/>
    </i>
    <i r="7">
      <x v="35"/>
    </i>
    <i r="8">
      <x v="1"/>
    </i>
    <i r="8">
      <x v="7"/>
    </i>
    <i r="7">
      <x v="36"/>
    </i>
    <i r="8">
      <x v="11"/>
    </i>
    <i r="8">
      <x v="12"/>
    </i>
    <i r="7">
      <x v="37"/>
    </i>
    <i r="8">
      <x/>
    </i>
    <i r="8">
      <x v="2"/>
    </i>
    <i r="7">
      <x v="38"/>
    </i>
    <i r="8">
      <x/>
    </i>
    <i r="8">
      <x v="6"/>
    </i>
    <i r="8">
      <x v="11"/>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7">
      <x v="26"/>
    </i>
    <i r="8">
      <x v="10"/>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4" baseField="0" baseItem="0" numFmtId="41"/>
    <dataField name="Real % " fld="43" baseField="0" baseItem="0" numFmtId="2"/>
    <dataField name="Sisa " fld="36" baseField="0" baseItem="0" numFmtId="41"/>
    <dataField name="Sisa % " fld="42" baseField="0" baseItem="0" numFmtId="2"/>
  </dataFields>
  <formats count="487">
    <format dxfId="502">
      <pivotArea outline="0" collapsedLevelsAreSubtotals="1" fieldPosition="0">
        <references count="1">
          <reference field="4294967294" count="1" selected="0">
            <x v="2"/>
          </reference>
        </references>
      </pivotArea>
    </format>
    <format dxfId="501">
      <pivotArea outline="0" collapsedLevelsAreSubtotals="1" fieldPosition="0">
        <references count="1">
          <reference field="4294967294" count="1" selected="0">
            <x v="4"/>
          </reference>
        </references>
      </pivotArea>
    </format>
    <format dxfId="500">
      <pivotArea outline="0" collapsedLevelsAreSubtotals="1" fieldPosition="0">
        <references count="1">
          <reference field="4294967294" count="1" selected="0">
            <x v="3"/>
          </reference>
        </references>
      </pivotArea>
    </format>
    <format dxfId="499">
      <pivotArea outline="0" collapsedLevelsAreSubtotals="1" fieldPosition="0">
        <references count="1">
          <reference field="4294967294" count="1" selected="0">
            <x v="1"/>
          </reference>
        </references>
      </pivotArea>
    </format>
    <format dxfId="498">
      <pivotArea outline="0" collapsedLevelsAreSubtotals="1" fieldPosition="0">
        <references count="1">
          <reference field="4294967294" count="1" selected="0">
            <x v="0"/>
          </reference>
        </references>
      </pivotArea>
    </format>
    <format dxfId="497">
      <pivotArea dataOnly="0" labelOnly="1" fieldPosition="0">
        <references count="1">
          <reference field="3" count="0"/>
        </references>
      </pivotArea>
    </format>
    <format dxfId="496">
      <pivotArea dataOnly="0" labelOnly="1" fieldPosition="0">
        <references count="1">
          <reference field="5" count="0"/>
        </references>
      </pivotArea>
    </format>
    <format dxfId="495">
      <pivotArea dataOnly="0" labelOnly="1" fieldPosition="0">
        <references count="1">
          <reference field="9" count="0"/>
        </references>
      </pivotArea>
    </format>
    <format dxfId="494">
      <pivotArea dataOnly="0" labelOnly="1" fieldPosition="0">
        <references count="1">
          <reference field="11" count="0"/>
        </references>
      </pivotArea>
    </format>
    <format dxfId="493">
      <pivotArea dataOnly="0" labelOnly="1" fieldPosition="0">
        <references count="1">
          <reference field="13" count="0"/>
        </references>
      </pivotArea>
    </format>
    <format dxfId="492">
      <pivotArea dataOnly="0" labelOnly="1" outline="0" fieldPosition="0">
        <references count="1">
          <reference field="4294967294" count="5">
            <x v="0"/>
            <x v="1"/>
            <x v="2"/>
            <x v="3"/>
            <x v="4"/>
          </reference>
        </references>
      </pivotArea>
    </format>
    <format dxfId="491">
      <pivotArea type="all" dataOnly="0" outline="0" fieldPosition="0"/>
    </format>
    <format dxfId="490">
      <pivotArea outline="0" collapsedLevelsAreSubtotals="1" fieldPosition="0"/>
    </format>
    <format dxfId="489">
      <pivotArea field="3" type="button" dataOnly="0" labelOnly="1" outline="0" axis="axisRow" fieldPosition="1"/>
    </format>
    <format dxfId="488">
      <pivotArea dataOnly="0" labelOnly="1" fieldPosition="0">
        <references count="1">
          <reference field="3" count="0"/>
        </references>
      </pivotArea>
    </format>
    <format dxfId="487">
      <pivotArea dataOnly="0" labelOnly="1" grandRow="1" outline="0" fieldPosition="0"/>
    </format>
    <format dxfId="486">
      <pivotArea dataOnly="0" labelOnly="1" fieldPosition="0">
        <references count="2">
          <reference field="3" count="1" selected="0">
            <x v="0"/>
          </reference>
          <reference field="5" count="1">
            <x v="0"/>
          </reference>
        </references>
      </pivotArea>
    </format>
    <format dxfId="485">
      <pivotArea dataOnly="0" labelOnly="1" fieldPosition="0">
        <references count="2">
          <reference field="3" count="1" selected="0">
            <x v="1"/>
          </reference>
          <reference field="5" count="2">
            <x v="1"/>
            <x v="2"/>
          </reference>
        </references>
      </pivotArea>
    </format>
    <format dxfId="484">
      <pivotArea dataOnly="0" labelOnly="1" fieldPosition="0">
        <references count="3">
          <reference field="3" count="1" selected="0">
            <x v="0"/>
          </reference>
          <reference field="5" count="1" selected="0">
            <x v="0"/>
          </reference>
          <reference field="9" count="1">
            <x v="0"/>
          </reference>
        </references>
      </pivotArea>
    </format>
    <format dxfId="483">
      <pivotArea dataOnly="0" labelOnly="1" fieldPosition="0">
        <references count="3">
          <reference field="3" count="1" selected="0">
            <x v="1"/>
          </reference>
          <reference field="5" count="1" selected="0">
            <x v="1"/>
          </reference>
          <reference field="9" count="8">
            <x v="1"/>
            <x v="2"/>
            <x v="3"/>
            <x v="4"/>
            <x v="5"/>
            <x v="6"/>
            <x v="7"/>
            <x v="8"/>
          </reference>
        </references>
      </pivotArea>
    </format>
    <format dxfId="482">
      <pivotArea dataOnly="0" labelOnly="1" fieldPosition="0">
        <references count="3">
          <reference field="3" count="1" selected="0">
            <x v="1"/>
          </reference>
          <reference field="5" count="1" selected="0">
            <x v="2"/>
          </reference>
          <reference field="9" count="1">
            <x v="9"/>
          </reference>
        </references>
      </pivotArea>
    </format>
    <format dxfId="48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8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7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7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7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7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7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7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7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7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7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7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6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6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6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6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6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6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6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6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6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6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5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5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5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56">
      <pivotArea dataOnly="0" labelOnly="1" outline="0" fieldPosition="0">
        <references count="1">
          <reference field="4294967294" count="5">
            <x v="0"/>
            <x v="1"/>
            <x v="2"/>
            <x v="3"/>
            <x v="4"/>
          </reference>
        </references>
      </pivotArea>
    </format>
    <format dxfId="455">
      <pivotArea type="all" dataOnly="0" outline="0" fieldPosition="0"/>
    </format>
    <format dxfId="454">
      <pivotArea outline="0" collapsedLevelsAreSubtotals="1" fieldPosition="0"/>
    </format>
    <format dxfId="453">
      <pivotArea field="3" type="button" dataOnly="0" labelOnly="1" outline="0" axis="axisRow" fieldPosition="1"/>
    </format>
    <format dxfId="452">
      <pivotArea dataOnly="0" labelOnly="1" fieldPosition="0">
        <references count="1">
          <reference field="3" count="0"/>
        </references>
      </pivotArea>
    </format>
    <format dxfId="451">
      <pivotArea dataOnly="0" labelOnly="1" grandRow="1" outline="0" fieldPosition="0"/>
    </format>
    <format dxfId="450">
      <pivotArea dataOnly="0" labelOnly="1" fieldPosition="0">
        <references count="2">
          <reference field="3" count="1" selected="0">
            <x v="0"/>
          </reference>
          <reference field="5" count="1">
            <x v="0"/>
          </reference>
        </references>
      </pivotArea>
    </format>
    <format dxfId="449">
      <pivotArea dataOnly="0" labelOnly="1" fieldPosition="0">
        <references count="2">
          <reference field="3" count="1" selected="0">
            <x v="1"/>
          </reference>
          <reference field="5" count="2">
            <x v="1"/>
            <x v="2"/>
          </reference>
        </references>
      </pivotArea>
    </format>
    <format dxfId="448">
      <pivotArea dataOnly="0" labelOnly="1" fieldPosition="0">
        <references count="3">
          <reference field="3" count="1" selected="0">
            <x v="0"/>
          </reference>
          <reference field="5" count="1" selected="0">
            <x v="0"/>
          </reference>
          <reference field="9" count="1">
            <x v="0"/>
          </reference>
        </references>
      </pivotArea>
    </format>
    <format dxfId="447">
      <pivotArea dataOnly="0" labelOnly="1" fieldPosition="0">
        <references count="3">
          <reference field="3" count="1" selected="0">
            <x v="1"/>
          </reference>
          <reference field="5" count="1" selected="0">
            <x v="1"/>
          </reference>
          <reference field="9" count="8">
            <x v="1"/>
            <x v="2"/>
            <x v="3"/>
            <x v="4"/>
            <x v="5"/>
            <x v="6"/>
            <x v="7"/>
            <x v="8"/>
          </reference>
        </references>
      </pivotArea>
    </format>
    <format dxfId="446">
      <pivotArea dataOnly="0" labelOnly="1" fieldPosition="0">
        <references count="3">
          <reference field="3" count="1" selected="0">
            <x v="1"/>
          </reference>
          <reference field="5" count="1" selected="0">
            <x v="2"/>
          </reference>
          <reference field="9" count="1">
            <x v="9"/>
          </reference>
        </references>
      </pivotArea>
    </format>
    <format dxfId="44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4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4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4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4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4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3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3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3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3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3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3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3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3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3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3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2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2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2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2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2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2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2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2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2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20">
      <pivotArea dataOnly="0" labelOnly="1" outline="0" fieldPosition="0">
        <references count="1">
          <reference field="4294967294" count="5">
            <x v="0"/>
            <x v="1"/>
            <x v="2"/>
            <x v="3"/>
            <x v="4"/>
          </reference>
        </references>
      </pivotArea>
    </format>
    <format dxfId="419">
      <pivotArea collapsedLevelsAreSubtotals="1" fieldPosition="0">
        <references count="1">
          <reference field="3" count="1">
            <x v="0"/>
          </reference>
        </references>
      </pivotArea>
    </format>
    <format dxfId="418">
      <pivotArea collapsedLevelsAreSubtotals="1" fieldPosition="0">
        <references count="1">
          <reference field="3" count="1">
            <x v="1"/>
          </reference>
        </references>
      </pivotArea>
    </format>
    <format dxfId="417">
      <pivotArea collapsedLevelsAreSubtotals="1" fieldPosition="0">
        <references count="3">
          <reference field="3" count="1" selected="0">
            <x v="0"/>
          </reference>
          <reference field="5" count="1" selected="0">
            <x v="0"/>
          </reference>
          <reference field="9" count="1">
            <x v="0"/>
          </reference>
        </references>
      </pivotArea>
    </format>
    <format dxfId="416">
      <pivotArea collapsedLevelsAreSubtotals="1" fieldPosition="0">
        <references count="3">
          <reference field="3" count="1" selected="0">
            <x v="1"/>
          </reference>
          <reference field="5" count="1" selected="0">
            <x v="1"/>
          </reference>
          <reference field="9" count="1">
            <x v="1"/>
          </reference>
        </references>
      </pivotArea>
    </format>
    <format dxfId="415">
      <pivotArea collapsedLevelsAreSubtotals="1" fieldPosition="0">
        <references count="3">
          <reference field="3" count="1" selected="0">
            <x v="1"/>
          </reference>
          <reference field="5" count="1" selected="0">
            <x v="1"/>
          </reference>
          <reference field="9" count="1">
            <x v="2"/>
          </reference>
        </references>
      </pivotArea>
    </format>
    <format dxfId="414">
      <pivotArea collapsedLevelsAreSubtotals="1" fieldPosition="0">
        <references count="3">
          <reference field="3" count="1" selected="0">
            <x v="1"/>
          </reference>
          <reference field="5" count="1" selected="0">
            <x v="1"/>
          </reference>
          <reference field="9" count="1">
            <x v="3"/>
          </reference>
        </references>
      </pivotArea>
    </format>
    <format dxfId="413">
      <pivotArea collapsedLevelsAreSubtotals="1" fieldPosition="0">
        <references count="3">
          <reference field="3" count="1" selected="0">
            <x v="1"/>
          </reference>
          <reference field="5" count="1" selected="0">
            <x v="1"/>
          </reference>
          <reference field="9" count="1">
            <x v="4"/>
          </reference>
        </references>
      </pivotArea>
    </format>
    <format dxfId="412">
      <pivotArea collapsedLevelsAreSubtotals="1" fieldPosition="0">
        <references count="3">
          <reference field="3" count="1" selected="0">
            <x v="1"/>
          </reference>
          <reference field="5" count="1" selected="0">
            <x v="1"/>
          </reference>
          <reference field="9" count="1">
            <x v="5"/>
          </reference>
        </references>
      </pivotArea>
    </format>
    <format dxfId="411">
      <pivotArea collapsedLevelsAreSubtotals="1" fieldPosition="0">
        <references count="3">
          <reference field="3" count="1" selected="0">
            <x v="1"/>
          </reference>
          <reference field="5" count="1" selected="0">
            <x v="1"/>
          </reference>
          <reference field="9" count="1">
            <x v="6"/>
          </reference>
        </references>
      </pivotArea>
    </format>
    <format dxfId="410">
      <pivotArea collapsedLevelsAreSubtotals="1" fieldPosition="0">
        <references count="3">
          <reference field="3" count="1" selected="0">
            <x v="1"/>
          </reference>
          <reference field="5" count="1" selected="0">
            <x v="1"/>
          </reference>
          <reference field="9" count="1">
            <x v="7"/>
          </reference>
        </references>
      </pivotArea>
    </format>
    <format dxfId="409">
      <pivotArea collapsedLevelsAreSubtotals="1" fieldPosition="0">
        <references count="3">
          <reference field="3" count="1" selected="0">
            <x v="1"/>
          </reference>
          <reference field="5" count="1" selected="0">
            <x v="1"/>
          </reference>
          <reference field="9" count="1">
            <x v="8"/>
          </reference>
        </references>
      </pivotArea>
    </format>
    <format dxfId="408">
      <pivotArea collapsedLevelsAreSubtotals="1" fieldPosition="0">
        <references count="3">
          <reference field="3" count="1" selected="0">
            <x v="1"/>
          </reference>
          <reference field="5" count="1" selected="0">
            <x v="2"/>
          </reference>
          <reference field="9" count="1">
            <x v="9"/>
          </reference>
        </references>
      </pivotArea>
    </format>
    <format dxfId="407">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40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405">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404">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403">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402">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40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400">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399">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398">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397">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39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395">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394">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393">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39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39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390">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8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38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38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38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85">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84">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8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38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3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3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3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3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3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3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3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37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37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3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3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37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369">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36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36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36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36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363">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36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3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3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3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35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35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35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3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35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352">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51">
      <pivotArea collapsedLevelsAreSubtotals="1" fieldPosition="0">
        <references count="2">
          <reference field="3" count="1" selected="0">
            <x v="1"/>
          </reference>
          <reference field="5" count="1">
            <x v="1"/>
          </reference>
        </references>
      </pivotArea>
    </format>
    <format dxfId="350">
      <pivotArea field="3" type="button" dataOnly="0" labelOnly="1" outline="0" axis="axisRow" fieldPosition="1"/>
    </format>
    <format dxfId="349">
      <pivotArea collapsedLevelsAreSubtotals="1" fieldPosition="0">
        <references count="2">
          <reference field="3" count="1" selected="0">
            <x v="1"/>
          </reference>
          <reference field="5" count="1">
            <x v="2"/>
          </reference>
        </references>
      </pivotArea>
    </format>
    <format dxfId="348">
      <pivotArea collapsedLevelsAreSubtotals="1" fieldPosition="0">
        <references count="2">
          <reference field="3" count="1" selected="0">
            <x v="0"/>
          </reference>
          <reference field="5" count="1">
            <x v="0"/>
          </reference>
        </references>
      </pivotArea>
    </format>
    <format dxfId="347">
      <pivotArea field="3" type="button" dataOnly="0" labelOnly="1" outline="0" axis="axisRow" fieldPosition="1"/>
    </format>
    <format dxfId="346">
      <pivotArea dataOnly="0" labelOnly="1" outline="0" fieldPosition="0">
        <references count="1">
          <reference field="4294967294" count="5">
            <x v="0"/>
            <x v="1"/>
            <x v="2"/>
            <x v="3"/>
            <x v="4"/>
          </reference>
        </references>
      </pivotArea>
    </format>
    <format dxfId="345">
      <pivotArea field="3" type="button" dataOnly="0" labelOnly="1" outline="0" axis="axisRow" fieldPosition="1"/>
    </format>
    <format dxfId="344">
      <pivotArea dataOnly="0" labelOnly="1" outline="0" fieldPosition="0">
        <references count="1">
          <reference field="4294967294" count="5">
            <x v="0"/>
            <x v="1"/>
            <x v="2"/>
            <x v="3"/>
            <x v="4"/>
          </reference>
        </references>
      </pivotArea>
    </format>
    <format dxfId="343">
      <pivotArea field="3" type="button" dataOnly="0" labelOnly="1" outline="0" axis="axisRow" fieldPosition="1"/>
    </format>
    <format dxfId="342">
      <pivotArea dataOnly="0" labelOnly="1" fieldPosition="0">
        <references count="1">
          <reference field="3" count="0"/>
        </references>
      </pivotArea>
    </format>
    <format dxfId="341">
      <pivotArea dataOnly="0" labelOnly="1" grandRow="1" outline="0" fieldPosition="0"/>
    </format>
    <format dxfId="340">
      <pivotArea dataOnly="0" labelOnly="1" fieldPosition="0">
        <references count="2">
          <reference field="3" count="1" selected="0">
            <x v="0"/>
          </reference>
          <reference field="5" count="1">
            <x v="0"/>
          </reference>
        </references>
      </pivotArea>
    </format>
    <format dxfId="339">
      <pivotArea dataOnly="0" labelOnly="1" fieldPosition="0">
        <references count="2">
          <reference field="3" count="1" selected="0">
            <x v="1"/>
          </reference>
          <reference field="5" count="2">
            <x v="1"/>
            <x v="2"/>
          </reference>
        </references>
      </pivotArea>
    </format>
    <format dxfId="338">
      <pivotArea dataOnly="0" labelOnly="1" fieldPosition="0">
        <references count="3">
          <reference field="3" count="1" selected="0">
            <x v="0"/>
          </reference>
          <reference field="5" count="1" selected="0">
            <x v="0"/>
          </reference>
          <reference field="9" count="1">
            <x v="0"/>
          </reference>
        </references>
      </pivotArea>
    </format>
    <format dxfId="337">
      <pivotArea dataOnly="0" labelOnly="1" fieldPosition="0">
        <references count="3">
          <reference field="3" count="1" selected="0">
            <x v="1"/>
          </reference>
          <reference field="5" count="1" selected="0">
            <x v="1"/>
          </reference>
          <reference field="9" count="8">
            <x v="1"/>
            <x v="2"/>
            <x v="3"/>
            <x v="4"/>
            <x v="5"/>
            <x v="6"/>
            <x v="7"/>
            <x v="8"/>
          </reference>
        </references>
      </pivotArea>
    </format>
    <format dxfId="336">
      <pivotArea dataOnly="0" labelOnly="1" fieldPosition="0">
        <references count="3">
          <reference field="3" count="1" selected="0">
            <x v="1"/>
          </reference>
          <reference field="5" count="1" selected="0">
            <x v="2"/>
          </reference>
          <reference field="9" count="1">
            <x v="9"/>
          </reference>
        </references>
      </pivotArea>
    </format>
    <format dxfId="33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3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3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3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3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3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2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2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2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2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2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2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2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2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2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2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1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1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1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1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1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1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1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1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1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10">
      <pivotArea dataOnly="0" labelOnly="1" fieldPosition="0">
        <references count="1">
          <reference field="13" count="0"/>
        </references>
      </pivotArea>
    </format>
    <format dxfId="309">
      <pivotArea dataOnly="0" labelOnly="1" fieldPosition="0">
        <references count="1">
          <reference field="13" count="0"/>
        </references>
      </pivotArea>
    </format>
    <format dxfId="308">
      <pivotArea type="all" dataOnly="0" outline="0" fieldPosition="0"/>
    </format>
    <format dxfId="307">
      <pivotArea outline="0" collapsedLevelsAreSubtotals="1" fieldPosition="0"/>
    </format>
    <format dxfId="306">
      <pivotArea field="29" type="button" dataOnly="0" labelOnly="1" outline="0" axis="axisRow" fieldPosition="0"/>
    </format>
    <format dxfId="305">
      <pivotArea dataOnly="0" labelOnly="1" grandRow="1" outline="0" fieldPosition="0"/>
    </format>
    <format dxfId="304">
      <pivotArea dataOnly="0" labelOnly="1" fieldPosition="0">
        <references count="2">
          <reference field="3" count="0"/>
          <reference field="29" count="0" selected="0"/>
        </references>
      </pivotArea>
    </format>
    <format dxfId="303">
      <pivotArea dataOnly="0" labelOnly="1" fieldPosition="0">
        <references count="3">
          <reference field="3" count="1" selected="0">
            <x v="0"/>
          </reference>
          <reference field="5" count="1">
            <x v="0"/>
          </reference>
          <reference field="29" count="0" selected="0"/>
        </references>
      </pivotArea>
    </format>
    <format dxfId="302">
      <pivotArea dataOnly="0" labelOnly="1" fieldPosition="0">
        <references count="3">
          <reference field="3" count="1" selected="0">
            <x v="1"/>
          </reference>
          <reference field="5" count="2">
            <x v="1"/>
            <x v="2"/>
          </reference>
          <reference field="29" count="0" selected="0"/>
        </references>
      </pivotArea>
    </format>
    <format dxfId="301">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1"/>
          </reference>
        </references>
      </pivotArea>
    </format>
    <format dxfId="300">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2"/>
          </reference>
        </references>
      </pivotArea>
    </format>
    <format dxfId="299">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4"/>
          </reference>
        </references>
      </pivotArea>
    </format>
    <format dxfId="298">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6"/>
          </reference>
        </references>
      </pivotArea>
    </format>
    <format dxfId="297">
      <pivotArea dataOnly="0" labelOnly="1" fieldPosition="0">
        <references count="6">
          <reference field="3" count="1" selected="0">
            <x v="1"/>
          </reference>
          <reference field="5" count="1" selected="0">
            <x v="1"/>
          </reference>
          <reference field="9" count="1">
            <x v="3"/>
          </reference>
          <reference field="29" count="0" selected="0"/>
          <reference field="30" count="1" selected="0">
            <x v="0"/>
          </reference>
          <reference field="31" count="1" selected="0">
            <x v="2"/>
          </reference>
        </references>
      </pivotArea>
    </format>
    <format dxfId="296">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4"/>
          </reference>
        </references>
      </pivotArea>
    </format>
    <format dxfId="295">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6"/>
          </reference>
        </references>
      </pivotArea>
    </format>
    <format dxfId="294">
      <pivotArea dataOnly="0" labelOnly="1" fieldPosition="0">
        <references count="6">
          <reference field="3" count="1" selected="0">
            <x v="1"/>
          </reference>
          <reference field="5" count="1" selected="0">
            <x v="1"/>
          </reference>
          <reference field="9" count="1">
            <x v="7"/>
          </reference>
          <reference field="29" count="0" selected="0"/>
          <reference field="30" count="1" selected="0">
            <x v="2"/>
          </reference>
          <reference field="31" count="1" selected="0">
            <x v="0"/>
          </reference>
        </references>
      </pivotArea>
    </format>
    <format dxfId="293">
      <pivotArea dataOnly="0" labelOnly="1" fieldPosition="0">
        <references count="6">
          <reference field="3" count="1" selected="0">
            <x v="1"/>
          </reference>
          <reference field="5" count="1" selected="0">
            <x v="1"/>
          </reference>
          <reference field="9" count="2">
            <x v="2"/>
            <x v="6"/>
          </reference>
          <reference field="29" count="0" selected="0"/>
          <reference field="30" count="1" selected="0">
            <x v="2"/>
          </reference>
          <reference field="31" count="1" selected="0">
            <x v="5"/>
          </reference>
        </references>
      </pivotArea>
    </format>
    <format dxfId="292">
      <pivotArea dataOnly="0" labelOnly="1" fieldPosition="0">
        <references count="6">
          <reference field="3" count="1" selected="0">
            <x v="1"/>
          </reference>
          <reference field="5" count="1" selected="0">
            <x v="1"/>
          </reference>
          <reference field="9" count="1">
            <x v="8"/>
          </reference>
          <reference field="29" count="0" selected="0"/>
          <reference field="30" count="1" selected="0">
            <x v="3"/>
          </reference>
          <reference field="31" count="1" selected="0">
            <x v="3"/>
          </reference>
        </references>
      </pivotArea>
    </format>
    <format dxfId="291">
      <pivotArea dataOnly="0" labelOnly="1" fieldPosition="0">
        <references count="6">
          <reference field="3" count="1" selected="0">
            <x v="1"/>
          </reference>
          <reference field="5" count="1" selected="0">
            <x v="1"/>
          </reference>
          <reference field="9" count="4">
            <x v="1"/>
            <x v="3"/>
            <x v="4"/>
            <x v="5"/>
          </reference>
          <reference field="29" count="0" selected="0"/>
          <reference field="30" count="1" selected="0">
            <x v="3"/>
          </reference>
          <reference field="31" count="1" selected="0">
            <x v="7"/>
          </reference>
        </references>
      </pivotArea>
    </format>
    <format dxfId="290">
      <pivotArea dataOnly="0" labelOnly="1" fieldPosition="0">
        <references count="6">
          <reference field="3" count="1" selected="0">
            <x v="1"/>
          </reference>
          <reference field="5" count="1" selected="0">
            <x v="2"/>
          </reference>
          <reference field="9" count="1">
            <x v="9"/>
          </reference>
          <reference field="29" count="0" selected="0"/>
          <reference field="30" count="1" selected="0">
            <x v="2"/>
          </reference>
          <reference field="31" count="1" selected="0">
            <x v="5"/>
          </reference>
        </references>
      </pivotArea>
    </format>
    <format dxfId="289">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288">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287">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286">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285">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28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283">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282">
      <pivotArea dataOnly="0" labelOnly="1" fieldPosition="0">
        <references count="7">
          <reference field="3" count="1" selected="0">
            <x v="1"/>
          </reference>
          <reference field="5" count="1" selected="0">
            <x v="1"/>
          </reference>
          <reference field="9" count="1" selected="0">
            <x v="7"/>
          </reference>
          <reference field="11" count="2">
            <x v="8"/>
            <x v="13"/>
          </reference>
          <reference field="29" count="0" selected="0"/>
          <reference field="30" count="1" selected="0">
            <x v="2"/>
          </reference>
          <reference field="31" count="1" selected="0">
            <x v="0"/>
          </reference>
        </references>
      </pivotArea>
    </format>
    <format dxfId="281">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280">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279">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78">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77">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76">
      <pivotArea dataOnly="0" labelOnly="1" fieldPosition="0">
        <references count="7">
          <reference field="3" count="1" selected="0">
            <x v="1"/>
          </reference>
          <reference field="5" count="1" selected="0">
            <x v="1"/>
          </reference>
          <reference field="9" count="1" selected="0">
            <x v="4"/>
          </reference>
          <reference field="11" count="1">
            <x v="0"/>
          </reference>
          <reference field="29" count="0" selected="0"/>
          <reference field="30" count="1" selected="0">
            <x v="3"/>
          </reference>
          <reference field="31" count="1" selected="0">
            <x v="7"/>
          </reference>
        </references>
      </pivotArea>
    </format>
    <format dxfId="275">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274">
      <pivotArea dataOnly="0" labelOnly="1" fieldPosition="0">
        <references count="7">
          <reference field="3" count="1" selected="0">
            <x v="1"/>
          </reference>
          <reference field="5" count="1" selected="0">
            <x v="2"/>
          </reference>
          <reference field="9" count="1" selected="0">
            <x v="9"/>
          </reference>
          <reference field="11" count="2">
            <x v="5"/>
            <x v="12"/>
          </reference>
          <reference field="29" count="0" selected="0"/>
          <reference field="30" count="1" selected="0">
            <x v="2"/>
          </reference>
          <reference field="31" count="1" selected="0">
            <x v="5"/>
          </reference>
        </references>
      </pivotArea>
    </format>
    <format dxfId="273">
      <pivotArea dataOnly="0" labelOnly="1" outline="0" fieldPosition="0">
        <references count="1">
          <reference field="4294967294" count="5">
            <x v="0"/>
            <x v="1"/>
            <x v="2"/>
            <x v="3"/>
            <x v="4"/>
          </reference>
        </references>
      </pivotArea>
    </format>
    <format dxfId="272">
      <pivotArea dataOnly="0" labelOnly="1" fieldPosition="0">
        <references count="1">
          <reference field="30" count="0"/>
        </references>
      </pivotArea>
    </format>
    <format dxfId="271">
      <pivotArea dataOnly="0" labelOnly="1" fieldPosition="0">
        <references count="1">
          <reference field="31" count="0"/>
        </references>
      </pivotArea>
    </format>
    <format dxfId="270">
      <pivotArea dataOnly="0" labelOnly="1" fieldPosition="0">
        <references count="1">
          <reference field="31" count="0"/>
        </references>
      </pivotArea>
    </format>
    <format dxfId="269">
      <pivotArea dataOnly="0" labelOnly="1" fieldPosition="0">
        <references count="1">
          <reference field="31" count="0"/>
        </references>
      </pivotArea>
    </format>
    <format dxfId="268">
      <pivotArea dataOnly="0" labelOnly="1" fieldPosition="0">
        <references count="1">
          <reference field="31" count="0"/>
        </references>
      </pivotArea>
    </format>
    <format dxfId="267">
      <pivotArea dataOnly="0" labelOnly="1" fieldPosition="0">
        <references count="1">
          <reference field="30" count="0"/>
        </references>
      </pivotArea>
    </format>
    <format dxfId="266">
      <pivotArea dataOnly="0" labelOnly="1" fieldPosition="0">
        <references count="1">
          <reference field="30" count="0"/>
        </references>
      </pivotArea>
    </format>
    <format dxfId="265">
      <pivotArea dataOnly="0" labelOnly="1" fieldPosition="0">
        <references count="1">
          <reference field="30" count="0"/>
        </references>
      </pivotArea>
    </format>
    <format dxfId="264">
      <pivotArea collapsedLevelsAreSubtotals="1" fieldPosition="0">
        <references count="4">
          <reference field="3" count="1" selected="0">
            <x v="0"/>
          </reference>
          <reference field="5" count="1" selected="0">
            <x v="0"/>
          </reference>
          <reference field="29" count="0" selected="0"/>
          <reference field="30" count="1">
            <x v="0"/>
          </reference>
        </references>
      </pivotArea>
    </format>
    <format dxfId="263">
      <pivotArea dataOnly="0" labelOnly="1" fieldPosition="0">
        <references count="4">
          <reference field="3" count="1" selected="0">
            <x v="0"/>
          </reference>
          <reference field="5" count="1" selected="0">
            <x v="0"/>
          </reference>
          <reference field="29" count="0" selected="0"/>
          <reference field="30" count="1">
            <x v="0"/>
          </reference>
        </references>
      </pivotArea>
    </format>
    <format dxfId="262">
      <pivotArea collapsedLevelsAreSubtotals="1" fieldPosition="0">
        <references count="4">
          <reference field="3" count="1" selected="0">
            <x v="0"/>
          </reference>
          <reference field="5" count="1" selected="0">
            <x v="0"/>
          </reference>
          <reference field="29" count="0" selected="0"/>
          <reference field="30" count="1">
            <x v="1"/>
          </reference>
        </references>
      </pivotArea>
    </format>
    <format dxfId="261">
      <pivotArea dataOnly="0" labelOnly="1" fieldPosition="0">
        <references count="4">
          <reference field="3" count="1" selected="0">
            <x v="0"/>
          </reference>
          <reference field="5" count="1" selected="0">
            <x v="0"/>
          </reference>
          <reference field="29" count="0" selected="0"/>
          <reference field="30" count="1">
            <x v="1"/>
          </reference>
        </references>
      </pivotArea>
    </format>
    <format dxfId="260">
      <pivotArea collapsedLevelsAreSubtotals="1" fieldPosition="0">
        <references count="4">
          <reference field="3" count="1" selected="0">
            <x v="1"/>
          </reference>
          <reference field="5" count="1" selected="0">
            <x v="1"/>
          </reference>
          <reference field="29" count="0" selected="0"/>
          <reference field="30" count="1">
            <x v="0"/>
          </reference>
        </references>
      </pivotArea>
    </format>
    <format dxfId="259">
      <pivotArea dataOnly="0" labelOnly="1" fieldPosition="0">
        <references count="4">
          <reference field="3" count="1" selected="0">
            <x v="1"/>
          </reference>
          <reference field="5" count="1" selected="0">
            <x v="1"/>
          </reference>
          <reference field="29" count="0" selected="0"/>
          <reference field="30" count="1">
            <x v="0"/>
          </reference>
        </references>
      </pivotArea>
    </format>
    <format dxfId="258">
      <pivotArea collapsedLevelsAreSubtotals="1" fieldPosition="0">
        <references count="4">
          <reference field="3" count="1" selected="0">
            <x v="1"/>
          </reference>
          <reference field="5" count="1" selected="0">
            <x v="1"/>
          </reference>
          <reference field="29" count="0" selected="0"/>
          <reference field="30" count="1">
            <x v="1"/>
          </reference>
        </references>
      </pivotArea>
    </format>
    <format dxfId="257">
      <pivotArea dataOnly="0" labelOnly="1" fieldPosition="0">
        <references count="4">
          <reference field="3" count="1" selected="0">
            <x v="1"/>
          </reference>
          <reference field="5" count="1" selected="0">
            <x v="1"/>
          </reference>
          <reference field="29" count="0" selected="0"/>
          <reference field="30" count="1">
            <x v="1"/>
          </reference>
        </references>
      </pivotArea>
    </format>
    <format dxfId="256">
      <pivotArea collapsedLevelsAreSubtotals="1" fieldPosition="0">
        <references count="4">
          <reference field="3" count="1" selected="0">
            <x v="1"/>
          </reference>
          <reference field="5" count="1" selected="0">
            <x v="1"/>
          </reference>
          <reference field="29" count="0" selected="0"/>
          <reference field="30" count="1">
            <x v="2"/>
          </reference>
        </references>
      </pivotArea>
    </format>
    <format dxfId="255">
      <pivotArea dataOnly="0" labelOnly="1" fieldPosition="0">
        <references count="4">
          <reference field="3" count="1" selected="0">
            <x v="1"/>
          </reference>
          <reference field="5" count="1" selected="0">
            <x v="1"/>
          </reference>
          <reference field="29" count="0" selected="0"/>
          <reference field="30" count="1">
            <x v="2"/>
          </reference>
        </references>
      </pivotArea>
    </format>
    <format dxfId="254">
      <pivotArea collapsedLevelsAreSubtotals="1" fieldPosition="0">
        <references count="4">
          <reference field="3" count="1" selected="0">
            <x v="1"/>
          </reference>
          <reference field="5" count="1" selected="0">
            <x v="1"/>
          </reference>
          <reference field="29" count="0" selected="0"/>
          <reference field="30" count="1">
            <x v="3"/>
          </reference>
        </references>
      </pivotArea>
    </format>
    <format dxfId="253">
      <pivotArea dataOnly="0" labelOnly="1" fieldPosition="0">
        <references count="4">
          <reference field="3" count="1" selected="0">
            <x v="1"/>
          </reference>
          <reference field="5" count="1" selected="0">
            <x v="1"/>
          </reference>
          <reference field="29" count="0" selected="0"/>
          <reference field="30" count="1">
            <x v="3"/>
          </reference>
        </references>
      </pivotArea>
    </format>
    <format dxfId="252">
      <pivotArea collapsedLevelsAreSubtotals="1" fieldPosition="0">
        <references count="4">
          <reference field="3" count="1" selected="0">
            <x v="1"/>
          </reference>
          <reference field="5" count="1" selected="0">
            <x v="2"/>
          </reference>
          <reference field="29" count="0" selected="0"/>
          <reference field="30" count="1">
            <x v="2"/>
          </reference>
        </references>
      </pivotArea>
    </format>
    <format dxfId="251">
      <pivotArea dataOnly="0" labelOnly="1" fieldPosition="0">
        <references count="4">
          <reference field="3" count="1" selected="0">
            <x v="1"/>
          </reference>
          <reference field="5" count="1" selected="0">
            <x v="2"/>
          </reference>
          <reference field="29" count="0" selected="0"/>
          <reference field="30" count="1">
            <x v="2"/>
          </reference>
        </references>
      </pivotArea>
    </format>
    <format dxfId="250">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249">
      <pivotArea dataOnly="0" labelOnly="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248">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247">
      <pivotArea dataOnly="0" labelOnly="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246">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245">
      <pivotArea dataOnly="0" labelOnly="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244">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243">
      <pivotArea dataOnly="0" labelOnly="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242">
      <pivotArea collapsedLevelsAreSubtotals="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241">
      <pivotArea dataOnly="0" labelOnly="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240">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239">
      <pivotArea dataOnly="0" labelOnly="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238">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237">
      <pivotArea dataOnly="0" labelOnly="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236">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235">
      <pivotArea dataOnly="0" labelOnly="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234">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233">
      <pivotArea dataOnly="0" labelOnly="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232">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231">
      <pivotArea dataOnly="0" labelOnly="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230">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229">
      <pivotArea dataOnly="0" labelOnly="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228">
      <pivotArea collapsedLevelsAreSubtotals="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227">
      <pivotArea dataOnly="0" labelOnly="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226">
      <pivotArea dataOnly="0" labelOnly="1" fieldPosition="0">
        <references count="1">
          <reference field="29" count="0"/>
        </references>
      </pivotArea>
    </format>
    <format dxfId="225">
      <pivotArea collapsedLevelsAreSubtotals="1" fieldPosition="0">
        <references count="1">
          <reference field="29" count="0"/>
        </references>
      </pivotArea>
    </format>
    <format dxfId="224">
      <pivotArea dataOnly="0" labelOnly="1" fieldPosition="0">
        <references count="1">
          <reference field="29" count="0"/>
        </references>
      </pivotArea>
    </format>
    <format dxfId="223">
      <pivotArea dataOnly="0" labelOnly="1" fieldPosition="0">
        <references count="1">
          <reference field="13" count="0"/>
        </references>
      </pivotArea>
    </format>
    <format dxfId="22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2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2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2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21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2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21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21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21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21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21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2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210">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20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2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2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2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2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2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2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2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2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20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19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1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1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19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19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194">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1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19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1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1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1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1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1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18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18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1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1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1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1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1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1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1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1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1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1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174">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17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17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17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1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1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1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1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1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1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1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1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16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16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1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1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1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1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1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1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1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1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152">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15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15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14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1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1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1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1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1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1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142">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14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140">
      <pivotArea dataOnly="0" labelOnly="1" fieldPosition="0">
        <references count="1">
          <reference field="11" count="0"/>
        </references>
      </pivotArea>
    </format>
    <format dxfId="139">
      <pivotArea dataOnly="0" labelOnly="1" fieldPosition="0">
        <references count="1">
          <reference field="11" count="0"/>
        </references>
      </pivotArea>
    </format>
    <format dxfId="138">
      <pivotArea dataOnly="0" labelOnly="1" fieldPosition="0">
        <references count="1">
          <reference field="13" count="0"/>
        </references>
      </pivotArea>
    </format>
    <format dxfId="137">
      <pivotArea dataOnly="0" labelOnly="1" fieldPosition="0">
        <references count="1">
          <reference field="13" count="0"/>
        </references>
      </pivotArea>
    </format>
    <format dxfId="136">
      <pivotArea dataOnly="0" labelOnly="1" fieldPosition="0">
        <references count="1">
          <reference field="31" count="0"/>
        </references>
      </pivotArea>
    </format>
    <format dxfId="135">
      <pivotArea dataOnly="0" labelOnly="1" fieldPosition="0">
        <references count="1">
          <reference field="31" count="0"/>
        </references>
      </pivotArea>
    </format>
    <format dxfId="1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99">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7">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6">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5">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4">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1" selected="0">
            <x v="7"/>
          </reference>
        </references>
      </pivotArea>
    </format>
    <format dxfId="9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1" selected="0">
            <x v="7"/>
          </reference>
        </references>
      </pivotArea>
    </format>
    <format dxfId="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1" selected="0">
            <x v="7"/>
          </reference>
        </references>
      </pivotArea>
    </format>
    <format dxfId="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1" selected="0">
            <x v="7"/>
          </reference>
        </references>
      </pivotArea>
    </format>
    <format dxfId="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1" selected="0">
            <x v="7"/>
          </reference>
        </references>
      </pivotArea>
    </format>
    <format dxfId="88">
      <pivotArea dataOnly="0" labelOnly="1" fieldPosition="0">
        <references count="1">
          <reference field="11" count="0"/>
        </references>
      </pivotArea>
    </format>
    <format dxfId="87">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86">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85">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84">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83">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82">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81">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80">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79">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7">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6">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5">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3">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72">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71">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70">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69">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68">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67">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66">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65">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64">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63">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62">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61">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60">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9">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7">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6">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5">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4">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3">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2">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1">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0">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49">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48">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47">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46">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45">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44">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43">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42">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41">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40">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39">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3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37">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36">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35">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34">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33">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32">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31">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30">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29">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8">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7">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6">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5">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3">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22">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21">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20">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19">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18">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17">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16">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5">
      <pivotArea outline="0" collapsedLevelsAreSubtotals="1" fieldPosition="0"/>
    </format>
    <format dxfId="14">
      <pivotArea type="all" dataOnly="0" outline="0" fieldPosition="0"/>
    </format>
    <format dxfId="13">
      <pivotArea outline="0" collapsedLevelsAreSubtotals="1" fieldPosition="0"/>
    </format>
    <format dxfId="12">
      <pivotArea field="30" type="button" dataOnly="0" labelOnly="1" outline="0" axis="axisRow" fieldPosition="0"/>
    </format>
    <format dxfId="11">
      <pivotArea dataOnly="0" labelOnly="1" grandRow="1" outline="0" fieldPosition="0"/>
    </format>
    <format dxfId="10">
      <pivotArea dataOnly="0" labelOnly="1" outline="0" fieldPosition="0">
        <references count="1">
          <reference field="4294967294" count="4">
            <x v="0"/>
            <x v="1"/>
            <x v="2"/>
            <x v="3"/>
          </reference>
        </references>
      </pivotArea>
    </format>
    <format dxfId="9">
      <pivotArea dataOnly="0" labelOnly="1" fieldPosition="0">
        <references count="1">
          <reference field="30" count="0"/>
        </references>
      </pivotArea>
    </format>
    <format dxfId="8">
      <pivotArea collapsedLevelsAreSubtotals="1" fieldPosition="0">
        <references count="1">
          <reference field="30" count="1">
            <x v="0"/>
          </reference>
        </references>
      </pivotArea>
    </format>
    <format dxfId="7">
      <pivotArea dataOnly="0" labelOnly="1" fieldPosition="0">
        <references count="1">
          <reference field="30" count="1">
            <x v="0"/>
          </reference>
        </references>
      </pivotArea>
    </format>
    <format dxfId="6">
      <pivotArea collapsedLevelsAreSubtotals="1" fieldPosition="0">
        <references count="1">
          <reference field="30" count="1">
            <x v="1"/>
          </reference>
        </references>
      </pivotArea>
    </format>
    <format dxfId="5">
      <pivotArea dataOnly="0" labelOnly="1" fieldPosition="0">
        <references count="1">
          <reference field="30" count="1">
            <x v="1"/>
          </reference>
        </references>
      </pivotArea>
    </format>
    <format dxfId="4">
      <pivotArea collapsedLevelsAreSubtotals="1" fieldPosition="0">
        <references count="1">
          <reference field="30" count="1">
            <x v="2"/>
          </reference>
        </references>
      </pivotArea>
    </format>
    <format dxfId="3">
      <pivotArea dataOnly="0" labelOnly="1" fieldPosition="0">
        <references count="1">
          <reference field="30" count="1">
            <x v="2"/>
          </reference>
        </references>
      </pivotArea>
    </format>
    <format dxfId="2">
      <pivotArea collapsedLevelsAreSubtotals="1" fieldPosition="0">
        <references count="1">
          <reference field="30" count="1">
            <x v="3"/>
          </reference>
        </references>
      </pivotArea>
    </format>
    <format dxfId="1">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539">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538">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537">
      <calculatedColumnFormula>_xlfn.TEXTJOIN(" - ",TRUE,Subkoord[[#This Row],[id]],Subkoord[[#This Row],[skrdklpk]])</calculatedColumnFormula>
    </tableColumn>
    <tableColumn id="7" xr3:uid="{BB0E08D1-7433-45E1-9A8E-F09478BEE345}" name="Koordinator" dataDxfId="536">
      <calculatedColumnFormula array="1">INDEX(Koord[Koordinator],MATCH(1,(Subkoord[[#This Row],[id2]]=Koord[id2])*(Subkoord[[#This Row],[id3]]=Koord[id]),0))</calculatedColumnFormula>
    </tableColumn>
    <tableColumn id="8" xr3:uid="{CE9A8D26-5115-4AB0-A0D6-173532BAC073}" name="Eselon2" dataDxfId="535">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531" dataDxfId="530" tableBorderDxfId="529">
  <autoFilter ref="B10:O170" xr:uid="{5439E600-4AE6-4A9C-BF96-1F8B4649EF5E}"/>
  <sortState xmlns:xlrd2="http://schemas.microsoft.com/office/spreadsheetml/2017/richdata2" ref="B11:O155">
    <sortCondition ref="C10:C155"/>
  </sortState>
  <tableColumns count="14">
    <tableColumn id="1" xr3:uid="{EA3EA993-E9B8-4175-AE78-56C2DE826084}" name="No" dataDxfId="528" totalsRowDxfId="527" dataCellStyle="Normal 4" totalsRowCellStyle="Normal 4"/>
    <tableColumn id="14" xr3:uid="{39BE1E11-4C0D-43C9-A7CF-CFD7B6D88EC1}" name="Urut" dataDxfId="526" totalsRowDxfId="525" dataCellStyle="Normal 4" totalsRowCellStyle="Normal 4"/>
    <tableColumn id="2" xr3:uid="{55765DF9-9B2D-49B2-8C10-51C6F4795A2B}" name="Nomor SP2D" dataDxfId="524" totalsRowDxfId="523" totalsRowCellStyle="Normal 4"/>
    <tableColumn id="3" xr3:uid="{95F2A4A6-178D-4D09-BEC2-A35DA9DD284C}" name="Tanggal SP2D" dataDxfId="522" totalsRowDxfId="521" totalsRowCellStyle="Normal 4"/>
    <tableColumn id="4" xr3:uid="{1BFC6E15-B107-44FC-880F-0FA398A70437}" name="Nilai SP2D" dataDxfId="520" totalsRowDxfId="519" dataCellStyle="Comma [0]" totalsRowCellStyle="Comma [0]"/>
    <tableColumn id="5" xr3:uid="{BA79B4B6-6D4D-4C40-A794-FBA956D546A8}" name="Jenis SPM" dataDxfId="518" totalsRowDxfId="517" totalsRowCellStyle="Normal 4"/>
    <tableColumn id="6" xr3:uid="{0728F6B3-877B-4801-849D-78A7FD394756}" name="Nomor Invoice" dataDxfId="516" totalsRowDxfId="515" totalsRowCellStyle="Normal 4"/>
    <tableColumn id="7" xr3:uid="{BC8C9A9E-906E-4F73-AA7C-36C21228DCD0}" name="Tanggal Invoice" dataDxfId="514" totalsRowDxfId="513" totalsRowCellStyle="Normal 4"/>
    <tableColumn id="8" xr3:uid="{4F370E97-CC92-41D4-B70A-C2C397F13E5F}" name="Jenis SP2D" dataDxfId="512" totalsRowDxfId="511" totalsRowCellStyle="Normal 4"/>
    <tableColumn id="9" xr3:uid="{5AB0F2BB-729E-4A36-99C2-531506F2E0D4}" name="Deskripsi" dataDxfId="510" totalsRowDxfId="509" totalsRowCellStyle="Normal 4"/>
    <tableColumn id="10" xr3:uid="{E9855FB4-726E-4E0F-A40E-89C5AF4CAAE7}" name="Bagian / Bidang" dataDxfId="508" totalsRowDxfId="507" dataCellStyle="Normal 4" totalsRowCellStyle="Normal 4"/>
    <tableColumn id="11" xr3:uid="{07CEE088-AC9A-406D-AECA-D9F23626D4D5}" name="Subbagian / Subbidang" dataDxfId="506" totalsRowDxfId="505" dataCellStyle="Normal 4" totalsRowCellStyle="Normal 4"/>
    <tableColumn id="13" xr3:uid="{7D701C80-B1AD-4D78-B3C3-525A71261916}" name="Status Realisasi" dataDxfId="504" dataCellStyle="Normal 4"/>
    <tableColumn id="12" xr3:uid="{BE916C21-2F59-4DE9-9BDF-707A1C1956B2}" name="all" dataDxfId="503"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24" t="s">
        <v>598</v>
      </c>
      <c r="C1" s="424"/>
      <c r="D1" s="424"/>
      <c r="E1" s="424"/>
      <c r="F1" s="424"/>
      <c r="G1" s="424"/>
      <c r="I1" s="9"/>
    </row>
    <row r="2" spans="1:10" x14ac:dyDescent="0.25">
      <c r="B2" s="425" t="s">
        <v>614</v>
      </c>
      <c r="C2" s="425"/>
      <c r="D2" s="425"/>
      <c r="E2" s="425"/>
      <c r="F2" s="425"/>
      <c r="G2" s="425"/>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26" t="s">
        <v>606</v>
      </c>
      <c r="C9" s="428" t="s">
        <v>607</v>
      </c>
      <c r="D9" s="429" t="s">
        <v>608</v>
      </c>
      <c r="E9" s="426" t="s">
        <v>609</v>
      </c>
      <c r="F9" s="429" t="s">
        <v>610</v>
      </c>
      <c r="G9" s="429" t="s">
        <v>611</v>
      </c>
      <c r="I9" s="14"/>
    </row>
    <row r="10" spans="1:10" s="16" customFormat="1" x14ac:dyDescent="0.25">
      <c r="A10" s="15" t="s">
        <v>499</v>
      </c>
      <c r="B10" s="427"/>
      <c r="C10" s="427"/>
      <c r="D10" s="427"/>
      <c r="E10" s="430"/>
      <c r="F10" s="427"/>
      <c r="G10" s="427"/>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21" t="s">
        <v>596</v>
      </c>
      <c r="J13" s="422" t="s">
        <v>597</v>
      </c>
    </row>
    <row r="14" spans="1:10" x14ac:dyDescent="0.25">
      <c r="A14" s="7" t="s">
        <v>199</v>
      </c>
      <c r="B14" s="25" t="s">
        <v>194</v>
      </c>
      <c r="C14" s="26" t="s">
        <v>2</v>
      </c>
      <c r="D14" s="25"/>
      <c r="E14" s="55"/>
      <c r="F14" s="27"/>
      <c r="G14" s="27">
        <v>1500000000</v>
      </c>
      <c r="I14" s="421"/>
      <c r="J14" s="422"/>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23"/>
      <c r="J22" s="423"/>
    </row>
    <row r="23" spans="1:10" x14ac:dyDescent="0.25">
      <c r="A23" s="7" t="s">
        <v>208</v>
      </c>
      <c r="B23" s="43" t="s">
        <v>195</v>
      </c>
      <c r="C23" s="44" t="s">
        <v>620</v>
      </c>
      <c r="D23" s="47">
        <v>1</v>
      </c>
      <c r="E23" s="61" t="s">
        <v>9</v>
      </c>
      <c r="F23" s="45">
        <v>1000000</v>
      </c>
      <c r="G23" s="45">
        <v>1000000</v>
      </c>
      <c r="I23" s="423"/>
      <c r="J23" s="423"/>
    </row>
    <row r="24" spans="1:10" x14ac:dyDescent="0.25">
      <c r="A24" s="7" t="s">
        <v>209</v>
      </c>
      <c r="B24" s="40" t="s">
        <v>516</v>
      </c>
      <c r="C24" s="41" t="s">
        <v>11</v>
      </c>
      <c r="D24" s="40"/>
      <c r="E24" s="60"/>
      <c r="F24" s="42"/>
      <c r="G24" s="42">
        <v>9000000</v>
      </c>
      <c r="I24" s="423"/>
      <c r="J24" s="423"/>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abSelected="1"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4" sqref="K4"/>
    </sheetView>
  </sheetViews>
  <sheetFormatPr defaultColWidth="9.109375" defaultRowHeight="13.2" x14ac:dyDescent="0.25"/>
  <cols>
    <col min="1" max="1" width="37.6640625" style="178" hidden="1" customWidth="1"/>
    <col min="2" max="2" width="20.33203125" style="173"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1" width="16.88671875" style="182" customWidth="1"/>
    <col min="12" max="12" width="19.33203125" style="117" customWidth="1"/>
    <col min="13" max="13" width="14" style="117" bestFit="1" customWidth="1"/>
    <col min="14" max="14" width="14.5546875" style="117" customWidth="1"/>
    <col min="15" max="16384" width="9.109375" style="117"/>
  </cols>
  <sheetData>
    <row r="1" spans="1:13" ht="15.6" x14ac:dyDescent="0.25">
      <c r="B1" s="424" t="s">
        <v>598</v>
      </c>
      <c r="C1" s="424"/>
      <c r="D1" s="424"/>
      <c r="E1" s="424"/>
      <c r="F1" s="424"/>
      <c r="G1" s="432"/>
      <c r="H1" s="332"/>
      <c r="I1" s="332"/>
      <c r="J1" s="332"/>
      <c r="K1" s="332"/>
    </row>
    <row r="2" spans="1:13" ht="15.6" x14ac:dyDescent="0.3">
      <c r="B2" s="433" t="s">
        <v>5025</v>
      </c>
      <c r="C2" s="433"/>
      <c r="D2" s="433"/>
      <c r="E2" s="433"/>
      <c r="F2" s="433"/>
      <c r="G2" s="434"/>
      <c r="H2" s="334"/>
      <c r="I2" s="334"/>
      <c r="J2" s="334"/>
      <c r="K2" s="334"/>
    </row>
    <row r="3" spans="1:13" ht="15.6" x14ac:dyDescent="0.3">
      <c r="B3" s="333"/>
      <c r="C3" s="333"/>
      <c r="D3" s="333"/>
      <c r="E3" s="333"/>
      <c r="F3" s="333"/>
      <c r="G3" s="334"/>
      <c r="H3" s="334"/>
      <c r="I3" s="334"/>
      <c r="J3" s="334"/>
      <c r="K3" s="334"/>
    </row>
    <row r="4" spans="1:13" ht="15" x14ac:dyDescent="0.25">
      <c r="B4" s="185" t="s">
        <v>599</v>
      </c>
      <c r="C4" s="185" t="s">
        <v>600</v>
      </c>
      <c r="D4" s="186"/>
      <c r="E4" s="186"/>
      <c r="F4" s="185"/>
      <c r="G4" s="187"/>
      <c r="H4" s="187"/>
      <c r="I4" s="187"/>
      <c r="J4" s="187"/>
      <c r="K4" s="187"/>
    </row>
    <row r="5" spans="1:13" ht="15" x14ac:dyDescent="0.25">
      <c r="B5" s="185" t="s">
        <v>601</v>
      </c>
      <c r="C5" s="185" t="s">
        <v>602</v>
      </c>
      <c r="D5" s="53"/>
      <c r="E5" s="53"/>
      <c r="F5" s="50"/>
      <c r="G5" s="143"/>
      <c r="H5" s="143"/>
      <c r="I5" s="143"/>
      <c r="J5" s="143"/>
      <c r="K5" s="143"/>
    </row>
    <row r="6" spans="1:13" ht="15" x14ac:dyDescent="0.25">
      <c r="B6" s="185" t="s">
        <v>603</v>
      </c>
      <c r="C6" s="185" t="s">
        <v>604</v>
      </c>
      <c r="D6" s="53"/>
      <c r="E6" s="53"/>
      <c r="F6" s="50"/>
      <c r="G6" s="143"/>
      <c r="H6" s="143"/>
      <c r="I6" s="143"/>
      <c r="J6" s="143"/>
      <c r="K6" s="143"/>
    </row>
    <row r="7" spans="1:13" ht="15.6" x14ac:dyDescent="0.3">
      <c r="B7" s="185" t="s">
        <v>605</v>
      </c>
      <c r="C7" s="188" t="str">
        <f>":  Rp. " &amp; TEXT(G12,"#.##")</f>
        <v>:  Rp. 6.478.996.000</v>
      </c>
      <c r="D7" s="53"/>
      <c r="E7" s="53"/>
      <c r="F7" s="50"/>
      <c r="G7" s="143"/>
      <c r="H7" s="143"/>
      <c r="I7" s="143"/>
      <c r="J7" s="143"/>
      <c r="K7" s="143"/>
    </row>
    <row r="8" spans="1:13" ht="15" x14ac:dyDescent="0.25">
      <c r="B8" s="189"/>
      <c r="C8" s="189"/>
      <c r="D8" s="189"/>
      <c r="E8" s="189"/>
      <c r="F8" s="189"/>
      <c r="G8" s="190"/>
      <c r="H8" s="190"/>
      <c r="I8" s="190"/>
      <c r="J8" s="190"/>
      <c r="K8" s="190"/>
    </row>
    <row r="9" spans="1:13" ht="15" customHeight="1" x14ac:dyDescent="0.25">
      <c r="B9" s="435" t="s">
        <v>606</v>
      </c>
      <c r="C9" s="436" t="s">
        <v>607</v>
      </c>
      <c r="D9" s="437" t="s">
        <v>608</v>
      </c>
      <c r="E9" s="435" t="s">
        <v>609</v>
      </c>
      <c r="F9" s="437" t="s">
        <v>610</v>
      </c>
      <c r="G9" s="431" t="s">
        <v>4650</v>
      </c>
      <c r="H9" s="431" t="s">
        <v>4651</v>
      </c>
      <c r="I9" s="431" t="s">
        <v>4648</v>
      </c>
      <c r="J9" s="431" t="s">
        <v>4652</v>
      </c>
      <c r="K9" s="431" t="s">
        <v>4648</v>
      </c>
    </row>
    <row r="10" spans="1:13" s="180" customFormat="1" ht="14.25" customHeight="1" x14ac:dyDescent="0.25">
      <c r="A10" s="179" t="s">
        <v>499</v>
      </c>
      <c r="B10" s="427"/>
      <c r="C10" s="427"/>
      <c r="D10" s="430"/>
      <c r="E10" s="430"/>
      <c r="F10" s="427"/>
      <c r="G10" s="427"/>
      <c r="H10" s="431"/>
      <c r="I10" s="431"/>
      <c r="J10" s="431"/>
      <c r="K10" s="431"/>
    </row>
    <row r="11" spans="1:13" s="180" customFormat="1" x14ac:dyDescent="0.25">
      <c r="A11" s="179"/>
      <c r="B11" s="176">
        <v>1</v>
      </c>
      <c r="C11" s="176">
        <v>2</v>
      </c>
      <c r="D11" s="176">
        <v>3</v>
      </c>
      <c r="E11" s="176">
        <v>4</v>
      </c>
      <c r="F11" s="176">
        <v>5</v>
      </c>
      <c r="G11" s="177">
        <v>6</v>
      </c>
      <c r="H11" s="176">
        <v>7</v>
      </c>
      <c r="I11" s="177">
        <v>8</v>
      </c>
      <c r="J11" s="176">
        <v>9</v>
      </c>
      <c r="K11" s="177">
        <v>10</v>
      </c>
    </row>
    <row r="12" spans="1:13" s="180" customFormat="1" x14ac:dyDescent="0.25">
      <c r="A12" s="179"/>
      <c r="B12" s="127"/>
      <c r="C12" s="128" t="s">
        <v>613</v>
      </c>
      <c r="D12" s="129"/>
      <c r="E12" s="130"/>
      <c r="F12" s="129"/>
      <c r="G12" s="175">
        <f t="shared" ref="G12:H14" si="0">G13</f>
        <v>6478996000</v>
      </c>
      <c r="H12" s="210">
        <f t="shared" si="0"/>
        <v>2186906895</v>
      </c>
      <c r="I12" s="337">
        <f t="shared" ref="I12:I17" si="1">H12/G12*100</f>
        <v>33.753792948784039</v>
      </c>
      <c r="J12" s="175">
        <f t="shared" ref="J12:J17" si="2">G12-H12</f>
        <v>4292089105</v>
      </c>
      <c r="K12" s="337">
        <f t="shared" ref="K12:K17" si="3">J12/G12*100</f>
        <v>66.246207051215961</v>
      </c>
    </row>
    <row r="13" spans="1:13" ht="13.8" x14ac:dyDescent="0.25">
      <c r="A13" s="7" t="s">
        <v>0</v>
      </c>
      <c r="B13" s="192" t="s">
        <v>0</v>
      </c>
      <c r="C13" s="191" t="s">
        <v>1</v>
      </c>
      <c r="D13" s="192"/>
      <c r="E13" s="192"/>
      <c r="F13" s="193"/>
      <c r="G13" s="193">
        <f t="shared" si="0"/>
        <v>6478996000</v>
      </c>
      <c r="H13" s="338">
        <f t="shared" si="0"/>
        <v>2186906895</v>
      </c>
      <c r="I13" s="337">
        <f t="shared" si="1"/>
        <v>33.753792948784039</v>
      </c>
      <c r="J13" s="175">
        <f t="shared" si="2"/>
        <v>4292089105</v>
      </c>
      <c r="K13" s="337">
        <f t="shared" si="3"/>
        <v>66.246207051215961</v>
      </c>
    </row>
    <row r="14" spans="1:13" ht="13.8" x14ac:dyDescent="0.25">
      <c r="A14" s="7" t="s">
        <v>1699</v>
      </c>
      <c r="B14" s="192" t="s">
        <v>3986</v>
      </c>
      <c r="C14" s="191" t="s">
        <v>1701</v>
      </c>
      <c r="D14" s="192">
        <v>1</v>
      </c>
      <c r="E14" s="192" t="s">
        <v>3740</v>
      </c>
      <c r="F14" s="193"/>
      <c r="G14" s="193">
        <f t="shared" si="0"/>
        <v>6478996000</v>
      </c>
      <c r="H14" s="339">
        <f t="shared" si="0"/>
        <v>2186906895</v>
      </c>
      <c r="I14" s="337">
        <f t="shared" si="1"/>
        <v>33.753792948784039</v>
      </c>
      <c r="J14" s="175">
        <f t="shared" si="2"/>
        <v>4292089105</v>
      </c>
      <c r="K14" s="337">
        <f t="shared" si="3"/>
        <v>66.246207051215961</v>
      </c>
    </row>
    <row r="15" spans="1:13" ht="13.8" x14ac:dyDescent="0.25">
      <c r="A15" s="7" t="s">
        <v>1702</v>
      </c>
      <c r="B15" s="195" t="s">
        <v>501</v>
      </c>
      <c r="C15" s="194" t="s">
        <v>76</v>
      </c>
      <c r="D15" s="195"/>
      <c r="E15" s="195"/>
      <c r="F15" s="196"/>
      <c r="G15" s="196">
        <f>SUM(G16,G55)</f>
        <v>6478996000</v>
      </c>
      <c r="H15" s="340">
        <f>SUM(H16,H55)</f>
        <v>2186906895</v>
      </c>
      <c r="I15" s="337">
        <f t="shared" si="1"/>
        <v>33.753792948784039</v>
      </c>
      <c r="J15" s="175">
        <f t="shared" si="2"/>
        <v>4292089105</v>
      </c>
      <c r="K15" s="337">
        <f t="shared" si="3"/>
        <v>66.246207051215961</v>
      </c>
    </row>
    <row r="16" spans="1:13" ht="13.8" x14ac:dyDescent="0.25">
      <c r="A16" s="7" t="s">
        <v>1806</v>
      </c>
      <c r="B16" s="192" t="s">
        <v>1807</v>
      </c>
      <c r="C16" s="191" t="s">
        <v>1808</v>
      </c>
      <c r="D16" s="192"/>
      <c r="E16" s="192"/>
      <c r="F16" s="193"/>
      <c r="G16" s="193">
        <f>SUM(G17,G21,G25,G29,G33,G37,G41,G45,G47,G49,G53)</f>
        <v>6155047000</v>
      </c>
      <c r="H16" s="339">
        <f>H17+H21+H25+H29+H33+H37+H41+H45+H47+H49+H53</f>
        <v>2186906895</v>
      </c>
      <c r="I16" s="337">
        <f t="shared" si="1"/>
        <v>35.53030374910216</v>
      </c>
      <c r="J16" s="175">
        <f t="shared" si="2"/>
        <v>3968140105</v>
      </c>
      <c r="K16" s="337">
        <f t="shared" si="3"/>
        <v>64.46969625089784</v>
      </c>
      <c r="L16" s="343">
        <v>210863345</v>
      </c>
      <c r="M16" s="344">
        <f>H16-L16</f>
        <v>1976043550</v>
      </c>
    </row>
    <row r="17" spans="1:13" ht="13.8" x14ac:dyDescent="0.25">
      <c r="A17" s="7" t="s">
        <v>1809</v>
      </c>
      <c r="B17" s="192">
        <v>511111</v>
      </c>
      <c r="C17" s="191" t="s">
        <v>77</v>
      </c>
      <c r="D17" s="192"/>
      <c r="E17" s="192"/>
      <c r="F17" s="193"/>
      <c r="G17" s="193">
        <f>SUM(G18:G20)</f>
        <v>2483477000</v>
      </c>
      <c r="H17" s="339">
        <v>1010194000</v>
      </c>
      <c r="I17" s="337">
        <f t="shared" si="1"/>
        <v>40.676599783287706</v>
      </c>
      <c r="J17" s="175">
        <f t="shared" si="2"/>
        <v>1473283000</v>
      </c>
      <c r="K17" s="337">
        <f t="shared" si="3"/>
        <v>59.323400216712294</v>
      </c>
      <c r="L17" s="344">
        <f>H17-'[4]PER BULAN'!$AQ$234</f>
        <v>165522900</v>
      </c>
      <c r="M17" s="344"/>
    </row>
    <row r="18" spans="1:13" ht="13.8" hidden="1" x14ac:dyDescent="0.25">
      <c r="A18" s="7" t="s">
        <v>1810</v>
      </c>
      <c r="B18" s="152"/>
      <c r="C18" s="151" t="s">
        <v>3987</v>
      </c>
      <c r="D18" s="152">
        <v>1</v>
      </c>
      <c r="E18" s="152" t="s">
        <v>97</v>
      </c>
      <c r="F18" s="153">
        <v>180000000</v>
      </c>
      <c r="G18" s="153">
        <f>ROUNDDOWN(D18*F18,-3)</f>
        <v>180000000</v>
      </c>
      <c r="H18" s="336"/>
      <c r="I18" s="153"/>
      <c r="J18" s="153"/>
      <c r="K18" s="153"/>
    </row>
    <row r="19" spans="1:13" ht="13.8" hidden="1" x14ac:dyDescent="0.25">
      <c r="A19" s="7" t="s">
        <v>1811</v>
      </c>
      <c r="B19" s="152"/>
      <c r="C19" s="151" t="s">
        <v>3988</v>
      </c>
      <c r="D19" s="152">
        <v>1</v>
      </c>
      <c r="E19" s="152" t="s">
        <v>60</v>
      </c>
      <c r="F19" s="153">
        <v>2123477000</v>
      </c>
      <c r="G19" s="153">
        <f>ROUNDDOWN(D19*F19,-3)</f>
        <v>2123477000</v>
      </c>
      <c r="H19" s="336"/>
      <c r="I19" s="153"/>
      <c r="J19" s="153"/>
      <c r="K19" s="153"/>
    </row>
    <row r="20" spans="1:13" ht="13.8" hidden="1" x14ac:dyDescent="0.25">
      <c r="A20" s="7" t="s">
        <v>1812</v>
      </c>
      <c r="B20" s="152"/>
      <c r="C20" s="151" t="s">
        <v>3989</v>
      </c>
      <c r="D20" s="152">
        <v>1</v>
      </c>
      <c r="E20" s="152" t="s">
        <v>97</v>
      </c>
      <c r="F20" s="153">
        <v>180000000</v>
      </c>
      <c r="G20" s="153">
        <f>ROUNDDOWN(D20*F20,-3)</f>
        <v>180000000</v>
      </c>
      <c r="H20" s="336"/>
      <c r="I20" s="153"/>
      <c r="J20" s="153"/>
      <c r="K20" s="153"/>
    </row>
    <row r="21" spans="1:13" ht="13.8" x14ac:dyDescent="0.25">
      <c r="A21" s="7" t="s">
        <v>1813</v>
      </c>
      <c r="B21" s="192">
        <v>511119</v>
      </c>
      <c r="C21" s="191" t="s">
        <v>79</v>
      </c>
      <c r="D21" s="192"/>
      <c r="E21" s="192"/>
      <c r="F21" s="193"/>
      <c r="G21" s="193">
        <f>SUM(G22:G24)</f>
        <v>38000</v>
      </c>
      <c r="H21" s="339">
        <v>15786</v>
      </c>
      <c r="I21" s="337">
        <f>H21/G21*100</f>
        <v>41.5421052631579</v>
      </c>
      <c r="J21" s="175">
        <f>G21-H21</f>
        <v>22214</v>
      </c>
      <c r="K21" s="337">
        <f>J21/G21*100</f>
        <v>58.457894736842107</v>
      </c>
      <c r="L21" s="344">
        <f>H21-'[4]PER BULAN'!$AQ$235</f>
        <v>2454</v>
      </c>
    </row>
    <row r="22" spans="1:13" ht="13.8" hidden="1" x14ac:dyDescent="0.25">
      <c r="A22" s="7" t="s">
        <v>1814</v>
      </c>
      <c r="B22" s="152"/>
      <c r="C22" s="151" t="s">
        <v>3990</v>
      </c>
      <c r="D22" s="152">
        <v>1</v>
      </c>
      <c r="E22" s="152" t="s">
        <v>97</v>
      </c>
      <c r="F22" s="153">
        <v>3000</v>
      </c>
      <c r="G22" s="153">
        <f>ROUNDDOWN(D22*F22,-3)</f>
        <v>3000</v>
      </c>
      <c r="H22" s="336"/>
      <c r="I22" s="153"/>
      <c r="J22" s="153"/>
      <c r="K22" s="153"/>
    </row>
    <row r="23" spans="1:13" ht="13.8" hidden="1" x14ac:dyDescent="0.25">
      <c r="A23" s="7" t="s">
        <v>1815</v>
      </c>
      <c r="B23" s="152"/>
      <c r="C23" s="151" t="s">
        <v>3991</v>
      </c>
      <c r="D23" s="152">
        <v>1</v>
      </c>
      <c r="E23" s="152" t="s">
        <v>153</v>
      </c>
      <c r="F23" s="153">
        <v>32000</v>
      </c>
      <c r="G23" s="153">
        <f>ROUNDDOWN(D23*F23,-3)</f>
        <v>32000</v>
      </c>
      <c r="H23" s="336"/>
      <c r="I23" s="153"/>
      <c r="J23" s="153"/>
      <c r="K23" s="153"/>
    </row>
    <row r="24" spans="1:13" ht="13.8" hidden="1" x14ac:dyDescent="0.25">
      <c r="A24" s="7" t="s">
        <v>1816</v>
      </c>
      <c r="B24" s="152"/>
      <c r="C24" s="151" t="s">
        <v>3992</v>
      </c>
      <c r="D24" s="152">
        <v>1</v>
      </c>
      <c r="E24" s="152" t="s">
        <v>97</v>
      </c>
      <c r="F24" s="153">
        <v>3000</v>
      </c>
      <c r="G24" s="153">
        <f>ROUNDDOWN(D24*F24,-3)</f>
        <v>3000</v>
      </c>
      <c r="H24" s="336"/>
      <c r="I24" s="153"/>
      <c r="J24" s="153"/>
      <c r="K24" s="153"/>
    </row>
    <row r="25" spans="1:13" ht="13.8" x14ac:dyDescent="0.25">
      <c r="A25" s="7" t="s">
        <v>1817</v>
      </c>
      <c r="B25" s="192">
        <v>511121</v>
      </c>
      <c r="C25" s="191" t="s">
        <v>80</v>
      </c>
      <c r="D25" s="192"/>
      <c r="E25" s="192"/>
      <c r="F25" s="193"/>
      <c r="G25" s="193">
        <f>SUM(G26:G28)</f>
        <v>171959000</v>
      </c>
      <c r="H25" s="339">
        <v>65751610</v>
      </c>
      <c r="I25" s="337">
        <f>H25/G25*100</f>
        <v>38.236794817369258</v>
      </c>
      <c r="J25" s="175">
        <f>G25-H25</f>
        <v>106207390</v>
      </c>
      <c r="K25" s="337">
        <f>J25/G25*100</f>
        <v>61.763205182630742</v>
      </c>
      <c r="L25" s="344">
        <f>H25-'[4]PER BULAN'!$AQ$236</f>
        <v>10849200</v>
      </c>
    </row>
    <row r="26" spans="1:13" ht="13.8" hidden="1" x14ac:dyDescent="0.25">
      <c r="A26" s="7" t="s">
        <v>1818</v>
      </c>
      <c r="B26" s="152"/>
      <c r="C26" s="151" t="s">
        <v>3993</v>
      </c>
      <c r="D26" s="152">
        <v>1</v>
      </c>
      <c r="E26" s="152" t="s">
        <v>153</v>
      </c>
      <c r="F26" s="153">
        <v>147267000</v>
      </c>
      <c r="G26" s="153">
        <f>ROUNDDOWN(D26*F26,-3)</f>
        <v>147267000</v>
      </c>
      <c r="H26" s="336"/>
      <c r="I26" s="153"/>
      <c r="J26" s="153"/>
      <c r="K26" s="153"/>
    </row>
    <row r="27" spans="1:13" ht="13.8" hidden="1" x14ac:dyDescent="0.25">
      <c r="A27" s="7" t="s">
        <v>1819</v>
      </c>
      <c r="B27" s="152"/>
      <c r="C27" s="151" t="s">
        <v>3994</v>
      </c>
      <c r="D27" s="152">
        <v>1</v>
      </c>
      <c r="E27" s="152" t="s">
        <v>97</v>
      </c>
      <c r="F27" s="153">
        <v>12494000</v>
      </c>
      <c r="G27" s="153">
        <f>ROUNDDOWN(D27*F27,-3)</f>
        <v>12494000</v>
      </c>
      <c r="H27" s="336"/>
      <c r="I27" s="153"/>
      <c r="J27" s="153"/>
      <c r="K27" s="153"/>
    </row>
    <row r="28" spans="1:13" ht="13.8" hidden="1" x14ac:dyDescent="0.25">
      <c r="A28" s="7" t="s">
        <v>1820</v>
      </c>
      <c r="B28" s="152"/>
      <c r="C28" s="151" t="s">
        <v>3995</v>
      </c>
      <c r="D28" s="152">
        <v>1</v>
      </c>
      <c r="E28" s="152" t="s">
        <v>97</v>
      </c>
      <c r="F28" s="153">
        <v>12198000</v>
      </c>
      <c r="G28" s="153">
        <f>ROUNDDOWN(D28*F28,-3)</f>
        <v>12198000</v>
      </c>
      <c r="H28" s="336"/>
      <c r="I28" s="153"/>
      <c r="J28" s="153"/>
      <c r="K28" s="153"/>
    </row>
    <row r="29" spans="1:13" ht="13.8" x14ac:dyDescent="0.25">
      <c r="A29" s="7" t="s">
        <v>1821</v>
      </c>
      <c r="B29" s="192">
        <v>511122</v>
      </c>
      <c r="C29" s="191" t="s">
        <v>81</v>
      </c>
      <c r="D29" s="192"/>
      <c r="E29" s="192"/>
      <c r="F29" s="193"/>
      <c r="G29" s="193">
        <f>SUM(G30:G32)</f>
        <v>46700000</v>
      </c>
      <c r="H29" s="339">
        <v>19499258</v>
      </c>
      <c r="I29" s="337">
        <f>H29/G29*100</f>
        <v>41.754299785867239</v>
      </c>
      <c r="J29" s="175">
        <f>G29-H29</f>
        <v>27200742</v>
      </c>
      <c r="K29" s="337">
        <f>J29/G29*100</f>
        <v>58.245700214132768</v>
      </c>
      <c r="L29" s="344">
        <f>H29-'[4]PER BULAN'!$AQ$237</f>
        <v>3260746</v>
      </c>
    </row>
    <row r="30" spans="1:13" ht="13.8" hidden="1" x14ac:dyDescent="0.25">
      <c r="A30" s="7" t="s">
        <v>1822</v>
      </c>
      <c r="B30" s="152"/>
      <c r="C30" s="151" t="s">
        <v>3996</v>
      </c>
      <c r="D30" s="152">
        <v>1</v>
      </c>
      <c r="E30" s="152" t="s">
        <v>97</v>
      </c>
      <c r="F30" s="153">
        <v>3282000</v>
      </c>
      <c r="G30" s="153">
        <f>ROUNDDOWN(D30*F30,-3)</f>
        <v>3282000</v>
      </c>
      <c r="H30" s="336"/>
      <c r="I30" s="153"/>
      <c r="J30" s="153"/>
      <c r="K30" s="153"/>
    </row>
    <row r="31" spans="1:13" ht="13.8" hidden="1" x14ac:dyDescent="0.25">
      <c r="A31" s="7" t="s">
        <v>1823</v>
      </c>
      <c r="B31" s="152"/>
      <c r="C31" s="151" t="s">
        <v>3997</v>
      </c>
      <c r="D31" s="152">
        <v>1</v>
      </c>
      <c r="E31" s="152" t="s">
        <v>153</v>
      </c>
      <c r="F31" s="153">
        <v>40080000</v>
      </c>
      <c r="G31" s="153">
        <f>ROUNDDOWN(D31*F31,-3)</f>
        <v>40080000</v>
      </c>
      <c r="H31" s="336"/>
      <c r="I31" s="153"/>
      <c r="J31" s="153"/>
      <c r="K31" s="153"/>
    </row>
    <row r="32" spans="1:13" ht="13.8" hidden="1" x14ac:dyDescent="0.25">
      <c r="A32" s="7" t="s">
        <v>1824</v>
      </c>
      <c r="B32" s="152"/>
      <c r="C32" s="151" t="s">
        <v>3998</v>
      </c>
      <c r="D32" s="152">
        <v>1</v>
      </c>
      <c r="E32" s="152" t="s">
        <v>97</v>
      </c>
      <c r="F32" s="153">
        <v>3338000</v>
      </c>
      <c r="G32" s="153">
        <f>ROUNDDOWN(D32*F32,-3)</f>
        <v>3338000</v>
      </c>
      <c r="H32" s="336"/>
      <c r="I32" s="153"/>
      <c r="J32" s="153"/>
      <c r="K32" s="153"/>
    </row>
    <row r="33" spans="1:12" ht="13.8" x14ac:dyDescent="0.25">
      <c r="A33" s="7" t="s">
        <v>1825</v>
      </c>
      <c r="B33" s="192">
        <v>511123</v>
      </c>
      <c r="C33" s="191" t="s">
        <v>82</v>
      </c>
      <c r="D33" s="192"/>
      <c r="E33" s="192"/>
      <c r="F33" s="193"/>
      <c r="G33" s="193">
        <f>SUM(G34:G36)</f>
        <v>158000000</v>
      </c>
      <c r="H33" s="339">
        <v>58380000</v>
      </c>
      <c r="I33" s="337">
        <f>H33/G33*100</f>
        <v>36.949367088607595</v>
      </c>
      <c r="J33" s="175">
        <f>G33-H33</f>
        <v>99620000</v>
      </c>
      <c r="K33" s="337">
        <f>J33/G33*100</f>
        <v>63.050632911392398</v>
      </c>
      <c r="L33" s="344">
        <f>H33-'[4]PER BULAN'!$AQ$238</f>
        <v>9718696</v>
      </c>
    </row>
    <row r="34" spans="1:12" ht="13.8" hidden="1" x14ac:dyDescent="0.25">
      <c r="A34" s="7" t="s">
        <v>1826</v>
      </c>
      <c r="B34" s="152"/>
      <c r="C34" s="151" t="s">
        <v>3999</v>
      </c>
      <c r="D34" s="152">
        <v>1</v>
      </c>
      <c r="E34" s="152" t="s">
        <v>97</v>
      </c>
      <c r="F34" s="153">
        <v>12070000</v>
      </c>
      <c r="G34" s="153">
        <f>ROUNDDOWN(D34*F34,-3)</f>
        <v>12070000</v>
      </c>
      <c r="H34" s="336"/>
      <c r="I34" s="153"/>
      <c r="J34" s="153"/>
      <c r="K34" s="153"/>
    </row>
    <row r="35" spans="1:12" ht="13.8" hidden="1" x14ac:dyDescent="0.25">
      <c r="A35" s="7" t="s">
        <v>1827</v>
      </c>
      <c r="B35" s="152"/>
      <c r="C35" s="151" t="s">
        <v>4000</v>
      </c>
      <c r="D35" s="152">
        <v>1</v>
      </c>
      <c r="E35" s="152" t="s">
        <v>60</v>
      </c>
      <c r="F35" s="153">
        <v>133860000</v>
      </c>
      <c r="G35" s="153">
        <f>ROUNDDOWN(D35*F35,-3)</f>
        <v>133860000</v>
      </c>
      <c r="H35" s="336"/>
      <c r="I35" s="153"/>
      <c r="J35" s="153"/>
      <c r="K35" s="153"/>
    </row>
    <row r="36" spans="1:12" ht="13.8" hidden="1" x14ac:dyDescent="0.25">
      <c r="A36" s="7" t="s">
        <v>1828</v>
      </c>
      <c r="B36" s="152"/>
      <c r="C36" s="151" t="s">
        <v>4001</v>
      </c>
      <c r="D36" s="152">
        <v>1</v>
      </c>
      <c r="E36" s="152" t="s">
        <v>97</v>
      </c>
      <c r="F36" s="153">
        <v>12070000</v>
      </c>
      <c r="G36" s="153">
        <f>ROUNDDOWN(D36*F36,-3)</f>
        <v>12070000</v>
      </c>
      <c r="H36" s="336"/>
      <c r="I36" s="153"/>
      <c r="J36" s="153"/>
      <c r="K36" s="153"/>
    </row>
    <row r="37" spans="1:12" ht="13.8" x14ac:dyDescent="0.25">
      <c r="A37" s="7" t="s">
        <v>1829</v>
      </c>
      <c r="B37" s="192">
        <v>511124</v>
      </c>
      <c r="C37" s="191" t="s">
        <v>83</v>
      </c>
      <c r="D37" s="192"/>
      <c r="E37" s="192"/>
      <c r="F37" s="193"/>
      <c r="G37" s="193">
        <f>SUM(G38:G40)</f>
        <v>48180000</v>
      </c>
      <c r="H37" s="339">
        <v>28515000</v>
      </c>
      <c r="I37" s="337">
        <f>H37/G37*100</f>
        <v>59.184308841843091</v>
      </c>
      <c r="J37" s="175">
        <f>G37-H37</f>
        <v>19665000</v>
      </c>
      <c r="K37" s="337">
        <f>J37/G37*100</f>
        <v>40.815691158156916</v>
      </c>
      <c r="L37" s="344">
        <f>H37-'[4]PER BULAN'!$AQ$239</f>
        <v>4807000</v>
      </c>
    </row>
    <row r="38" spans="1:12" ht="13.8" hidden="1" x14ac:dyDescent="0.25">
      <c r="A38" s="7" t="s">
        <v>1830</v>
      </c>
      <c r="B38" s="152"/>
      <c r="C38" s="151" t="s">
        <v>4002</v>
      </c>
      <c r="D38" s="152">
        <v>1</v>
      </c>
      <c r="E38" s="152" t="s">
        <v>97</v>
      </c>
      <c r="F38" s="153">
        <v>2000000</v>
      </c>
      <c r="G38" s="153">
        <f>ROUNDDOWN(D38*F38,-3)</f>
        <v>2000000</v>
      </c>
      <c r="H38" s="336"/>
      <c r="I38" s="153"/>
      <c r="J38" s="153"/>
      <c r="K38" s="153"/>
    </row>
    <row r="39" spans="1:12" ht="13.8" hidden="1" x14ac:dyDescent="0.25">
      <c r="A39" s="7" t="s">
        <v>1831</v>
      </c>
      <c r="B39" s="152"/>
      <c r="C39" s="151" t="s">
        <v>4003</v>
      </c>
      <c r="D39" s="152">
        <v>1</v>
      </c>
      <c r="E39" s="152" t="s">
        <v>60</v>
      </c>
      <c r="F39" s="153">
        <v>44180000</v>
      </c>
      <c r="G39" s="153">
        <f>ROUNDDOWN(D39*F39,-3)</f>
        <v>44180000</v>
      </c>
      <c r="H39" s="336"/>
      <c r="I39" s="153"/>
      <c r="J39" s="153"/>
      <c r="K39" s="153"/>
    </row>
    <row r="40" spans="1:12" ht="13.8" hidden="1" x14ac:dyDescent="0.25">
      <c r="A40" s="7" t="s">
        <v>1832</v>
      </c>
      <c r="B40" s="152"/>
      <c r="C40" s="151" t="s">
        <v>4004</v>
      </c>
      <c r="D40" s="152">
        <v>1</v>
      </c>
      <c r="E40" s="152" t="s">
        <v>97</v>
      </c>
      <c r="F40" s="153">
        <v>2000000</v>
      </c>
      <c r="G40" s="153">
        <f>ROUNDDOWN(D40*F40,-3)</f>
        <v>2000000</v>
      </c>
      <c r="H40" s="336"/>
      <c r="I40" s="153"/>
      <c r="J40" s="153"/>
      <c r="K40" s="153"/>
    </row>
    <row r="41" spans="1:12" ht="13.8" x14ac:dyDescent="0.25">
      <c r="A41" s="7" t="s">
        <v>1833</v>
      </c>
      <c r="B41" s="192">
        <v>511125</v>
      </c>
      <c r="C41" s="191" t="s">
        <v>84</v>
      </c>
      <c r="D41" s="192"/>
      <c r="E41" s="192"/>
      <c r="F41" s="193"/>
      <c r="G41" s="193">
        <f>SUM(G42:G44)</f>
        <v>13133000</v>
      </c>
      <c r="H41" s="339">
        <v>4084719</v>
      </c>
      <c r="I41" s="337">
        <f>H41/G41*100</f>
        <v>31.102710728698696</v>
      </c>
      <c r="J41" s="175">
        <f>G41-H41</f>
        <v>9048281</v>
      </c>
      <c r="K41" s="337">
        <f>J41/G41*100</f>
        <v>68.897289271301304</v>
      </c>
      <c r="L41" s="344">
        <f>H41-'[4]PER BULAN'!$AQ$240</f>
        <v>273209</v>
      </c>
    </row>
    <row r="42" spans="1:12" ht="13.8" hidden="1" x14ac:dyDescent="0.25">
      <c r="A42" s="7" t="s">
        <v>1834</v>
      </c>
      <c r="B42" s="152"/>
      <c r="C42" s="151" t="s">
        <v>4005</v>
      </c>
      <c r="D42" s="152">
        <v>1</v>
      </c>
      <c r="E42" s="152" t="s">
        <v>97</v>
      </c>
      <c r="F42" s="153">
        <v>3360000</v>
      </c>
      <c r="G42" s="153">
        <f>ROUNDDOWN(D42*F42,-3)</f>
        <v>3360000</v>
      </c>
      <c r="H42" s="336"/>
      <c r="I42" s="153"/>
      <c r="J42" s="153"/>
      <c r="K42" s="153"/>
    </row>
    <row r="43" spans="1:12" ht="13.8" hidden="1" x14ac:dyDescent="0.25">
      <c r="A43" s="7" t="s">
        <v>1835</v>
      </c>
      <c r="B43" s="152"/>
      <c r="C43" s="151" t="s">
        <v>4006</v>
      </c>
      <c r="D43" s="152">
        <v>1</v>
      </c>
      <c r="E43" s="152" t="s">
        <v>153</v>
      </c>
      <c r="F43" s="153">
        <v>6407000</v>
      </c>
      <c r="G43" s="153">
        <f>ROUNDDOWN(D43*F43,-3)</f>
        <v>6407000</v>
      </c>
      <c r="H43" s="336"/>
      <c r="I43" s="153"/>
      <c r="J43" s="153"/>
      <c r="K43" s="153"/>
    </row>
    <row r="44" spans="1:12" ht="13.8" hidden="1" x14ac:dyDescent="0.25">
      <c r="A44" s="7" t="s">
        <v>1836</v>
      </c>
      <c r="B44" s="152"/>
      <c r="C44" s="151" t="s">
        <v>4007</v>
      </c>
      <c r="D44" s="152">
        <v>1</v>
      </c>
      <c r="E44" s="152" t="s">
        <v>97</v>
      </c>
      <c r="F44" s="153">
        <v>3366000</v>
      </c>
      <c r="G44" s="153">
        <f>ROUNDDOWN(D44*F44,-3)</f>
        <v>3366000</v>
      </c>
      <c r="H44" s="336"/>
      <c r="I44" s="153"/>
      <c r="J44" s="153"/>
      <c r="K44" s="153"/>
    </row>
    <row r="45" spans="1:12" ht="13.8" x14ac:dyDescent="0.25">
      <c r="A45" s="7" t="s">
        <v>1837</v>
      </c>
      <c r="B45" s="192">
        <v>511126</v>
      </c>
      <c r="C45" s="191" t="s">
        <v>85</v>
      </c>
      <c r="D45" s="192"/>
      <c r="E45" s="192"/>
      <c r="F45" s="193"/>
      <c r="G45" s="193">
        <f>G46</f>
        <v>130333000</v>
      </c>
      <c r="H45" s="339">
        <v>44248620</v>
      </c>
      <c r="I45" s="337">
        <f>H45/G45*100</f>
        <v>33.950434655843111</v>
      </c>
      <c r="J45" s="175">
        <f>G45-H45</f>
        <v>86084380</v>
      </c>
      <c r="K45" s="337">
        <f>J45/G45*100</f>
        <v>66.049565344156889</v>
      </c>
      <c r="L45" s="344">
        <f>H45-'[4]PER BULAN'!$AQ$241</f>
        <v>8835240</v>
      </c>
    </row>
    <row r="46" spans="1:12" ht="13.8" hidden="1" x14ac:dyDescent="0.25">
      <c r="A46" s="7" t="s">
        <v>1838</v>
      </c>
      <c r="B46" s="152"/>
      <c r="C46" s="151" t="s">
        <v>4008</v>
      </c>
      <c r="D46" s="152">
        <v>1</v>
      </c>
      <c r="E46" s="152" t="s">
        <v>60</v>
      </c>
      <c r="F46" s="153">
        <v>130333000</v>
      </c>
      <c r="G46" s="153">
        <f>ROUNDDOWN(D46*F46,-3)</f>
        <v>130333000</v>
      </c>
      <c r="H46" s="336"/>
      <c r="I46" s="153"/>
      <c r="J46" s="153"/>
      <c r="K46" s="153"/>
    </row>
    <row r="47" spans="1:12" ht="13.8" x14ac:dyDescent="0.25">
      <c r="A47" s="7" t="s">
        <v>1839</v>
      </c>
      <c r="B47" s="192">
        <v>511129</v>
      </c>
      <c r="C47" s="191" t="s">
        <v>86</v>
      </c>
      <c r="D47" s="192"/>
      <c r="E47" s="192"/>
      <c r="F47" s="193"/>
      <c r="G47" s="193">
        <f>G48</f>
        <v>379379000</v>
      </c>
      <c r="H47" s="339">
        <v>83417000</v>
      </c>
      <c r="I47" s="337">
        <f>H47/G47*100</f>
        <v>21.987774758223306</v>
      </c>
      <c r="J47" s="175">
        <f>G47-H47</f>
        <v>295962000</v>
      </c>
      <c r="K47" s="337">
        <f>J47/G47*100</f>
        <v>78.01222524177669</v>
      </c>
      <c r="L47" s="344">
        <f>H47-'[4]PER BULAN'!$AQ$242</f>
        <v>-185000</v>
      </c>
    </row>
    <row r="48" spans="1:12" ht="13.8" hidden="1" x14ac:dyDescent="0.25">
      <c r="A48" s="7" t="s">
        <v>1840</v>
      </c>
      <c r="B48" s="152"/>
      <c r="C48" s="151" t="s">
        <v>4009</v>
      </c>
      <c r="D48" s="152">
        <v>1</v>
      </c>
      <c r="E48" s="152" t="s">
        <v>153</v>
      </c>
      <c r="F48" s="153">
        <v>379379000</v>
      </c>
      <c r="G48" s="153">
        <f>ROUNDDOWN(D48*F48,-3)</f>
        <v>379379000</v>
      </c>
      <c r="H48" s="336"/>
      <c r="I48" s="153"/>
      <c r="J48" s="153"/>
      <c r="K48" s="153"/>
    </row>
    <row r="49" spans="1:12" ht="13.8" x14ac:dyDescent="0.25">
      <c r="A49" s="7" t="s">
        <v>1841</v>
      </c>
      <c r="B49" s="192">
        <v>511151</v>
      </c>
      <c r="C49" s="191" t="s">
        <v>87</v>
      </c>
      <c r="D49" s="192"/>
      <c r="E49" s="192"/>
      <c r="F49" s="193"/>
      <c r="G49" s="193">
        <f>SUM(G50:G52)</f>
        <v>88360000</v>
      </c>
      <c r="H49" s="339">
        <v>33430000</v>
      </c>
      <c r="I49" s="337">
        <f>H49/G49*100</f>
        <v>37.833861475780893</v>
      </c>
      <c r="J49" s="175">
        <f>G49-H49</f>
        <v>54930000</v>
      </c>
      <c r="K49" s="337">
        <f>J49/G49*100</f>
        <v>62.166138524219107</v>
      </c>
      <c r="L49" s="344">
        <f>H49-'[4]PER BULAN'!$AQ$243</f>
        <v>5720000</v>
      </c>
    </row>
    <row r="50" spans="1:12" ht="13.8" hidden="1" x14ac:dyDescent="0.25">
      <c r="A50" s="7" t="s">
        <v>1842</v>
      </c>
      <c r="B50" s="152"/>
      <c r="C50" s="151" t="s">
        <v>4010</v>
      </c>
      <c r="D50" s="152">
        <v>1</v>
      </c>
      <c r="E50" s="152" t="s">
        <v>97</v>
      </c>
      <c r="F50" s="153">
        <v>6655000</v>
      </c>
      <c r="G50" s="153">
        <f>ROUNDDOWN(D50*F50,-3)</f>
        <v>6655000</v>
      </c>
      <c r="H50" s="336"/>
      <c r="I50" s="153"/>
      <c r="J50" s="153"/>
      <c r="K50" s="153"/>
    </row>
    <row r="51" spans="1:12" ht="13.8" hidden="1" x14ac:dyDescent="0.25">
      <c r="A51" s="7" t="s">
        <v>1843</v>
      </c>
      <c r="B51" s="152"/>
      <c r="C51" s="151" t="s">
        <v>4011</v>
      </c>
      <c r="D51" s="152">
        <v>1</v>
      </c>
      <c r="E51" s="152" t="s">
        <v>60</v>
      </c>
      <c r="F51" s="153">
        <v>75605000</v>
      </c>
      <c r="G51" s="153">
        <f>ROUNDDOWN(D51*F51,-3)</f>
        <v>75605000</v>
      </c>
      <c r="H51" s="336"/>
      <c r="I51" s="153"/>
      <c r="J51" s="153"/>
      <c r="K51" s="153"/>
    </row>
    <row r="52" spans="1:12" ht="13.8" hidden="1" x14ac:dyDescent="0.25">
      <c r="A52" s="7" t="s">
        <v>1844</v>
      </c>
      <c r="B52" s="152"/>
      <c r="C52" s="151" t="s">
        <v>4012</v>
      </c>
      <c r="D52" s="152">
        <v>1</v>
      </c>
      <c r="E52" s="152" t="s">
        <v>97</v>
      </c>
      <c r="F52" s="153">
        <v>6100000</v>
      </c>
      <c r="G52" s="153">
        <f>ROUNDDOWN(D52*F52,-3)</f>
        <v>6100000</v>
      </c>
      <c r="H52" s="336"/>
      <c r="I52" s="153"/>
      <c r="J52" s="153"/>
      <c r="K52" s="153"/>
    </row>
    <row r="53" spans="1:12" ht="13.8" x14ac:dyDescent="0.25">
      <c r="A53" s="7" t="s">
        <v>1845</v>
      </c>
      <c r="B53" s="192">
        <v>512411</v>
      </c>
      <c r="C53" s="191" t="s">
        <v>88</v>
      </c>
      <c r="D53" s="192"/>
      <c r="E53" s="192"/>
      <c r="F53" s="193"/>
      <c r="G53" s="193">
        <f>G54</f>
        <v>2635488000</v>
      </c>
      <c r="H53" s="339">
        <v>839370902</v>
      </c>
      <c r="I53" s="337">
        <f>H53/G53*100</f>
        <v>31.848784817081317</v>
      </c>
      <c r="J53" s="175">
        <f>G53-H53</f>
        <v>1796117098</v>
      </c>
      <c r="K53" s="337">
        <f>J53/G53*100</f>
        <v>68.151215182918691</v>
      </c>
      <c r="L53" s="344">
        <f>H53-'[4]PER BULAN'!$AQ$244</f>
        <v>3000</v>
      </c>
    </row>
    <row r="54" spans="1:12" ht="13.8" hidden="1" x14ac:dyDescent="0.25">
      <c r="A54" s="7" t="s">
        <v>1846</v>
      </c>
      <c r="B54" s="152"/>
      <c r="C54" s="151" t="s">
        <v>4013</v>
      </c>
      <c r="D54" s="152">
        <v>1</v>
      </c>
      <c r="E54" s="152" t="s">
        <v>153</v>
      </c>
      <c r="F54" s="153">
        <v>2635488000</v>
      </c>
      <c r="G54" s="153">
        <f>ROUNDDOWN(D54*F54,-3)</f>
        <v>2635488000</v>
      </c>
      <c r="H54" s="336"/>
      <c r="I54" s="153"/>
      <c r="J54" s="153"/>
      <c r="K54" s="153"/>
    </row>
    <row r="55" spans="1:12" ht="13.8" x14ac:dyDescent="0.25">
      <c r="A55" s="7" t="s">
        <v>4041</v>
      </c>
      <c r="B55" s="192" t="s">
        <v>2208</v>
      </c>
      <c r="C55" s="191" t="s">
        <v>4042</v>
      </c>
      <c r="D55" s="192"/>
      <c r="E55" s="192"/>
      <c r="F55" s="193"/>
      <c r="G55" s="193">
        <f>G56</f>
        <v>323949000</v>
      </c>
      <c r="H55" s="339">
        <f>H56</f>
        <v>0</v>
      </c>
      <c r="I55" s="337">
        <f>H55/G55*100</f>
        <v>0</v>
      </c>
      <c r="J55" s="175">
        <f>G55-H55</f>
        <v>323949000</v>
      </c>
      <c r="K55" s="337">
        <f>J55/G55*100</f>
        <v>100</v>
      </c>
    </row>
    <row r="56" spans="1:12" ht="13.8" x14ac:dyDescent="0.25">
      <c r="A56" s="7" t="s">
        <v>4043</v>
      </c>
      <c r="B56" s="192">
        <v>512411</v>
      </c>
      <c r="C56" s="191" t="s">
        <v>88</v>
      </c>
      <c r="D56" s="192"/>
      <c r="E56" s="192"/>
      <c r="F56" s="193"/>
      <c r="G56" s="193">
        <f>G57</f>
        <v>323949000</v>
      </c>
      <c r="H56" s="339">
        <v>0</v>
      </c>
      <c r="I56" s="337">
        <f>H56/G56*100</f>
        <v>0</v>
      </c>
      <c r="J56" s="175">
        <f>G56-H56</f>
        <v>323949000</v>
      </c>
      <c r="K56" s="337">
        <f>J56/G56*100</f>
        <v>100</v>
      </c>
    </row>
    <row r="57" spans="1:12" ht="13.8" hidden="1" x14ac:dyDescent="0.25">
      <c r="A57" s="7" t="s">
        <v>4044</v>
      </c>
      <c r="B57" s="152"/>
      <c r="C57" s="151" t="s">
        <v>4045</v>
      </c>
      <c r="D57" s="152">
        <v>1</v>
      </c>
      <c r="E57" s="152" t="s">
        <v>4046</v>
      </c>
      <c r="F57" s="153">
        <v>323949000</v>
      </c>
      <c r="G57" s="153">
        <f>ROUNDDOWN(D57*F57,-3)</f>
        <v>323949000</v>
      </c>
      <c r="H57" s="153"/>
      <c r="I57" s="335"/>
      <c r="J57" s="335"/>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595" priority="18">
      <formula>NOT(_xlfn.ISFORMULA(G12))</formula>
    </cfRule>
  </conditionalFormatting>
  <conditionalFormatting sqref="B11:K12 K56:K57">
    <cfRule type="expression" dxfId="594" priority="19">
      <formula>AND(#REF!="Ya",#REF!=ROW())</formula>
    </cfRule>
  </conditionalFormatting>
  <conditionalFormatting sqref="B13:J57">
    <cfRule type="expression" dxfId="593" priority="22">
      <formula>AND(#REF!="Ya",#REF!=ROW())</formula>
    </cfRule>
  </conditionalFormatting>
  <conditionalFormatting sqref="K13:K56">
    <cfRule type="expression" dxfId="592" priority="4">
      <formula>AND(#REF!="Ya",#REF!=ROW())</formula>
    </cfRule>
  </conditionalFormatting>
  <conditionalFormatting sqref="I55:I56 I53 I49 I47 I45 I41 I37 I33 I29 I25 I21 I13:I17">
    <cfRule type="expression" dxfId="591" priority="3">
      <formula>AND(#REF!="Ya",#REF!=ROW())</formula>
    </cfRule>
  </conditionalFormatting>
  <conditionalFormatting sqref="J55:J56 J53 J49 J47 J45 J41 J37 J33 J29 J25 J21 J13:J17">
    <cfRule type="expression" dxfId="590" priority="2">
      <formula>AND(#REF!="Ya",#REF!=ROW())</formula>
    </cfRule>
  </conditionalFormatting>
  <conditionalFormatting sqref="K55 K53 K49 K47 K45 K41 K37 K33 K29 K25 K21 K13:K17">
    <cfRule type="expression" dxfId="589"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446" activePane="bottomRight" state="frozen"/>
      <selection activeCell="B1" sqref="B1"/>
      <selection pane="topRight" activeCell="D1" sqref="D1"/>
      <selection pane="bottomLeft" activeCell="B12" sqref="B12"/>
      <selection pane="bottomRight" activeCell="K453" sqref="K453"/>
    </sheetView>
  </sheetViews>
  <sheetFormatPr defaultColWidth="9.109375" defaultRowHeight="13.2" x14ac:dyDescent="0.25"/>
  <cols>
    <col min="1" max="1" width="35.88671875" style="178"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0" width="16.88671875" style="182" customWidth="1"/>
    <col min="11" max="13" width="20" style="117" customWidth="1"/>
    <col min="14" max="14" width="9.109375" style="117"/>
    <col min="15" max="15" width="15" style="117" customWidth="1"/>
    <col min="16" max="16384" width="9.109375" style="117"/>
  </cols>
  <sheetData>
    <row r="1" spans="1:24" ht="15.6" x14ac:dyDescent="0.25">
      <c r="B1" s="424" t="s">
        <v>598</v>
      </c>
      <c r="C1" s="424"/>
      <c r="D1" s="424"/>
      <c r="E1" s="424"/>
      <c r="F1" s="424"/>
      <c r="G1" s="432"/>
      <c r="H1" s="294"/>
      <c r="I1" s="294"/>
      <c r="J1" s="294"/>
    </row>
    <row r="2" spans="1:24" ht="15.6" x14ac:dyDescent="0.3">
      <c r="B2" s="433" t="s">
        <v>4850</v>
      </c>
      <c r="C2" s="433"/>
      <c r="D2" s="433"/>
      <c r="E2" s="433"/>
      <c r="F2" s="433"/>
      <c r="G2" s="434"/>
      <c r="H2" s="296"/>
      <c r="I2" s="296"/>
      <c r="J2" s="296"/>
    </row>
    <row r="3" spans="1:24" ht="15.6" x14ac:dyDescent="0.3">
      <c r="B3" s="295"/>
      <c r="C3" s="295"/>
      <c r="D3" s="295"/>
      <c r="E3" s="295"/>
      <c r="F3" s="295"/>
      <c r="G3" s="296"/>
      <c r="H3" s="296"/>
      <c r="I3" s="296"/>
      <c r="J3" s="296"/>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16.863.164.000</v>
      </c>
      <c r="D7" s="53"/>
      <c r="E7" s="53"/>
      <c r="F7" s="50"/>
      <c r="G7" s="143"/>
      <c r="H7" s="143"/>
      <c r="I7" s="143"/>
      <c r="J7" s="143"/>
    </row>
    <row r="8" spans="1:24" ht="15" x14ac:dyDescent="0.25">
      <c r="B8" s="189"/>
      <c r="C8" s="189"/>
      <c r="D8" s="189"/>
      <c r="E8" s="189"/>
      <c r="F8" s="189"/>
      <c r="G8" s="190"/>
      <c r="H8" s="190"/>
      <c r="I8" s="190"/>
      <c r="J8" s="190"/>
    </row>
    <row r="9" spans="1:24" ht="13.8" x14ac:dyDescent="0.25">
      <c r="B9" s="435" t="s">
        <v>606</v>
      </c>
      <c r="C9" s="436" t="s">
        <v>607</v>
      </c>
      <c r="D9" s="437" t="s">
        <v>608</v>
      </c>
      <c r="E9" s="435" t="s">
        <v>609</v>
      </c>
      <c r="F9" s="437" t="s">
        <v>610</v>
      </c>
      <c r="G9" s="431" t="s">
        <v>611</v>
      </c>
      <c r="H9" s="208"/>
      <c r="I9" s="208"/>
      <c r="J9" s="208"/>
      <c r="K9" s="438" t="s">
        <v>4629</v>
      </c>
      <c r="L9" s="438"/>
      <c r="M9" s="438"/>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27"/>
      <c r="C10" s="427"/>
      <c r="D10" s="430"/>
      <c r="E10" s="430"/>
      <c r="F10" s="427"/>
      <c r="G10" s="427"/>
      <c r="H10" s="217"/>
      <c r="I10" s="217"/>
      <c r="J10" s="217"/>
      <c r="K10" s="293" t="s">
        <v>4641</v>
      </c>
      <c r="L10" s="293" t="s">
        <v>4642</v>
      </c>
      <c r="M10" s="293"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16863164000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26.4"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26.4"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26.4"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26.4"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26.4"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26.4"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26.4"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26.4"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SUM(G115,G486)</f>
        <v>15863164000</v>
      </c>
      <c r="H114" s="210" t="b">
        <f t="shared" si="2"/>
        <v>1</v>
      </c>
      <c r="I114" s="210"/>
      <c r="J114" s="210"/>
    </row>
    <row r="115" spans="1:10" ht="26.4" x14ac:dyDescent="0.25">
      <c r="A115" s="21" t="s">
        <v>494</v>
      </c>
      <c r="B115" s="55">
        <v>2378</v>
      </c>
      <c r="C115" s="26" t="s">
        <v>71</v>
      </c>
      <c r="D115" s="68"/>
      <c r="E115" s="55"/>
      <c r="F115" s="27"/>
      <c r="G115" s="27">
        <f>SUM(G116,G122,G337,G343)</f>
        <v>7280664000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26.4"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5085940000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26.4"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26.4"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26.4"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26.4"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26.4"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26.4"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26.4"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26.4"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26.4"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26.4"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26.4"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26.4"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26.4"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26.4"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f>
        <v>2195658000</v>
      </c>
      <c r="H263" s="210" t="b">
        <f t="shared" si="4"/>
        <v>1</v>
      </c>
      <c r="I263" s="210"/>
      <c r="J263" s="210"/>
    </row>
    <row r="264" spans="1:10" ht="13.8" x14ac:dyDescent="0.25">
      <c r="A264" s="7" t="s">
        <v>1847</v>
      </c>
      <c r="B264" s="58" t="s">
        <v>557</v>
      </c>
      <c r="C264" s="35" t="s">
        <v>89</v>
      </c>
      <c r="D264" s="58"/>
      <c r="E264" s="58"/>
      <c r="F264" s="36"/>
      <c r="G264" s="36">
        <f>SUM(G265,G286,G292,G305,G320)</f>
        <v>2195658000</v>
      </c>
      <c r="H264" s="210" t="b">
        <f t="shared" ref="H264:H290" si="7">_xlfn.ISFORMULA(G264)</f>
        <v>1</v>
      </c>
      <c r="I264" s="210"/>
      <c r="J264" s="210"/>
    </row>
    <row r="265" spans="1:10" ht="26.4" x14ac:dyDescent="0.25">
      <c r="A265" s="7" t="s">
        <v>2170</v>
      </c>
      <c r="B265" s="59" t="s">
        <v>1807</v>
      </c>
      <c r="C265" s="38" t="s">
        <v>2171</v>
      </c>
      <c r="D265" s="59"/>
      <c r="E265" s="59"/>
      <c r="F265" s="39"/>
      <c r="G265" s="39">
        <f>SUM(G266,G276)</f>
        <v>1254380000</v>
      </c>
      <c r="H265" s="210" t="b">
        <f t="shared" si="7"/>
        <v>1</v>
      </c>
      <c r="I265" s="210"/>
      <c r="J265" s="210"/>
    </row>
    <row r="266" spans="1:10" ht="13.8" x14ac:dyDescent="0.25">
      <c r="A266" s="7" t="s">
        <v>2172</v>
      </c>
      <c r="B266" s="60">
        <v>521111</v>
      </c>
      <c r="C266" s="41" t="s">
        <v>90</v>
      </c>
      <c r="D266" s="60"/>
      <c r="E266" s="60"/>
      <c r="F266" s="42"/>
      <c r="G266" s="42">
        <f>SUM(G267:G275)</f>
        <v>1076220000</v>
      </c>
      <c r="H266" s="210" t="b">
        <f t="shared" si="7"/>
        <v>1</v>
      </c>
      <c r="I266" s="210"/>
      <c r="J266" s="210"/>
    </row>
    <row r="267" spans="1:10" ht="13.8" x14ac:dyDescent="0.25">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3.8" x14ac:dyDescent="0.25">
      <c r="A268" s="7" t="s">
        <v>2174</v>
      </c>
      <c r="B268" s="152"/>
      <c r="C268" s="151" t="s">
        <v>4182</v>
      </c>
      <c r="D268" s="152">
        <v>1</v>
      </c>
      <c r="E268" s="152" t="s">
        <v>60</v>
      </c>
      <c r="F268" s="153">
        <v>60000000</v>
      </c>
      <c r="G268" s="153">
        <f t="shared" si="8"/>
        <v>60000000</v>
      </c>
      <c r="H268" s="210" t="b">
        <f t="shared" si="7"/>
        <v>1</v>
      </c>
      <c r="I268" s="210"/>
      <c r="J268" s="210"/>
    </row>
    <row r="269" spans="1:10" ht="13.8" x14ac:dyDescent="0.25">
      <c r="A269" s="7" t="s">
        <v>2176</v>
      </c>
      <c r="B269" s="152"/>
      <c r="C269" s="151" t="s">
        <v>4183</v>
      </c>
      <c r="D269" s="152">
        <v>156</v>
      </c>
      <c r="E269" s="152" t="s">
        <v>21</v>
      </c>
      <c r="F269" s="153">
        <v>4858000</v>
      </c>
      <c r="G269" s="153">
        <f t="shared" si="8"/>
        <v>757848000</v>
      </c>
      <c r="H269" s="210" t="b">
        <f t="shared" si="7"/>
        <v>1</v>
      </c>
      <c r="I269" s="210"/>
      <c r="J269" s="210"/>
    </row>
    <row r="270" spans="1:10" ht="13.8" x14ac:dyDescent="0.25">
      <c r="A270" s="7" t="s">
        <v>2178</v>
      </c>
      <c r="B270" s="152"/>
      <c r="C270" s="151" t="s">
        <v>4184</v>
      </c>
      <c r="D270" s="152">
        <v>13</v>
      </c>
      <c r="E270" s="152" t="s">
        <v>32</v>
      </c>
      <c r="F270" s="153">
        <v>5344000</v>
      </c>
      <c r="G270" s="153">
        <f t="shared" si="8"/>
        <v>69472000</v>
      </c>
      <c r="H270" s="210" t="b">
        <f t="shared" si="7"/>
        <v>1</v>
      </c>
      <c r="I270" s="210"/>
      <c r="J270" s="210"/>
    </row>
    <row r="271" spans="1:10" ht="13.8" x14ac:dyDescent="0.25">
      <c r="A271" s="7" t="s">
        <v>2179</v>
      </c>
      <c r="B271" s="152"/>
      <c r="C271" s="151" t="s">
        <v>4185</v>
      </c>
      <c r="D271" s="152">
        <v>12</v>
      </c>
      <c r="E271" s="152" t="s">
        <v>78</v>
      </c>
      <c r="F271" s="153">
        <v>500000</v>
      </c>
      <c r="G271" s="153">
        <f t="shared" si="8"/>
        <v>6000000</v>
      </c>
      <c r="H271" s="210" t="b">
        <f t="shared" si="7"/>
        <v>1</v>
      </c>
      <c r="I271" s="210"/>
      <c r="J271" s="210"/>
    </row>
    <row r="272" spans="1:10" ht="13.8" x14ac:dyDescent="0.25">
      <c r="A272" s="7" t="s">
        <v>2181</v>
      </c>
      <c r="B272" s="152"/>
      <c r="C272" s="151" t="s">
        <v>4186</v>
      </c>
      <c r="D272" s="152">
        <v>100</v>
      </c>
      <c r="E272" s="152" t="s">
        <v>58</v>
      </c>
      <c r="F272" s="153">
        <v>500000</v>
      </c>
      <c r="G272" s="153">
        <f t="shared" si="8"/>
        <v>50000000</v>
      </c>
      <c r="H272" s="210" t="b">
        <f t="shared" si="7"/>
        <v>1</v>
      </c>
      <c r="I272" s="210"/>
      <c r="J272" s="210"/>
    </row>
    <row r="273" spans="1:10" ht="13.8" x14ac:dyDescent="0.25">
      <c r="A273" s="7" t="s">
        <v>2183</v>
      </c>
      <c r="B273" s="152"/>
      <c r="C273" s="151" t="s">
        <v>4187</v>
      </c>
      <c r="D273" s="152">
        <v>12</v>
      </c>
      <c r="E273" s="152" t="s">
        <v>115</v>
      </c>
      <c r="F273" s="153">
        <v>750000</v>
      </c>
      <c r="G273" s="153">
        <f t="shared" si="8"/>
        <v>9000000</v>
      </c>
      <c r="H273" s="210" t="b">
        <f t="shared" si="7"/>
        <v>1</v>
      </c>
      <c r="I273" s="210"/>
      <c r="J273" s="210"/>
    </row>
    <row r="274" spans="1:10" ht="13.8" x14ac:dyDescent="0.25">
      <c r="A274" s="7" t="s">
        <v>2185</v>
      </c>
      <c r="B274" s="152"/>
      <c r="C274" s="151" t="s">
        <v>4188</v>
      </c>
      <c r="D274" s="152">
        <v>12</v>
      </c>
      <c r="E274" s="152" t="s">
        <v>115</v>
      </c>
      <c r="F274" s="153">
        <v>1325000</v>
      </c>
      <c r="G274" s="153">
        <f t="shared" si="8"/>
        <v>15900000</v>
      </c>
      <c r="H274" s="210" t="b">
        <f t="shared" si="7"/>
        <v>1</v>
      </c>
      <c r="I274" s="210"/>
      <c r="J274" s="210"/>
    </row>
    <row r="275" spans="1:10" ht="13.8" x14ac:dyDescent="0.25">
      <c r="A275" s="7" t="s">
        <v>2187</v>
      </c>
      <c r="B275" s="152"/>
      <c r="C275" s="151" t="s">
        <v>4189</v>
      </c>
      <c r="D275" s="152">
        <v>12</v>
      </c>
      <c r="E275" s="152" t="s">
        <v>78</v>
      </c>
      <c r="F275" s="153">
        <v>2500000</v>
      </c>
      <c r="G275" s="153">
        <f t="shared" si="8"/>
        <v>30000000</v>
      </c>
      <c r="H275" s="210" t="b">
        <f t="shared" si="7"/>
        <v>1</v>
      </c>
      <c r="I275" s="210"/>
      <c r="J275" s="210"/>
    </row>
    <row r="276" spans="1:10" ht="13.8" x14ac:dyDescent="0.25">
      <c r="A276" s="7" t="s">
        <v>2189</v>
      </c>
      <c r="B276" s="60">
        <v>521811</v>
      </c>
      <c r="C276" s="41" t="s">
        <v>64</v>
      </c>
      <c r="D276" s="60"/>
      <c r="E276" s="60"/>
      <c r="F276" s="42"/>
      <c r="G276" s="42">
        <f>SUM(G277:G285)</f>
        <v>178160000</v>
      </c>
      <c r="H276" s="210" t="b">
        <f t="shared" si="7"/>
        <v>1</v>
      </c>
      <c r="I276" s="210"/>
      <c r="J276" s="210"/>
    </row>
    <row r="277" spans="1:10" ht="13.8" x14ac:dyDescent="0.25">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3.8" x14ac:dyDescent="0.25">
      <c r="A278" s="7" t="s">
        <v>2191</v>
      </c>
      <c r="B278" s="152"/>
      <c r="C278" s="151" t="s">
        <v>3626</v>
      </c>
      <c r="D278" s="152">
        <v>40</v>
      </c>
      <c r="E278" s="152" t="s">
        <v>9</v>
      </c>
      <c r="F278" s="153">
        <v>1500000</v>
      </c>
      <c r="G278" s="153">
        <f t="shared" si="9"/>
        <v>60000000</v>
      </c>
      <c r="H278" s="210" t="b">
        <f t="shared" si="7"/>
        <v>1</v>
      </c>
      <c r="I278" s="210"/>
      <c r="J278" s="210"/>
    </row>
    <row r="279" spans="1:10" ht="13.8" x14ac:dyDescent="0.25">
      <c r="A279" s="7" t="s">
        <v>2192</v>
      </c>
      <c r="B279" s="152"/>
      <c r="C279" s="151" t="s">
        <v>4190</v>
      </c>
      <c r="D279" s="152">
        <v>192</v>
      </c>
      <c r="E279" s="152" t="s">
        <v>9</v>
      </c>
      <c r="F279" s="153">
        <v>50000</v>
      </c>
      <c r="G279" s="153">
        <f t="shared" si="9"/>
        <v>9600000</v>
      </c>
      <c r="H279" s="210" t="b">
        <f t="shared" si="7"/>
        <v>1</v>
      </c>
      <c r="I279" s="210"/>
      <c r="J279" s="210"/>
    </row>
    <row r="280" spans="1:10" ht="13.8" x14ac:dyDescent="0.25">
      <c r="A280" s="7" t="s">
        <v>2194</v>
      </c>
      <c r="B280" s="152"/>
      <c r="C280" s="151" t="s">
        <v>4191</v>
      </c>
      <c r="D280" s="152">
        <v>192</v>
      </c>
      <c r="E280" s="152" t="s">
        <v>9</v>
      </c>
      <c r="F280" s="153">
        <v>55000</v>
      </c>
      <c r="G280" s="153">
        <f t="shared" si="9"/>
        <v>10560000</v>
      </c>
      <c r="H280" s="210" t="b">
        <f t="shared" si="7"/>
        <v>1</v>
      </c>
      <c r="I280" s="210"/>
      <c r="J280" s="210"/>
    </row>
    <row r="281" spans="1:10" ht="13.8" x14ac:dyDescent="0.25">
      <c r="A281" s="7" t="s">
        <v>2196</v>
      </c>
      <c r="B281" s="152"/>
      <c r="C281" s="151" t="s">
        <v>4192</v>
      </c>
      <c r="D281" s="152">
        <v>50</v>
      </c>
      <c r="E281" s="152" t="s">
        <v>2198</v>
      </c>
      <c r="F281" s="153">
        <v>220000</v>
      </c>
      <c r="G281" s="153">
        <f t="shared" si="9"/>
        <v>11000000</v>
      </c>
      <c r="H281" s="210" t="b">
        <f t="shared" si="7"/>
        <v>1</v>
      </c>
      <c r="I281" s="210"/>
      <c r="J281" s="210"/>
    </row>
    <row r="282" spans="1:10" ht="13.8" x14ac:dyDescent="0.25">
      <c r="A282" s="7" t="s">
        <v>2199</v>
      </c>
      <c r="B282" s="152"/>
      <c r="C282" s="151" t="s">
        <v>4193</v>
      </c>
      <c r="D282" s="152">
        <v>50</v>
      </c>
      <c r="E282" s="152" t="s">
        <v>2198</v>
      </c>
      <c r="F282" s="153">
        <v>240000</v>
      </c>
      <c r="G282" s="153">
        <f t="shared" si="9"/>
        <v>12000000</v>
      </c>
      <c r="H282" s="210" t="b">
        <f t="shared" si="7"/>
        <v>1</v>
      </c>
      <c r="I282" s="210"/>
      <c r="J282" s="210"/>
    </row>
    <row r="283" spans="1:10" ht="13.8" x14ac:dyDescent="0.25">
      <c r="A283" s="7" t="s">
        <v>2201</v>
      </c>
      <c r="B283" s="152"/>
      <c r="C283" s="151" t="s">
        <v>4194</v>
      </c>
      <c r="D283" s="152">
        <v>800</v>
      </c>
      <c r="E283" s="152" t="s">
        <v>120</v>
      </c>
      <c r="F283" s="153">
        <v>5000</v>
      </c>
      <c r="G283" s="153">
        <f t="shared" si="9"/>
        <v>4000000</v>
      </c>
      <c r="H283" s="210" t="b">
        <f t="shared" si="7"/>
        <v>1</v>
      </c>
      <c r="I283" s="210"/>
      <c r="J283" s="210"/>
    </row>
    <row r="284" spans="1:10" ht="13.8" x14ac:dyDescent="0.25">
      <c r="A284" s="7" t="s">
        <v>2203</v>
      </c>
      <c r="B284" s="152"/>
      <c r="C284" s="151" t="s">
        <v>4195</v>
      </c>
      <c r="D284" s="152">
        <v>50</v>
      </c>
      <c r="E284" s="152" t="s">
        <v>1422</v>
      </c>
      <c r="F284" s="153">
        <v>220000</v>
      </c>
      <c r="G284" s="153">
        <f t="shared" si="9"/>
        <v>11000000</v>
      </c>
      <c r="H284" s="210" t="b">
        <f t="shared" si="7"/>
        <v>1</v>
      </c>
      <c r="I284" s="210"/>
      <c r="J284" s="210"/>
    </row>
    <row r="285" spans="1:10" ht="13.8" x14ac:dyDescent="0.25">
      <c r="A285" s="7" t="s">
        <v>2205</v>
      </c>
      <c r="B285" s="152"/>
      <c r="C285" s="151" t="s">
        <v>4196</v>
      </c>
      <c r="D285" s="152">
        <v>800</v>
      </c>
      <c r="E285" s="152" t="s">
        <v>120</v>
      </c>
      <c r="F285" s="153">
        <v>25000</v>
      </c>
      <c r="G285" s="153">
        <f t="shared" si="9"/>
        <v>20000000</v>
      </c>
      <c r="H285" s="210" t="b">
        <f t="shared" si="7"/>
        <v>1</v>
      </c>
      <c r="I285" s="210"/>
      <c r="J285" s="210"/>
    </row>
    <row r="286" spans="1:10" ht="13.8" x14ac:dyDescent="0.25">
      <c r="A286" s="7" t="s">
        <v>2207</v>
      </c>
      <c r="B286" s="59" t="s">
        <v>2208</v>
      </c>
      <c r="C286" s="38" t="s">
        <v>2209</v>
      </c>
      <c r="D286" s="59"/>
      <c r="E286" s="59"/>
      <c r="F286" s="39"/>
      <c r="G286" s="39">
        <f>SUM(G287,G289)</f>
        <v>148852000</v>
      </c>
      <c r="H286" s="210" t="b">
        <f t="shared" si="7"/>
        <v>1</v>
      </c>
      <c r="I286" s="210"/>
      <c r="J286" s="210"/>
    </row>
    <row r="287" spans="1:10" ht="13.8" x14ac:dyDescent="0.25">
      <c r="A287" s="7" t="s">
        <v>2210</v>
      </c>
      <c r="B287" s="60">
        <v>521114</v>
      </c>
      <c r="C287" s="41" t="s">
        <v>94</v>
      </c>
      <c r="D287" s="60"/>
      <c r="E287" s="60"/>
      <c r="F287" s="42"/>
      <c r="G287" s="42">
        <f>G288</f>
        <v>30000000</v>
      </c>
      <c r="H287" s="210" t="b">
        <f t="shared" si="7"/>
        <v>1</v>
      </c>
      <c r="I287" s="210"/>
      <c r="J287" s="210"/>
    </row>
    <row r="288" spans="1:10" ht="13.8" x14ac:dyDescent="0.25">
      <c r="A288" s="7" t="s">
        <v>2211</v>
      </c>
      <c r="B288" s="152"/>
      <c r="C288" s="151" t="s">
        <v>4197</v>
      </c>
      <c r="D288" s="152">
        <v>12</v>
      </c>
      <c r="E288" s="152" t="s">
        <v>78</v>
      </c>
      <c r="F288" s="153">
        <v>2500000</v>
      </c>
      <c r="G288" s="153">
        <f>ROUNDDOWN(D288*F288,-3)</f>
        <v>30000000</v>
      </c>
      <c r="H288" s="210" t="b">
        <f t="shared" si="7"/>
        <v>1</v>
      </c>
      <c r="I288" s="210"/>
      <c r="J288" s="210"/>
    </row>
    <row r="289" spans="1:10" ht="13.8" x14ac:dyDescent="0.25">
      <c r="A289" s="7" t="s">
        <v>2213</v>
      </c>
      <c r="B289" s="60">
        <v>522141</v>
      </c>
      <c r="C289" s="41" t="s">
        <v>95</v>
      </c>
      <c r="D289" s="60"/>
      <c r="E289" s="60"/>
      <c r="F289" s="42"/>
      <c r="G289" s="42">
        <f>SUM(G290:G291)</f>
        <v>118852000</v>
      </c>
      <c r="H289" s="210" t="b">
        <f t="shared" si="7"/>
        <v>1</v>
      </c>
      <c r="I289" s="210"/>
      <c r="J289" s="210"/>
    </row>
    <row r="290" spans="1:10" ht="13.8" x14ac:dyDescent="0.25">
      <c r="A290" s="7" t="s">
        <v>2214</v>
      </c>
      <c r="B290" s="152"/>
      <c r="C290" s="151" t="s">
        <v>4198</v>
      </c>
      <c r="D290" s="152">
        <v>12</v>
      </c>
      <c r="E290" s="152" t="s">
        <v>78</v>
      </c>
      <c r="F290" s="153">
        <v>5000000</v>
      </c>
      <c r="G290" s="153">
        <f>ROUNDDOWN(D290*F290,-3)</f>
        <v>60000000</v>
      </c>
      <c r="H290" s="210" t="b">
        <f t="shared" si="7"/>
        <v>1</v>
      </c>
      <c r="I290" s="210"/>
      <c r="J290" s="210"/>
    </row>
    <row r="291" spans="1:10" ht="13.8" x14ac:dyDescent="0.25">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3.8" x14ac:dyDescent="0.25">
      <c r="A292" s="7" t="s">
        <v>2218</v>
      </c>
      <c r="B292" s="59" t="s">
        <v>2219</v>
      </c>
      <c r="C292" s="38" t="s">
        <v>2220</v>
      </c>
      <c r="D292" s="59"/>
      <c r="E292" s="59"/>
      <c r="F292" s="39"/>
      <c r="G292" s="39">
        <f>SUM(G293,G303)</f>
        <v>533050000</v>
      </c>
      <c r="H292" s="210" t="b">
        <f t="shared" si="10"/>
        <v>1</v>
      </c>
      <c r="I292" s="210"/>
      <c r="J292" s="210"/>
    </row>
    <row r="293" spans="1:10" ht="13.8" x14ac:dyDescent="0.25">
      <c r="A293" s="7" t="s">
        <v>2221</v>
      </c>
      <c r="B293" s="60">
        <v>523121</v>
      </c>
      <c r="C293" s="41" t="s">
        <v>99</v>
      </c>
      <c r="D293" s="60"/>
      <c r="E293" s="60"/>
      <c r="F293" s="42"/>
      <c r="G293" s="42">
        <f>SUM(G294:G302)</f>
        <v>497050000</v>
      </c>
      <c r="H293" s="210" t="b">
        <f t="shared" si="10"/>
        <v>1</v>
      </c>
      <c r="I293" s="210"/>
      <c r="J293" s="210"/>
    </row>
    <row r="294" spans="1:10" ht="26.4" x14ac:dyDescent="0.25">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3.8" x14ac:dyDescent="0.25">
      <c r="A295" s="7" t="s">
        <v>2224</v>
      </c>
      <c r="B295" s="152"/>
      <c r="C295" s="151" t="s">
        <v>4201</v>
      </c>
      <c r="D295" s="152">
        <v>9</v>
      </c>
      <c r="E295" s="152" t="s">
        <v>4202</v>
      </c>
      <c r="F295" s="153">
        <v>32850000</v>
      </c>
      <c r="G295" s="153">
        <f t="shared" si="11"/>
        <v>295650000</v>
      </c>
      <c r="H295" s="210" t="b">
        <f t="shared" si="10"/>
        <v>1</v>
      </c>
      <c r="I295" s="210"/>
      <c r="J295" s="210"/>
    </row>
    <row r="296" spans="1:10" ht="13.8" x14ac:dyDescent="0.25">
      <c r="A296" s="7" t="s">
        <v>2226</v>
      </c>
      <c r="B296" s="152"/>
      <c r="C296" s="151" t="s">
        <v>4203</v>
      </c>
      <c r="D296" s="152">
        <v>5</v>
      </c>
      <c r="E296" s="152" t="s">
        <v>42</v>
      </c>
      <c r="F296" s="153">
        <v>3640000</v>
      </c>
      <c r="G296" s="153">
        <f t="shared" si="11"/>
        <v>18200000</v>
      </c>
      <c r="H296" s="210" t="b">
        <f t="shared" si="10"/>
        <v>1</v>
      </c>
      <c r="I296" s="210"/>
      <c r="J296" s="210"/>
    </row>
    <row r="297" spans="1:10" ht="13.8" x14ac:dyDescent="0.25">
      <c r="A297" s="7" t="s">
        <v>2228</v>
      </c>
      <c r="B297" s="152"/>
      <c r="C297" s="151" t="s">
        <v>4204</v>
      </c>
      <c r="D297" s="152">
        <v>40</v>
      </c>
      <c r="E297" s="152" t="s">
        <v>42</v>
      </c>
      <c r="F297" s="153">
        <v>730000</v>
      </c>
      <c r="G297" s="153">
        <f t="shared" si="11"/>
        <v>29200000</v>
      </c>
      <c r="H297" s="210" t="b">
        <f t="shared" si="10"/>
        <v>1</v>
      </c>
      <c r="I297" s="210"/>
      <c r="J297" s="210"/>
    </row>
    <row r="298" spans="1:10" ht="13.8" x14ac:dyDescent="0.25">
      <c r="A298" s="7" t="s">
        <v>2229</v>
      </c>
      <c r="B298" s="152"/>
      <c r="C298" s="151" t="s">
        <v>4205</v>
      </c>
      <c r="D298" s="152">
        <v>35</v>
      </c>
      <c r="E298" s="152" t="s">
        <v>44</v>
      </c>
      <c r="F298" s="153">
        <v>730000</v>
      </c>
      <c r="G298" s="153">
        <f t="shared" si="11"/>
        <v>25550000</v>
      </c>
      <c r="H298" s="210" t="b">
        <f t="shared" si="10"/>
        <v>1</v>
      </c>
      <c r="I298" s="210"/>
      <c r="J298" s="210"/>
    </row>
    <row r="299" spans="1:10" ht="13.8" x14ac:dyDescent="0.25">
      <c r="A299" s="7" t="s">
        <v>2230</v>
      </c>
      <c r="B299" s="152"/>
      <c r="C299" s="151" t="s">
        <v>4206</v>
      </c>
      <c r="D299" s="152">
        <v>35</v>
      </c>
      <c r="E299" s="152" t="s">
        <v>44</v>
      </c>
      <c r="F299" s="153">
        <v>690000</v>
      </c>
      <c r="G299" s="153">
        <f t="shared" si="11"/>
        <v>24150000</v>
      </c>
      <c r="H299" s="210" t="b">
        <f t="shared" si="10"/>
        <v>1</v>
      </c>
      <c r="I299" s="210"/>
      <c r="J299" s="210"/>
    </row>
    <row r="300" spans="1:10" ht="13.8" x14ac:dyDescent="0.25">
      <c r="A300" s="7" t="s">
        <v>2231</v>
      </c>
      <c r="B300" s="152"/>
      <c r="C300" s="151" t="s">
        <v>4207</v>
      </c>
      <c r="D300" s="152">
        <v>3</v>
      </c>
      <c r="E300" s="152" t="s">
        <v>44</v>
      </c>
      <c r="F300" s="153">
        <v>3500000</v>
      </c>
      <c r="G300" s="153">
        <f t="shared" si="11"/>
        <v>10500000</v>
      </c>
      <c r="H300" s="210" t="b">
        <f t="shared" si="10"/>
        <v>1</v>
      </c>
      <c r="I300" s="210"/>
      <c r="J300" s="210"/>
    </row>
    <row r="301" spans="1:10" ht="13.8" x14ac:dyDescent="0.25">
      <c r="A301" s="7" t="s">
        <v>2232</v>
      </c>
      <c r="B301" s="152"/>
      <c r="C301" s="151" t="s">
        <v>4208</v>
      </c>
      <c r="D301" s="152">
        <v>6</v>
      </c>
      <c r="E301" s="152" t="s">
        <v>44</v>
      </c>
      <c r="F301" s="153">
        <v>470000</v>
      </c>
      <c r="G301" s="153">
        <f t="shared" si="11"/>
        <v>2820000</v>
      </c>
      <c r="H301" s="210" t="b">
        <f t="shared" si="10"/>
        <v>1</v>
      </c>
      <c r="I301" s="210"/>
      <c r="J301" s="210"/>
    </row>
    <row r="302" spans="1:10" ht="13.8" x14ac:dyDescent="0.25">
      <c r="A302" s="7" t="s">
        <v>2234</v>
      </c>
      <c r="B302" s="152"/>
      <c r="C302" s="151" t="s">
        <v>4209</v>
      </c>
      <c r="D302" s="152">
        <v>1</v>
      </c>
      <c r="E302" s="152" t="s">
        <v>60</v>
      </c>
      <c r="F302" s="153">
        <v>52250000</v>
      </c>
      <c r="G302" s="153">
        <f t="shared" si="11"/>
        <v>52250000</v>
      </c>
      <c r="H302" s="210" t="b">
        <f t="shared" si="10"/>
        <v>1</v>
      </c>
      <c r="I302" s="210"/>
      <c r="J302" s="210"/>
    </row>
    <row r="303" spans="1:10" ht="13.8" x14ac:dyDescent="0.25">
      <c r="A303" s="7" t="s">
        <v>2235</v>
      </c>
      <c r="B303" s="60">
        <v>523199</v>
      </c>
      <c r="C303" s="41" t="s">
        <v>102</v>
      </c>
      <c r="D303" s="60"/>
      <c r="E303" s="60"/>
      <c r="F303" s="42"/>
      <c r="G303" s="42">
        <f>G304</f>
        <v>36000000</v>
      </c>
      <c r="H303" s="210" t="b">
        <f t="shared" si="10"/>
        <v>1</v>
      </c>
      <c r="I303" s="210"/>
      <c r="J303" s="210"/>
    </row>
    <row r="304" spans="1:10" ht="13.8" x14ac:dyDescent="0.25">
      <c r="A304" s="7" t="s">
        <v>2236</v>
      </c>
      <c r="B304" s="152"/>
      <c r="C304" s="151" t="s">
        <v>4210</v>
      </c>
      <c r="D304" s="152">
        <v>24</v>
      </c>
      <c r="E304" s="152" t="s">
        <v>96</v>
      </c>
      <c r="F304" s="153">
        <v>1500000</v>
      </c>
      <c r="G304" s="153">
        <f>ROUNDDOWN(D304*F304,-3)</f>
        <v>36000000</v>
      </c>
      <c r="H304" s="210" t="b">
        <f t="shared" si="10"/>
        <v>1</v>
      </c>
      <c r="I304" s="210"/>
      <c r="J304" s="210"/>
    </row>
    <row r="305" spans="1:10" ht="26.4" x14ac:dyDescent="0.25">
      <c r="A305" s="7" t="s">
        <v>2238</v>
      </c>
      <c r="B305" s="59" t="s">
        <v>2239</v>
      </c>
      <c r="C305" s="38" t="s">
        <v>2240</v>
      </c>
      <c r="D305" s="59"/>
      <c r="E305" s="59"/>
      <c r="F305" s="39"/>
      <c r="G305" s="39">
        <f>SUM(G306,G309)</f>
        <v>159376000</v>
      </c>
      <c r="H305" s="210" t="b">
        <f t="shared" si="10"/>
        <v>1</v>
      </c>
      <c r="I305" s="210"/>
      <c r="J305" s="210"/>
    </row>
    <row r="306" spans="1:10" ht="13.8" x14ac:dyDescent="0.25">
      <c r="A306" s="7" t="s">
        <v>2241</v>
      </c>
      <c r="B306" s="60">
        <v>521111</v>
      </c>
      <c r="C306" s="41" t="s">
        <v>90</v>
      </c>
      <c r="D306" s="60"/>
      <c r="E306" s="60"/>
      <c r="F306" s="42"/>
      <c r="G306" s="42">
        <f>SUM(G307:G308)</f>
        <v>101040000</v>
      </c>
      <c r="H306" s="210" t="b">
        <f t="shared" si="10"/>
        <v>1</v>
      </c>
      <c r="I306" s="210"/>
      <c r="J306" s="210"/>
    </row>
    <row r="307" spans="1:10" s="212" customFormat="1" ht="13.8" x14ac:dyDescent="0.25">
      <c r="A307" s="211" t="s">
        <v>2242</v>
      </c>
      <c r="B307" s="152"/>
      <c r="C307" s="151" t="s">
        <v>4211</v>
      </c>
      <c r="D307" s="152">
        <v>100</v>
      </c>
      <c r="E307" s="152" t="s">
        <v>2244</v>
      </c>
      <c r="F307" s="153">
        <v>857000</v>
      </c>
      <c r="G307" s="153">
        <f>ROUNDDOWN(D307*F307,-3)</f>
        <v>85700000</v>
      </c>
      <c r="H307" s="210" t="b">
        <f t="shared" si="10"/>
        <v>1</v>
      </c>
      <c r="I307" s="210"/>
      <c r="J307" s="210"/>
    </row>
    <row r="308" spans="1:10" ht="13.8" x14ac:dyDescent="0.25">
      <c r="A308" s="7" t="s">
        <v>2245</v>
      </c>
      <c r="B308" s="152"/>
      <c r="C308" s="151" t="s">
        <v>4212</v>
      </c>
      <c r="D308" s="152">
        <v>26</v>
      </c>
      <c r="E308" s="152" t="s">
        <v>121</v>
      </c>
      <c r="F308" s="153">
        <v>590000</v>
      </c>
      <c r="G308" s="153">
        <f>ROUNDDOWN(D308*F308,-3)</f>
        <v>15340000</v>
      </c>
      <c r="H308" s="210" t="b">
        <f t="shared" si="10"/>
        <v>1</v>
      </c>
      <c r="I308" s="210"/>
      <c r="J308" s="210"/>
    </row>
    <row r="309" spans="1:10" ht="13.8" x14ac:dyDescent="0.25">
      <c r="A309" s="7" t="s">
        <v>2247</v>
      </c>
      <c r="B309" s="60">
        <v>521115</v>
      </c>
      <c r="C309" s="41" t="s">
        <v>104</v>
      </c>
      <c r="D309" s="60"/>
      <c r="E309" s="60"/>
      <c r="F309" s="42"/>
      <c r="G309" s="42">
        <f>SUM(G310:G319)</f>
        <v>58336000</v>
      </c>
      <c r="H309" s="210" t="b">
        <f t="shared" si="10"/>
        <v>1</v>
      </c>
      <c r="I309" s="210"/>
      <c r="J309" s="210"/>
    </row>
    <row r="310" spans="1:10" ht="13.8" x14ac:dyDescent="0.25">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13.8" x14ac:dyDescent="0.25">
      <c r="A311" s="7" t="s">
        <v>2250</v>
      </c>
      <c r="B311" s="152"/>
      <c r="C311" s="151" t="s">
        <v>4214</v>
      </c>
      <c r="D311" s="152">
        <v>12</v>
      </c>
      <c r="E311" s="152" t="s">
        <v>32</v>
      </c>
      <c r="F311" s="153">
        <v>324000</v>
      </c>
      <c r="G311" s="153">
        <f t="shared" si="12"/>
        <v>3888000</v>
      </c>
      <c r="H311" s="210" t="b">
        <f t="shared" si="10"/>
        <v>1</v>
      </c>
      <c r="I311" s="210"/>
      <c r="J311" s="210"/>
    </row>
    <row r="312" spans="1:10" ht="13.8" x14ac:dyDescent="0.25">
      <c r="A312" s="7" t="s">
        <v>2252</v>
      </c>
      <c r="B312" s="152"/>
      <c r="C312" s="151" t="s">
        <v>4215</v>
      </c>
      <c r="D312" s="152">
        <v>12</v>
      </c>
      <c r="E312" s="152" t="s">
        <v>32</v>
      </c>
      <c r="F312" s="153">
        <v>324000</v>
      </c>
      <c r="G312" s="153">
        <f t="shared" si="12"/>
        <v>3888000</v>
      </c>
      <c r="H312" s="210" t="b">
        <f t="shared" si="10"/>
        <v>1</v>
      </c>
      <c r="I312" s="210"/>
      <c r="J312" s="210"/>
    </row>
    <row r="313" spans="1:10" s="212" customFormat="1" ht="26.4" x14ac:dyDescent="0.25">
      <c r="A313" s="211" t="s">
        <v>2254</v>
      </c>
      <c r="B313" s="152"/>
      <c r="C313" s="151" t="s">
        <v>4216</v>
      </c>
      <c r="D313" s="152">
        <v>12</v>
      </c>
      <c r="E313" s="152" t="s">
        <v>32</v>
      </c>
      <c r="F313" s="153">
        <v>680000</v>
      </c>
      <c r="G313" s="153">
        <f t="shared" si="12"/>
        <v>8160000</v>
      </c>
      <c r="H313" s="210" t="b">
        <f t="shared" si="10"/>
        <v>1</v>
      </c>
      <c r="I313" s="210"/>
      <c r="J313" s="210"/>
    </row>
    <row r="314" spans="1:10" ht="13.8" x14ac:dyDescent="0.25">
      <c r="A314" s="7" t="s">
        <v>2256</v>
      </c>
      <c r="B314" s="152"/>
      <c r="C314" s="151" t="s">
        <v>4217</v>
      </c>
      <c r="D314" s="152">
        <v>12</v>
      </c>
      <c r="E314" s="152" t="s">
        <v>32</v>
      </c>
      <c r="F314" s="153">
        <v>200000</v>
      </c>
      <c r="G314" s="153">
        <f t="shared" si="12"/>
        <v>2400000</v>
      </c>
      <c r="H314" s="210" t="b">
        <f t="shared" si="10"/>
        <v>1</v>
      </c>
      <c r="I314" s="210"/>
      <c r="J314" s="210"/>
    </row>
    <row r="315" spans="1:10" ht="13.8" x14ac:dyDescent="0.25">
      <c r="A315" s="7" t="s">
        <v>2258</v>
      </c>
      <c r="B315" s="152"/>
      <c r="C315" s="151" t="s">
        <v>4218</v>
      </c>
      <c r="D315" s="152">
        <v>12</v>
      </c>
      <c r="E315" s="152" t="s">
        <v>32</v>
      </c>
      <c r="F315" s="153">
        <v>80000</v>
      </c>
      <c r="G315" s="153">
        <f t="shared" si="12"/>
        <v>960000</v>
      </c>
      <c r="H315" s="210" t="b">
        <f t="shared" si="10"/>
        <v>1</v>
      </c>
      <c r="I315" s="210"/>
      <c r="J315" s="210"/>
    </row>
    <row r="316" spans="1:10" ht="13.8" x14ac:dyDescent="0.25">
      <c r="A316" s="7" t="s">
        <v>2260</v>
      </c>
      <c r="B316" s="152"/>
      <c r="C316" s="151" t="s">
        <v>4219</v>
      </c>
      <c r="D316" s="152">
        <v>12</v>
      </c>
      <c r="E316" s="152" t="s">
        <v>32</v>
      </c>
      <c r="F316" s="153">
        <v>200000</v>
      </c>
      <c r="G316" s="153">
        <f t="shared" si="12"/>
        <v>2400000</v>
      </c>
      <c r="H316" s="210" t="b">
        <f t="shared" si="10"/>
        <v>1</v>
      </c>
      <c r="I316" s="210"/>
      <c r="J316" s="210"/>
    </row>
    <row r="317" spans="1:10" ht="13.8" x14ac:dyDescent="0.25">
      <c r="A317" s="7" t="s">
        <v>2262</v>
      </c>
      <c r="B317" s="152"/>
      <c r="C317" s="151" t="s">
        <v>4220</v>
      </c>
      <c r="D317" s="152">
        <v>1</v>
      </c>
      <c r="E317" s="152" t="s">
        <v>776</v>
      </c>
      <c r="F317" s="153">
        <v>400000</v>
      </c>
      <c r="G317" s="153">
        <f t="shared" si="12"/>
        <v>400000</v>
      </c>
      <c r="H317" s="210" t="b">
        <f t="shared" si="10"/>
        <v>1</v>
      </c>
      <c r="I317" s="210"/>
      <c r="J317" s="210"/>
    </row>
    <row r="318" spans="1:10" s="212" customFormat="1" ht="13.8" x14ac:dyDescent="0.25">
      <c r="A318" s="211" t="s">
        <v>2264</v>
      </c>
      <c r="B318" s="152"/>
      <c r="C318" s="151" t="s">
        <v>4221</v>
      </c>
      <c r="D318" s="152">
        <v>1</v>
      </c>
      <c r="E318" s="152" t="s">
        <v>25</v>
      </c>
      <c r="F318" s="153">
        <v>300000</v>
      </c>
      <c r="G318" s="153">
        <f t="shared" si="12"/>
        <v>300000</v>
      </c>
      <c r="H318" s="210" t="b">
        <f t="shared" si="10"/>
        <v>1</v>
      </c>
      <c r="I318" s="210"/>
      <c r="J318" s="210"/>
    </row>
    <row r="319" spans="1:10" ht="13.8" x14ac:dyDescent="0.25">
      <c r="A319" s="7" t="s">
        <v>2266</v>
      </c>
      <c r="B319" s="152"/>
      <c r="C319" s="151" t="s">
        <v>4222</v>
      </c>
      <c r="D319" s="152">
        <v>3</v>
      </c>
      <c r="E319" s="152" t="s">
        <v>25</v>
      </c>
      <c r="F319" s="153">
        <v>300000</v>
      </c>
      <c r="G319" s="153">
        <f t="shared" si="12"/>
        <v>900000</v>
      </c>
      <c r="H319" s="210" t="b">
        <f t="shared" si="10"/>
        <v>1</v>
      </c>
      <c r="I319" s="210"/>
      <c r="J319" s="210"/>
    </row>
    <row r="320" spans="1:10" ht="13.8" x14ac:dyDescent="0.25">
      <c r="A320" s="7" t="s">
        <v>4223</v>
      </c>
      <c r="B320" s="59" t="s">
        <v>4224</v>
      </c>
      <c r="C320" s="38" t="s">
        <v>4225</v>
      </c>
      <c r="D320" s="59"/>
      <c r="E320" s="59"/>
      <c r="F320" s="39"/>
      <c r="G320" s="39">
        <f>SUM(G321,G326,G331)</f>
        <v>100000000</v>
      </c>
      <c r="H320" s="210" t="b">
        <f t="shared" si="10"/>
        <v>1</v>
      </c>
      <c r="I320" s="210"/>
      <c r="J320" s="210"/>
    </row>
    <row r="321" spans="1:10" ht="13.8" x14ac:dyDescent="0.25">
      <c r="A321" s="7" t="s">
        <v>4226</v>
      </c>
      <c r="B321" s="60">
        <v>521111</v>
      </c>
      <c r="C321" s="41" t="s">
        <v>90</v>
      </c>
      <c r="D321" s="60"/>
      <c r="E321" s="60"/>
      <c r="F321" s="42"/>
      <c r="G321" s="42">
        <f>SUM(G322:G325)</f>
        <v>45000000</v>
      </c>
      <c r="H321" s="210" t="b">
        <f t="shared" si="10"/>
        <v>1</v>
      </c>
      <c r="I321" s="210"/>
      <c r="J321" s="210"/>
    </row>
    <row r="322" spans="1:10" ht="13.8" x14ac:dyDescent="0.25">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3.8" x14ac:dyDescent="0.25">
      <c r="A323" s="211" t="s">
        <v>4229</v>
      </c>
      <c r="B323" s="152"/>
      <c r="C323" s="151" t="s">
        <v>4230</v>
      </c>
      <c r="D323" s="152">
        <v>48</v>
      </c>
      <c r="E323" s="152" t="s">
        <v>58</v>
      </c>
      <c r="F323" s="153">
        <v>500000</v>
      </c>
      <c r="G323" s="153">
        <f>ROUNDDOWN(D323*F323,-3)</f>
        <v>24000000</v>
      </c>
      <c r="H323" s="210" t="b">
        <f t="shared" si="10"/>
        <v>1</v>
      </c>
      <c r="I323" s="210"/>
      <c r="J323" s="210"/>
    </row>
    <row r="324" spans="1:10" ht="13.8" x14ac:dyDescent="0.25">
      <c r="A324" s="7" t="s">
        <v>4231</v>
      </c>
      <c r="B324" s="152"/>
      <c r="C324" s="151" t="s">
        <v>4232</v>
      </c>
      <c r="D324" s="152">
        <v>12</v>
      </c>
      <c r="E324" s="152" t="s">
        <v>78</v>
      </c>
      <c r="F324" s="153">
        <v>500000</v>
      </c>
      <c r="G324" s="153">
        <f>ROUNDDOWN(D324*F324,-3)</f>
        <v>6000000</v>
      </c>
      <c r="H324" s="210" t="b">
        <f t="shared" si="10"/>
        <v>1</v>
      </c>
      <c r="I324" s="210"/>
      <c r="J324" s="210"/>
    </row>
    <row r="325" spans="1:10" ht="13.8" x14ac:dyDescent="0.25">
      <c r="A325" s="7" t="s">
        <v>4233</v>
      </c>
      <c r="B325" s="152"/>
      <c r="C325" s="151" t="s">
        <v>4234</v>
      </c>
      <c r="D325" s="152">
        <v>60</v>
      </c>
      <c r="E325" s="152" t="s">
        <v>116</v>
      </c>
      <c r="F325" s="153">
        <v>200000</v>
      </c>
      <c r="G325" s="153">
        <f>ROUNDDOWN(D325*F325,-3)</f>
        <v>12000000</v>
      </c>
      <c r="H325" s="210" t="b">
        <f t="shared" si="10"/>
        <v>1</v>
      </c>
      <c r="I325" s="210"/>
      <c r="J325" s="210"/>
    </row>
    <row r="326" spans="1:10" ht="13.8" x14ac:dyDescent="0.25">
      <c r="A326" s="7" t="s">
        <v>4235</v>
      </c>
      <c r="B326" s="60">
        <v>521811</v>
      </c>
      <c r="C326" s="41" t="s">
        <v>64</v>
      </c>
      <c r="D326" s="60"/>
      <c r="E326" s="60"/>
      <c r="F326" s="42"/>
      <c r="G326" s="42">
        <f>SUM(G327:G330)</f>
        <v>26000000</v>
      </c>
      <c r="H326" s="210" t="b">
        <f t="shared" si="10"/>
        <v>1</v>
      </c>
      <c r="I326" s="210"/>
      <c r="J326" s="210"/>
    </row>
    <row r="327" spans="1:10" ht="13.8" x14ac:dyDescent="0.25">
      <c r="A327" s="7" t="s">
        <v>4236</v>
      </c>
      <c r="B327" s="152"/>
      <c r="C327" s="151" t="s">
        <v>3625</v>
      </c>
      <c r="D327" s="152">
        <v>8</v>
      </c>
      <c r="E327" s="152" t="s">
        <v>9</v>
      </c>
      <c r="F327" s="153">
        <v>1000000</v>
      </c>
      <c r="G327" s="153">
        <f>ROUNDDOWN(D327*F327,-3)</f>
        <v>8000000</v>
      </c>
      <c r="H327" s="210" t="b">
        <f t="shared" si="10"/>
        <v>1</v>
      </c>
      <c r="I327" s="210"/>
      <c r="J327" s="210"/>
    </row>
    <row r="328" spans="1:10" ht="13.8" x14ac:dyDescent="0.25">
      <c r="A328" s="7" t="s">
        <v>4237</v>
      </c>
      <c r="B328" s="152"/>
      <c r="C328" s="151" t="s">
        <v>3626</v>
      </c>
      <c r="D328" s="152">
        <v>8</v>
      </c>
      <c r="E328" s="152" t="s">
        <v>9</v>
      </c>
      <c r="F328" s="153">
        <v>1500000</v>
      </c>
      <c r="G328" s="153">
        <f>ROUNDDOWN(D328*F328,-3)</f>
        <v>12000000</v>
      </c>
      <c r="H328" s="210" t="b">
        <f t="shared" si="10"/>
        <v>1</v>
      </c>
      <c r="I328" s="210"/>
      <c r="J328" s="210"/>
    </row>
    <row r="329" spans="1:10" ht="13.8" x14ac:dyDescent="0.25">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3.8" x14ac:dyDescent="0.25">
      <c r="A330" s="211" t="s">
        <v>4240</v>
      </c>
      <c r="B330" s="152"/>
      <c r="C330" s="151" t="s">
        <v>4241</v>
      </c>
      <c r="D330" s="152">
        <v>200</v>
      </c>
      <c r="E330" s="152" t="s">
        <v>120</v>
      </c>
      <c r="F330" s="153">
        <v>25000</v>
      </c>
      <c r="G330" s="153">
        <f>ROUNDDOWN(D330*F330,-3)</f>
        <v>5000000</v>
      </c>
      <c r="H330" s="210" t="b">
        <f t="shared" si="10"/>
        <v>1</v>
      </c>
      <c r="I330" s="210"/>
      <c r="J330" s="210"/>
    </row>
    <row r="331" spans="1:10" ht="13.8" x14ac:dyDescent="0.25">
      <c r="A331" s="7" t="s">
        <v>4242</v>
      </c>
      <c r="B331" s="60">
        <v>523121</v>
      </c>
      <c r="C331" s="41" t="s">
        <v>99</v>
      </c>
      <c r="D331" s="60"/>
      <c r="E331" s="60"/>
      <c r="F331" s="42"/>
      <c r="G331" s="42">
        <f>SUM(G332:G336)</f>
        <v>29000000</v>
      </c>
      <c r="H331" s="210" t="b">
        <f t="shared" si="10"/>
        <v>1</v>
      </c>
      <c r="I331" s="210"/>
      <c r="J331" s="210"/>
    </row>
    <row r="332" spans="1:10" s="212" customFormat="1" ht="13.8" x14ac:dyDescent="0.25">
      <c r="A332" s="211" t="s">
        <v>4243</v>
      </c>
      <c r="B332" s="152"/>
      <c r="C332" s="151" t="s">
        <v>4244</v>
      </c>
      <c r="D332" s="152">
        <v>1</v>
      </c>
      <c r="E332" s="152" t="s">
        <v>42</v>
      </c>
      <c r="F332" s="153">
        <v>7200000</v>
      </c>
      <c r="G332" s="153">
        <f>ROUNDDOWN(D332*F332,-3)</f>
        <v>7200000</v>
      </c>
      <c r="H332" s="210" t="b">
        <f t="shared" si="10"/>
        <v>1</v>
      </c>
      <c r="I332" s="210"/>
      <c r="J332" s="210"/>
    </row>
    <row r="333" spans="1:10" ht="13.8" x14ac:dyDescent="0.25">
      <c r="A333" s="7" t="s">
        <v>4245</v>
      </c>
      <c r="B333" s="152"/>
      <c r="C333" s="151" t="s">
        <v>4246</v>
      </c>
      <c r="D333" s="152">
        <v>10</v>
      </c>
      <c r="E333" s="152" t="s">
        <v>42</v>
      </c>
      <c r="F333" s="153">
        <v>730000</v>
      </c>
      <c r="G333" s="153">
        <f>ROUNDDOWN(D333*F333,-3)</f>
        <v>7300000</v>
      </c>
      <c r="H333" s="210" t="b">
        <f t="shared" si="10"/>
        <v>1</v>
      </c>
      <c r="I333" s="210"/>
      <c r="J333" s="210"/>
    </row>
    <row r="334" spans="1:10" ht="13.8" x14ac:dyDescent="0.25">
      <c r="A334" s="7" t="s">
        <v>4247</v>
      </c>
      <c r="B334" s="152"/>
      <c r="C334" s="151" t="s">
        <v>4248</v>
      </c>
      <c r="D334" s="152">
        <v>10</v>
      </c>
      <c r="E334" s="152" t="s">
        <v>44</v>
      </c>
      <c r="F334" s="153">
        <v>730000</v>
      </c>
      <c r="G334" s="153">
        <f>ROUNDDOWN(D334*F334,-3)</f>
        <v>7300000</v>
      </c>
      <c r="H334" s="210" t="b">
        <f t="shared" si="10"/>
        <v>1</v>
      </c>
      <c r="I334" s="210"/>
      <c r="J334" s="210"/>
    </row>
    <row r="335" spans="1:10" ht="13.8" x14ac:dyDescent="0.25">
      <c r="A335" s="7" t="s">
        <v>4249</v>
      </c>
      <c r="B335" s="152"/>
      <c r="C335" s="151" t="s">
        <v>4250</v>
      </c>
      <c r="D335" s="152">
        <v>10</v>
      </c>
      <c r="E335" s="152" t="s">
        <v>44</v>
      </c>
      <c r="F335" s="153">
        <v>690000</v>
      </c>
      <c r="G335" s="153">
        <f>ROUNDDOWN(D335*F335,-3)</f>
        <v>6900000</v>
      </c>
      <c r="H335" s="210" t="b">
        <f t="shared" si="10"/>
        <v>1</v>
      </c>
      <c r="I335" s="210"/>
      <c r="J335" s="210"/>
    </row>
    <row r="336" spans="1:10" ht="13.8" x14ac:dyDescent="0.25">
      <c r="A336" s="7" t="s">
        <v>4251</v>
      </c>
      <c r="B336" s="152"/>
      <c r="C336" s="151" t="s">
        <v>4252</v>
      </c>
      <c r="D336" s="152">
        <v>1</v>
      </c>
      <c r="E336" s="152" t="s">
        <v>60</v>
      </c>
      <c r="F336" s="153">
        <v>300000</v>
      </c>
      <c r="G336" s="153">
        <f>ROUNDDOWN(D336*F336,-3)</f>
        <v>300000</v>
      </c>
      <c r="H336" s="210" t="b">
        <f t="shared" si="10"/>
        <v>1</v>
      </c>
      <c r="I336" s="210"/>
      <c r="J336" s="210"/>
    </row>
    <row r="337" spans="1:10" ht="13.8" x14ac:dyDescent="0.25">
      <c r="A337" s="7" t="s">
        <v>2268</v>
      </c>
      <c r="B337" s="135" t="s">
        <v>2269</v>
      </c>
      <c r="C337" s="133" t="s">
        <v>2270</v>
      </c>
      <c r="D337" s="135">
        <v>2</v>
      </c>
      <c r="E337" s="135" t="s">
        <v>42</v>
      </c>
      <c r="F337" s="136"/>
      <c r="G337" s="136">
        <f>G338</f>
        <v>540934000</v>
      </c>
      <c r="H337" s="210" t="b">
        <f t="shared" si="10"/>
        <v>1</v>
      </c>
      <c r="I337" s="210"/>
      <c r="J337" s="210"/>
    </row>
    <row r="338" spans="1:10" ht="13.8" x14ac:dyDescent="0.25">
      <c r="A338" s="7" t="s">
        <v>2271</v>
      </c>
      <c r="B338" s="138" t="s">
        <v>4253</v>
      </c>
      <c r="C338" s="137" t="s">
        <v>2273</v>
      </c>
      <c r="D338" s="138">
        <v>1</v>
      </c>
      <c r="E338" s="138" t="s">
        <v>42</v>
      </c>
      <c r="F338" s="139"/>
      <c r="G338" s="139">
        <f>G339</f>
        <v>540934000</v>
      </c>
      <c r="H338" s="210" t="b">
        <f t="shared" si="10"/>
        <v>1</v>
      </c>
      <c r="I338" s="210"/>
      <c r="J338" s="210"/>
    </row>
    <row r="339" spans="1:10" ht="13.8" x14ac:dyDescent="0.25">
      <c r="A339" s="7" t="s">
        <v>2289</v>
      </c>
      <c r="B339" s="58">
        <v>301</v>
      </c>
      <c r="C339" s="35" t="s">
        <v>2290</v>
      </c>
      <c r="D339" s="58"/>
      <c r="E339" s="58"/>
      <c r="F339" s="36"/>
      <c r="G339" s="36">
        <f>G340</f>
        <v>540934000</v>
      </c>
      <c r="H339" s="210" t="b">
        <f t="shared" si="10"/>
        <v>1</v>
      </c>
      <c r="I339" s="210"/>
      <c r="J339" s="210"/>
    </row>
    <row r="340" spans="1:10" ht="13.8" x14ac:dyDescent="0.25">
      <c r="A340" s="7" t="s">
        <v>2291</v>
      </c>
      <c r="B340" s="59" t="s">
        <v>8</v>
      </c>
      <c r="C340" s="38" t="s">
        <v>2292</v>
      </c>
      <c r="D340" s="59"/>
      <c r="E340" s="59"/>
      <c r="F340" s="39"/>
      <c r="G340" s="39">
        <f>G341</f>
        <v>540934000</v>
      </c>
      <c r="H340" s="210" t="b">
        <f t="shared" si="10"/>
        <v>1</v>
      </c>
      <c r="I340" s="210"/>
      <c r="J340" s="210"/>
    </row>
    <row r="341" spans="1:10" ht="13.8" x14ac:dyDescent="0.25">
      <c r="A341" s="7" t="s">
        <v>2293</v>
      </c>
      <c r="B341" s="60">
        <v>532111</v>
      </c>
      <c r="C341" s="41" t="s">
        <v>43</v>
      </c>
      <c r="D341" s="60"/>
      <c r="E341" s="60"/>
      <c r="F341" s="42"/>
      <c r="G341" s="42">
        <f>G342</f>
        <v>540934000</v>
      </c>
      <c r="H341" s="210" t="b">
        <f t="shared" si="10"/>
        <v>1</v>
      </c>
      <c r="I341" s="210"/>
      <c r="J341" s="210"/>
    </row>
    <row r="342" spans="1:10" ht="13.8" x14ac:dyDescent="0.25">
      <c r="A342" s="7" t="s">
        <v>2294</v>
      </c>
      <c r="B342" s="152"/>
      <c r="C342" s="151" t="s">
        <v>4258</v>
      </c>
      <c r="D342" s="152">
        <v>1</v>
      </c>
      <c r="E342" s="152" t="s">
        <v>42</v>
      </c>
      <c r="F342" s="153">
        <v>540934000</v>
      </c>
      <c r="G342" s="153">
        <f>ROUNDDOWN(D342*F342,-3)</f>
        <v>540934000</v>
      </c>
      <c r="H342" s="210" t="b">
        <f t="shared" si="10"/>
        <v>1</v>
      </c>
      <c r="I342" s="210"/>
      <c r="J342" s="210"/>
    </row>
    <row r="343" spans="1:10" ht="13.8" x14ac:dyDescent="0.25">
      <c r="A343" s="7" t="s">
        <v>2465</v>
      </c>
      <c r="B343" s="135" t="s">
        <v>2466</v>
      </c>
      <c r="C343" s="133" t="s">
        <v>2467</v>
      </c>
      <c r="D343" s="135">
        <v>5</v>
      </c>
      <c r="E343" s="135" t="s">
        <v>4315</v>
      </c>
      <c r="F343" s="136"/>
      <c r="G343" s="136">
        <f>SUM(G344,G384,G426)</f>
        <v>1538790000</v>
      </c>
      <c r="H343" s="210" t="b">
        <f t="shared" si="10"/>
        <v>1</v>
      </c>
      <c r="I343" s="210"/>
      <c r="J343" s="210"/>
    </row>
    <row r="344" spans="1:10" ht="13.8" x14ac:dyDescent="0.25">
      <c r="A344" s="7" t="s">
        <v>2468</v>
      </c>
      <c r="B344" s="138" t="s">
        <v>4316</v>
      </c>
      <c r="C344" s="137" t="s">
        <v>2470</v>
      </c>
      <c r="D344" s="138">
        <v>1</v>
      </c>
      <c r="E344" s="138" t="s">
        <v>4315</v>
      </c>
      <c r="F344" s="139"/>
      <c r="G344" s="139">
        <f>G345</f>
        <v>615138000</v>
      </c>
      <c r="H344" s="210" t="b">
        <f t="shared" si="10"/>
        <v>1</v>
      </c>
      <c r="I344" s="210"/>
      <c r="J344" s="210"/>
    </row>
    <row r="345" spans="1:10" ht="26.4" x14ac:dyDescent="0.25">
      <c r="A345" s="7" t="s">
        <v>2739</v>
      </c>
      <c r="B345" s="58">
        <v>301</v>
      </c>
      <c r="C345" s="35" t="s">
        <v>2740</v>
      </c>
      <c r="D345" s="58"/>
      <c r="E345" s="58"/>
      <c r="F345" s="36"/>
      <c r="G345" s="36">
        <f>SUM(G346,G358,G372)</f>
        <v>615138000</v>
      </c>
      <c r="H345" s="210" t="b">
        <f t="shared" si="10"/>
        <v>1</v>
      </c>
      <c r="I345" s="210"/>
      <c r="J345" s="210"/>
    </row>
    <row r="346" spans="1:10" ht="13.8" x14ac:dyDescent="0.25">
      <c r="A346" s="7" t="s">
        <v>2741</v>
      </c>
      <c r="B346" s="59" t="s">
        <v>8</v>
      </c>
      <c r="C346" s="38" t="s">
        <v>129</v>
      </c>
      <c r="D346" s="59"/>
      <c r="E346" s="59"/>
      <c r="F346" s="39"/>
      <c r="G346" s="39">
        <f>SUM(G347,G351,G353,G356)</f>
        <v>101050000</v>
      </c>
      <c r="H346" s="210" t="b">
        <f t="shared" si="10"/>
        <v>1</v>
      </c>
      <c r="I346" s="210"/>
      <c r="J346" s="210"/>
    </row>
    <row r="347" spans="1:10" ht="13.8" x14ac:dyDescent="0.25">
      <c r="A347" s="7" t="s">
        <v>2742</v>
      </c>
      <c r="B347" s="60">
        <v>521211</v>
      </c>
      <c r="C347" s="41" t="s">
        <v>7</v>
      </c>
      <c r="D347" s="60"/>
      <c r="E347" s="60"/>
      <c r="F347" s="42"/>
      <c r="G347" s="42">
        <f>SUM(G348:G350)</f>
        <v>22650000</v>
      </c>
      <c r="H347" s="210" t="b">
        <f t="shared" si="10"/>
        <v>1</v>
      </c>
      <c r="I347" s="210"/>
      <c r="J347" s="210"/>
    </row>
    <row r="348" spans="1:10" ht="13.8" x14ac:dyDescent="0.25">
      <c r="A348" s="7" t="s">
        <v>2743</v>
      </c>
      <c r="B348" s="152"/>
      <c r="C348" s="151" t="s">
        <v>3598</v>
      </c>
      <c r="D348" s="152">
        <v>6</v>
      </c>
      <c r="E348" s="152" t="s">
        <v>9</v>
      </c>
      <c r="F348" s="153">
        <v>1500000</v>
      </c>
      <c r="G348" s="153">
        <f>ROUNDDOWN(D348*F348,-3)</f>
        <v>9000000</v>
      </c>
      <c r="H348" s="210" t="b">
        <f t="shared" si="10"/>
        <v>1</v>
      </c>
      <c r="I348" s="210"/>
      <c r="J348" s="210"/>
    </row>
    <row r="349" spans="1:10" ht="13.8" x14ac:dyDescent="0.25">
      <c r="A349" s="7" t="s">
        <v>2744</v>
      </c>
      <c r="B349" s="152"/>
      <c r="C349" s="151" t="s">
        <v>4420</v>
      </c>
      <c r="D349" s="152">
        <v>70</v>
      </c>
      <c r="E349" s="152" t="s">
        <v>10</v>
      </c>
      <c r="F349" s="153">
        <v>70000</v>
      </c>
      <c r="G349" s="153">
        <f>ROUNDDOWN(D349*F349,-3)</f>
        <v>4900000</v>
      </c>
      <c r="H349" s="210" t="b">
        <f t="shared" si="10"/>
        <v>1</v>
      </c>
      <c r="I349" s="210"/>
      <c r="J349" s="210"/>
    </row>
    <row r="350" spans="1:10" ht="13.8" x14ac:dyDescent="0.25">
      <c r="A350" s="7" t="s">
        <v>2746</v>
      </c>
      <c r="B350" s="152"/>
      <c r="C350" s="151" t="s">
        <v>4421</v>
      </c>
      <c r="D350" s="152">
        <v>25</v>
      </c>
      <c r="E350" s="152" t="s">
        <v>176</v>
      </c>
      <c r="F350" s="153">
        <v>350000</v>
      </c>
      <c r="G350" s="153">
        <f>ROUNDDOWN(D350*F350,-3)</f>
        <v>8750000</v>
      </c>
      <c r="H350" s="210" t="b">
        <f t="shared" si="10"/>
        <v>1</v>
      </c>
      <c r="I350" s="210"/>
      <c r="J350" s="210"/>
    </row>
    <row r="351" spans="1:10" ht="13.8" x14ac:dyDescent="0.25">
      <c r="A351" s="7" t="s">
        <v>2747</v>
      </c>
      <c r="B351" s="60">
        <v>521219</v>
      </c>
      <c r="C351" s="41" t="s">
        <v>53</v>
      </c>
      <c r="D351" s="60"/>
      <c r="E351" s="60"/>
      <c r="F351" s="42"/>
      <c r="G351" s="42">
        <f>G352</f>
        <v>1000000</v>
      </c>
      <c r="H351" s="210" t="b">
        <f t="shared" si="10"/>
        <v>1</v>
      </c>
      <c r="I351" s="210"/>
      <c r="J351" s="210"/>
    </row>
    <row r="352" spans="1:10" ht="13.8" x14ac:dyDescent="0.25">
      <c r="A352" s="7" t="s">
        <v>2748</v>
      </c>
      <c r="B352" s="152"/>
      <c r="C352" s="151" t="s">
        <v>3722</v>
      </c>
      <c r="D352" s="152">
        <v>4</v>
      </c>
      <c r="E352" s="152" t="s">
        <v>2749</v>
      </c>
      <c r="F352" s="153">
        <v>250000</v>
      </c>
      <c r="G352" s="153">
        <f>ROUNDDOWN(D352*F352,-3)</f>
        <v>1000000</v>
      </c>
      <c r="H352" s="210" t="b">
        <f t="shared" si="10"/>
        <v>1</v>
      </c>
      <c r="I352" s="210"/>
      <c r="J352" s="210"/>
    </row>
    <row r="353" spans="1:10" ht="13.8" x14ac:dyDescent="0.25">
      <c r="A353" s="7" t="s">
        <v>2750</v>
      </c>
      <c r="B353" s="60">
        <v>521811</v>
      </c>
      <c r="C353" s="41" t="s">
        <v>64</v>
      </c>
      <c r="D353" s="60"/>
      <c r="E353" s="60"/>
      <c r="F353" s="42"/>
      <c r="G353" s="42">
        <f>SUM(G354:G355)</f>
        <v>15000000</v>
      </c>
      <c r="H353" s="210" t="b">
        <f t="shared" si="10"/>
        <v>1</v>
      </c>
      <c r="I353" s="210"/>
      <c r="J353" s="210"/>
    </row>
    <row r="354" spans="1:10" ht="13.8" x14ac:dyDescent="0.25">
      <c r="A354" s="7" t="s">
        <v>2751</v>
      </c>
      <c r="B354" s="152"/>
      <c r="C354" s="151" t="s">
        <v>3625</v>
      </c>
      <c r="D354" s="152">
        <v>6</v>
      </c>
      <c r="E354" s="152" t="s">
        <v>106</v>
      </c>
      <c r="F354" s="153">
        <v>1000000</v>
      </c>
      <c r="G354" s="153">
        <f>ROUNDDOWN(D354*F354,-3)</f>
        <v>6000000</v>
      </c>
      <c r="H354" s="210" t="b">
        <f t="shared" si="10"/>
        <v>1</v>
      </c>
      <c r="I354" s="210"/>
      <c r="J354" s="210"/>
    </row>
    <row r="355" spans="1:10" ht="13.8" x14ac:dyDescent="0.25">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3.8" x14ac:dyDescent="0.25">
      <c r="A356" s="7" t="s">
        <v>2753</v>
      </c>
      <c r="B356" s="60">
        <v>524111</v>
      </c>
      <c r="C356" s="41" t="s">
        <v>19</v>
      </c>
      <c r="D356" s="60"/>
      <c r="E356" s="60"/>
      <c r="F356" s="42"/>
      <c r="G356" s="42">
        <f>G357</f>
        <v>62400000</v>
      </c>
      <c r="H356" s="210" t="b">
        <f t="shared" si="13"/>
        <v>1</v>
      </c>
      <c r="I356" s="210"/>
      <c r="J356" s="210"/>
    </row>
    <row r="357" spans="1:10" ht="13.8" x14ac:dyDescent="0.25">
      <c r="A357" s="7" t="s">
        <v>2754</v>
      </c>
      <c r="B357" s="152"/>
      <c r="C357" s="151" t="s">
        <v>4422</v>
      </c>
      <c r="D357" s="152">
        <v>12</v>
      </c>
      <c r="E357" s="152" t="s">
        <v>10</v>
      </c>
      <c r="F357" s="153">
        <v>5200000</v>
      </c>
      <c r="G357" s="153">
        <f>ROUNDDOWN(D357*F357,-3)</f>
        <v>62400000</v>
      </c>
      <c r="H357" s="210" t="b">
        <f t="shared" si="13"/>
        <v>1</v>
      </c>
      <c r="I357" s="210"/>
      <c r="J357" s="210"/>
    </row>
    <row r="358" spans="1:10" ht="13.8" x14ac:dyDescent="0.25">
      <c r="A358" s="7" t="s">
        <v>2756</v>
      </c>
      <c r="B358" s="59" t="s">
        <v>511</v>
      </c>
      <c r="C358" s="38" t="s">
        <v>130</v>
      </c>
      <c r="D358" s="59"/>
      <c r="E358" s="59"/>
      <c r="F358" s="39"/>
      <c r="G358" s="39">
        <f>SUM(G359,G363,G365,G368,G370)</f>
        <v>345988000</v>
      </c>
      <c r="H358" s="210" t="b">
        <f t="shared" si="13"/>
        <v>1</v>
      </c>
      <c r="I358" s="210"/>
      <c r="J358" s="210"/>
    </row>
    <row r="359" spans="1:10" ht="13.8" x14ac:dyDescent="0.25">
      <c r="A359" s="7" t="s">
        <v>2757</v>
      </c>
      <c r="B359" s="60">
        <v>521211</v>
      </c>
      <c r="C359" s="41" t="s">
        <v>7</v>
      </c>
      <c r="D359" s="60"/>
      <c r="E359" s="60"/>
      <c r="F359" s="42"/>
      <c r="G359" s="42">
        <f>SUM(G360:G362)</f>
        <v>49300000</v>
      </c>
      <c r="H359" s="210" t="b">
        <f t="shared" si="13"/>
        <v>1</v>
      </c>
      <c r="I359" s="210"/>
      <c r="J359" s="210"/>
    </row>
    <row r="360" spans="1:10" ht="13.8" x14ac:dyDescent="0.25">
      <c r="A360" s="7" t="s">
        <v>2758</v>
      </c>
      <c r="B360" s="152"/>
      <c r="C360" s="151" t="s">
        <v>3598</v>
      </c>
      <c r="D360" s="152">
        <v>10</v>
      </c>
      <c r="E360" s="152" t="s">
        <v>9</v>
      </c>
      <c r="F360" s="153">
        <v>1500000</v>
      </c>
      <c r="G360" s="153">
        <f>ROUNDDOWN(D360*F360,-3)</f>
        <v>15000000</v>
      </c>
      <c r="H360" s="210" t="b">
        <f t="shared" si="13"/>
        <v>1</v>
      </c>
      <c r="I360" s="210"/>
      <c r="J360" s="210"/>
    </row>
    <row r="361" spans="1:10" ht="13.8" x14ac:dyDescent="0.25">
      <c r="A361" s="7" t="s">
        <v>2759</v>
      </c>
      <c r="B361" s="152"/>
      <c r="C361" s="151" t="s">
        <v>4420</v>
      </c>
      <c r="D361" s="152">
        <v>290</v>
      </c>
      <c r="E361" s="152" t="s">
        <v>10</v>
      </c>
      <c r="F361" s="153">
        <v>70000</v>
      </c>
      <c r="G361" s="153">
        <f>ROUNDDOWN(D361*F361,-3)</f>
        <v>20300000</v>
      </c>
      <c r="H361" s="210" t="b">
        <f t="shared" si="13"/>
        <v>1</v>
      </c>
      <c r="I361" s="210"/>
      <c r="J361" s="210"/>
    </row>
    <row r="362" spans="1:10" ht="13.8" x14ac:dyDescent="0.25">
      <c r="A362" s="7" t="s">
        <v>2760</v>
      </c>
      <c r="B362" s="152"/>
      <c r="C362" s="151" t="s">
        <v>4421</v>
      </c>
      <c r="D362" s="152">
        <v>40</v>
      </c>
      <c r="E362" s="152" t="s">
        <v>176</v>
      </c>
      <c r="F362" s="153">
        <v>350000</v>
      </c>
      <c r="G362" s="153">
        <f>ROUNDDOWN(D362*F362,-3)</f>
        <v>14000000</v>
      </c>
      <c r="H362" s="210" t="b">
        <f t="shared" si="13"/>
        <v>1</v>
      </c>
      <c r="I362" s="210"/>
      <c r="J362" s="210"/>
    </row>
    <row r="363" spans="1:10" ht="13.8" x14ac:dyDescent="0.25">
      <c r="A363" s="7" t="s">
        <v>2761</v>
      </c>
      <c r="B363" s="60">
        <v>521219</v>
      </c>
      <c r="C363" s="41" t="s">
        <v>53</v>
      </c>
      <c r="D363" s="60"/>
      <c r="E363" s="60"/>
      <c r="F363" s="42"/>
      <c r="G363" s="42">
        <f>G364</f>
        <v>1000000</v>
      </c>
      <c r="H363" s="210" t="b">
        <f t="shared" si="13"/>
        <v>1</v>
      </c>
      <c r="I363" s="210"/>
      <c r="J363" s="210"/>
    </row>
    <row r="364" spans="1:10" ht="13.8" x14ac:dyDescent="0.25">
      <c r="A364" s="7" t="s">
        <v>2762</v>
      </c>
      <c r="B364" s="152"/>
      <c r="C364" s="151" t="s">
        <v>3722</v>
      </c>
      <c r="D364" s="152">
        <v>4</v>
      </c>
      <c r="E364" s="152" t="s">
        <v>9</v>
      </c>
      <c r="F364" s="153">
        <v>250000</v>
      </c>
      <c r="G364" s="153">
        <f>ROUNDDOWN(D364*F364,-3)</f>
        <v>1000000</v>
      </c>
      <c r="H364" s="210" t="b">
        <f t="shared" si="13"/>
        <v>1</v>
      </c>
      <c r="I364" s="210"/>
      <c r="J364" s="210"/>
    </row>
    <row r="365" spans="1:10" ht="13.8" x14ac:dyDescent="0.25">
      <c r="A365" s="7" t="s">
        <v>2763</v>
      </c>
      <c r="B365" s="60">
        <v>521811</v>
      </c>
      <c r="C365" s="41" t="s">
        <v>64</v>
      </c>
      <c r="D365" s="60"/>
      <c r="E365" s="60"/>
      <c r="F365" s="42"/>
      <c r="G365" s="42">
        <f>SUM(G366:G367)</f>
        <v>25000000</v>
      </c>
      <c r="H365" s="210" t="b">
        <f t="shared" si="13"/>
        <v>1</v>
      </c>
      <c r="I365" s="210"/>
      <c r="J365" s="210"/>
    </row>
    <row r="366" spans="1:10" ht="13.8" x14ac:dyDescent="0.25">
      <c r="A366" s="7" t="s">
        <v>2764</v>
      </c>
      <c r="B366" s="152"/>
      <c r="C366" s="151" t="s">
        <v>3625</v>
      </c>
      <c r="D366" s="152">
        <v>10</v>
      </c>
      <c r="E366" s="152" t="s">
        <v>106</v>
      </c>
      <c r="F366" s="153">
        <v>1000000</v>
      </c>
      <c r="G366" s="153">
        <f>ROUNDDOWN(D366*F366,-3)</f>
        <v>10000000</v>
      </c>
      <c r="H366" s="210" t="b">
        <f t="shared" si="13"/>
        <v>1</v>
      </c>
      <c r="I366" s="210"/>
      <c r="J366" s="210"/>
    </row>
    <row r="367" spans="1:10" ht="13.8" x14ac:dyDescent="0.25">
      <c r="A367" s="7" t="s">
        <v>2765</v>
      </c>
      <c r="B367" s="152"/>
      <c r="C367" s="151" t="s">
        <v>3626</v>
      </c>
      <c r="D367" s="152">
        <v>10</v>
      </c>
      <c r="E367" s="152" t="s">
        <v>106</v>
      </c>
      <c r="F367" s="153">
        <v>1500000</v>
      </c>
      <c r="G367" s="153">
        <f>ROUNDDOWN(D367*F367,-3)</f>
        <v>15000000</v>
      </c>
      <c r="H367" s="210" t="b">
        <f t="shared" si="13"/>
        <v>1</v>
      </c>
      <c r="I367" s="210"/>
      <c r="J367" s="210"/>
    </row>
    <row r="368" spans="1:10" ht="13.8" x14ac:dyDescent="0.25">
      <c r="A368" s="7" t="s">
        <v>2766</v>
      </c>
      <c r="B368" s="60">
        <v>522151</v>
      </c>
      <c r="C368" s="41" t="s">
        <v>11</v>
      </c>
      <c r="D368" s="60"/>
      <c r="E368" s="60"/>
      <c r="F368" s="42"/>
      <c r="G368" s="42">
        <f>G369</f>
        <v>12000000</v>
      </c>
      <c r="H368" s="210" t="b">
        <f t="shared" si="13"/>
        <v>1</v>
      </c>
      <c r="I368" s="210"/>
      <c r="J368" s="210"/>
    </row>
    <row r="369" spans="1:10" ht="13.8" x14ac:dyDescent="0.25">
      <c r="A369" s="7" t="s">
        <v>2767</v>
      </c>
      <c r="B369" s="152"/>
      <c r="C369" s="151" t="s">
        <v>3715</v>
      </c>
      <c r="D369" s="152">
        <v>12</v>
      </c>
      <c r="E369" s="152" t="s">
        <v>54</v>
      </c>
      <c r="F369" s="153">
        <v>1000000</v>
      </c>
      <c r="G369" s="153">
        <f>ROUNDDOWN(D369*F369,-3)</f>
        <v>12000000</v>
      </c>
      <c r="H369" s="210" t="b">
        <f t="shared" si="13"/>
        <v>1</v>
      </c>
      <c r="I369" s="210"/>
      <c r="J369" s="210"/>
    </row>
    <row r="370" spans="1:10" ht="13.8" x14ac:dyDescent="0.25">
      <c r="A370" s="7" t="s">
        <v>2768</v>
      </c>
      <c r="B370" s="60">
        <v>524111</v>
      </c>
      <c r="C370" s="41" t="s">
        <v>19</v>
      </c>
      <c r="D370" s="60"/>
      <c r="E370" s="60"/>
      <c r="F370" s="42"/>
      <c r="G370" s="42">
        <f>G371</f>
        <v>258688000</v>
      </c>
      <c r="H370" s="210" t="b">
        <f t="shared" si="13"/>
        <v>1</v>
      </c>
      <c r="I370" s="210"/>
      <c r="J370" s="210"/>
    </row>
    <row r="371" spans="1:10" ht="13.8" x14ac:dyDescent="0.25">
      <c r="A371" s="7" t="s">
        <v>2769</v>
      </c>
      <c r="B371" s="152"/>
      <c r="C371" s="151" t="s">
        <v>4423</v>
      </c>
      <c r="D371" s="152">
        <v>40</v>
      </c>
      <c r="E371" s="152" t="s">
        <v>10</v>
      </c>
      <c r="F371" s="153">
        <v>6467200</v>
      </c>
      <c r="G371" s="153">
        <f>ROUNDDOWN(D371*F371,-3)</f>
        <v>258688000</v>
      </c>
      <c r="H371" s="210" t="b">
        <f t="shared" si="13"/>
        <v>1</v>
      </c>
      <c r="I371" s="210"/>
      <c r="J371" s="210"/>
    </row>
    <row r="372" spans="1:10" ht="13.8" x14ac:dyDescent="0.25">
      <c r="A372" s="7" t="s">
        <v>2771</v>
      </c>
      <c r="B372" s="59" t="s">
        <v>512</v>
      </c>
      <c r="C372" s="38" t="s">
        <v>131</v>
      </c>
      <c r="D372" s="59"/>
      <c r="E372" s="59"/>
      <c r="F372" s="39"/>
      <c r="G372" s="39">
        <f>SUM(G373,G377,G380,G382)</f>
        <v>168100000</v>
      </c>
      <c r="H372" s="210" t="b">
        <f t="shared" si="13"/>
        <v>1</v>
      </c>
      <c r="I372" s="210"/>
      <c r="J372" s="210"/>
    </row>
    <row r="373" spans="1:10" ht="13.8" x14ac:dyDescent="0.25">
      <c r="A373" s="7" t="s">
        <v>2772</v>
      </c>
      <c r="B373" s="60">
        <v>521211</v>
      </c>
      <c r="C373" s="41" t="s">
        <v>7</v>
      </c>
      <c r="D373" s="60"/>
      <c r="E373" s="60"/>
      <c r="F373" s="42"/>
      <c r="G373" s="42">
        <f>SUM(G374:G376)</f>
        <v>39500000</v>
      </c>
      <c r="H373" s="210" t="b">
        <f t="shared" si="13"/>
        <v>1</v>
      </c>
      <c r="I373" s="210"/>
      <c r="J373" s="210"/>
    </row>
    <row r="374" spans="1:10" ht="13.8" x14ac:dyDescent="0.25">
      <c r="A374" s="7" t="s">
        <v>2773</v>
      </c>
      <c r="B374" s="152"/>
      <c r="C374" s="151" t="s">
        <v>3598</v>
      </c>
      <c r="D374" s="152">
        <v>10</v>
      </c>
      <c r="E374" s="152" t="s">
        <v>9</v>
      </c>
      <c r="F374" s="153">
        <v>1500000</v>
      </c>
      <c r="G374" s="153">
        <f>ROUNDDOWN(D374*F374,-3)</f>
        <v>15000000</v>
      </c>
      <c r="H374" s="210" t="b">
        <f t="shared" si="13"/>
        <v>1</v>
      </c>
      <c r="I374" s="210"/>
      <c r="J374" s="210"/>
    </row>
    <row r="375" spans="1:10" ht="13.8" x14ac:dyDescent="0.25">
      <c r="A375" s="7" t="s">
        <v>2774</v>
      </c>
      <c r="B375" s="152"/>
      <c r="C375" s="151" t="s">
        <v>4420</v>
      </c>
      <c r="D375" s="152">
        <v>150</v>
      </c>
      <c r="E375" s="152" t="s">
        <v>10</v>
      </c>
      <c r="F375" s="153">
        <v>70000</v>
      </c>
      <c r="G375" s="153">
        <f>ROUNDDOWN(D375*F375,-3)</f>
        <v>10500000</v>
      </c>
      <c r="H375" s="210" t="b">
        <f t="shared" si="13"/>
        <v>1</v>
      </c>
      <c r="I375" s="210"/>
      <c r="J375" s="210"/>
    </row>
    <row r="376" spans="1:10" ht="13.8" x14ac:dyDescent="0.25">
      <c r="A376" s="7" t="s">
        <v>2775</v>
      </c>
      <c r="B376" s="152"/>
      <c r="C376" s="151" t="s">
        <v>4421</v>
      </c>
      <c r="D376" s="152">
        <v>40</v>
      </c>
      <c r="E376" s="152" t="s">
        <v>176</v>
      </c>
      <c r="F376" s="153">
        <v>350000</v>
      </c>
      <c r="G376" s="153">
        <f>ROUNDDOWN(D376*F376,-3)</f>
        <v>14000000</v>
      </c>
      <c r="H376" s="210" t="b">
        <f t="shared" si="13"/>
        <v>1</v>
      </c>
      <c r="I376" s="210"/>
      <c r="J376" s="210"/>
    </row>
    <row r="377" spans="1:10" ht="13.8" x14ac:dyDescent="0.25">
      <c r="A377" s="7" t="s">
        <v>2776</v>
      </c>
      <c r="B377" s="60">
        <v>521811</v>
      </c>
      <c r="C377" s="41" t="s">
        <v>64</v>
      </c>
      <c r="D377" s="60"/>
      <c r="E377" s="60"/>
      <c r="F377" s="42"/>
      <c r="G377" s="42">
        <f>SUM(G378:G379)</f>
        <v>25000000</v>
      </c>
      <c r="H377" s="210" t="b">
        <f t="shared" si="13"/>
        <v>1</v>
      </c>
      <c r="I377" s="210"/>
      <c r="J377" s="210"/>
    </row>
    <row r="378" spans="1:10" ht="13.8" x14ac:dyDescent="0.25">
      <c r="A378" s="7" t="s">
        <v>2777</v>
      </c>
      <c r="B378" s="152"/>
      <c r="C378" s="151" t="s">
        <v>3625</v>
      </c>
      <c r="D378" s="152">
        <v>10</v>
      </c>
      <c r="E378" s="152" t="s">
        <v>106</v>
      </c>
      <c r="F378" s="153">
        <v>1000000</v>
      </c>
      <c r="G378" s="153">
        <f>ROUNDDOWN(D378*F378,-3)</f>
        <v>10000000</v>
      </c>
      <c r="H378" s="210" t="b">
        <f t="shared" si="13"/>
        <v>1</v>
      </c>
      <c r="I378" s="210"/>
      <c r="J378" s="210"/>
    </row>
    <row r="379" spans="1:10" ht="13.8" x14ac:dyDescent="0.25">
      <c r="A379" s="7" t="s">
        <v>2778</v>
      </c>
      <c r="B379" s="152"/>
      <c r="C379" s="151" t="s">
        <v>3626</v>
      </c>
      <c r="D379" s="152">
        <v>10</v>
      </c>
      <c r="E379" s="152" t="s">
        <v>106</v>
      </c>
      <c r="F379" s="153">
        <v>1500000</v>
      </c>
      <c r="G379" s="153">
        <f>ROUNDDOWN(D379*F379,-3)</f>
        <v>15000000</v>
      </c>
      <c r="H379" s="210" t="b">
        <f t="shared" si="13"/>
        <v>1</v>
      </c>
      <c r="I379" s="210"/>
      <c r="J379" s="210"/>
    </row>
    <row r="380" spans="1:10" ht="13.8" x14ac:dyDescent="0.25">
      <c r="A380" s="7" t="s">
        <v>2779</v>
      </c>
      <c r="B380" s="60">
        <v>522151</v>
      </c>
      <c r="C380" s="41" t="s">
        <v>11</v>
      </c>
      <c r="D380" s="60"/>
      <c r="E380" s="60"/>
      <c r="F380" s="42"/>
      <c r="G380" s="42">
        <f>G381</f>
        <v>10000000</v>
      </c>
      <c r="H380" s="210" t="b">
        <f t="shared" si="13"/>
        <v>1</v>
      </c>
      <c r="I380" s="210"/>
      <c r="J380" s="210"/>
    </row>
    <row r="381" spans="1:10" ht="13.8" x14ac:dyDescent="0.25">
      <c r="A381" s="7" t="s">
        <v>2780</v>
      </c>
      <c r="B381" s="152"/>
      <c r="C381" s="151" t="s">
        <v>3715</v>
      </c>
      <c r="D381" s="152">
        <v>10</v>
      </c>
      <c r="E381" s="152" t="s">
        <v>54</v>
      </c>
      <c r="F381" s="153">
        <v>1000000</v>
      </c>
      <c r="G381" s="153">
        <f>ROUNDDOWN(D381*F381,-3)</f>
        <v>10000000</v>
      </c>
      <c r="H381" s="210" t="b">
        <f t="shared" si="13"/>
        <v>1</v>
      </c>
      <c r="I381" s="210"/>
      <c r="J381" s="210"/>
    </row>
    <row r="382" spans="1:10" ht="13.8" x14ac:dyDescent="0.25">
      <c r="A382" s="7" t="s">
        <v>2781</v>
      </c>
      <c r="B382" s="60">
        <v>524111</v>
      </c>
      <c r="C382" s="41" t="s">
        <v>19</v>
      </c>
      <c r="D382" s="60"/>
      <c r="E382" s="60"/>
      <c r="F382" s="42"/>
      <c r="G382" s="42">
        <f>G383</f>
        <v>93600000</v>
      </c>
      <c r="H382" s="210" t="b">
        <f t="shared" si="13"/>
        <v>1</v>
      </c>
      <c r="I382" s="210"/>
      <c r="J382" s="210"/>
    </row>
    <row r="383" spans="1:10" ht="26.4" x14ac:dyDescent="0.25">
      <c r="A383" s="7" t="s">
        <v>2782</v>
      </c>
      <c r="B383" s="152"/>
      <c r="C383" s="151" t="s">
        <v>4424</v>
      </c>
      <c r="D383" s="152">
        <v>18</v>
      </c>
      <c r="E383" s="152" t="s">
        <v>10</v>
      </c>
      <c r="F383" s="153">
        <v>5200000</v>
      </c>
      <c r="G383" s="153">
        <f>ROUNDDOWN(D383*F383,-3)</f>
        <v>93600000</v>
      </c>
      <c r="H383" s="210" t="b">
        <f t="shared" si="13"/>
        <v>1</v>
      </c>
      <c r="I383" s="210"/>
      <c r="J383" s="210"/>
    </row>
    <row r="384" spans="1:10" ht="13.8" x14ac:dyDescent="0.25">
      <c r="A384" s="7" t="s">
        <v>2784</v>
      </c>
      <c r="B384" s="138" t="s">
        <v>4425</v>
      </c>
      <c r="C384" s="137" t="s">
        <v>2786</v>
      </c>
      <c r="D384" s="138">
        <v>2</v>
      </c>
      <c r="E384" s="138" t="s">
        <v>4315</v>
      </c>
      <c r="F384" s="139"/>
      <c r="G384" s="139">
        <f>SUM(G385,G414)</f>
        <v>633732000</v>
      </c>
      <c r="H384" s="210" t="b">
        <f t="shared" si="13"/>
        <v>1</v>
      </c>
      <c r="I384" s="210"/>
      <c r="J384" s="210"/>
    </row>
    <row r="385" spans="1:10" ht="26.4" x14ac:dyDescent="0.25">
      <c r="A385" s="7" t="s">
        <v>3052</v>
      </c>
      <c r="B385" s="58">
        <v>301</v>
      </c>
      <c r="C385" s="35" t="s">
        <v>3053</v>
      </c>
      <c r="D385" s="58"/>
      <c r="E385" s="58"/>
      <c r="F385" s="36"/>
      <c r="G385" s="36">
        <f>SUM(G386,G397)</f>
        <v>507200000</v>
      </c>
      <c r="H385" s="210" t="b">
        <f t="shared" si="13"/>
        <v>1</v>
      </c>
      <c r="I385" s="210"/>
      <c r="J385" s="210"/>
    </row>
    <row r="386" spans="1:10" ht="13.8" x14ac:dyDescent="0.25">
      <c r="A386" s="7" t="s">
        <v>3054</v>
      </c>
      <c r="B386" s="59" t="s">
        <v>8</v>
      </c>
      <c r="C386" s="38" t="s">
        <v>174</v>
      </c>
      <c r="D386" s="59"/>
      <c r="E386" s="59"/>
      <c r="F386" s="39"/>
      <c r="G386" s="39">
        <f>SUM(G387,G393,G395)</f>
        <v>295200000</v>
      </c>
      <c r="H386" s="210" t="b">
        <f t="shared" si="13"/>
        <v>1</v>
      </c>
      <c r="I386" s="210"/>
      <c r="J386" s="210"/>
    </row>
    <row r="387" spans="1:10" ht="13.8" x14ac:dyDescent="0.25">
      <c r="A387" s="7" t="s">
        <v>3055</v>
      </c>
      <c r="B387" s="60">
        <v>521211</v>
      </c>
      <c r="C387" s="41" t="s">
        <v>7</v>
      </c>
      <c r="D387" s="60"/>
      <c r="E387" s="60"/>
      <c r="F387" s="42"/>
      <c r="G387" s="42">
        <f>SUM(G388:G392)</f>
        <v>46000000</v>
      </c>
      <c r="H387" s="210" t="b">
        <f t="shared" si="13"/>
        <v>1</v>
      </c>
      <c r="I387" s="210"/>
      <c r="J387" s="210"/>
    </row>
    <row r="388" spans="1:10" ht="13.8" x14ac:dyDescent="0.25">
      <c r="A388" s="7" t="s">
        <v>3056</v>
      </c>
      <c r="B388" s="152"/>
      <c r="C388" s="151" t="s">
        <v>3598</v>
      </c>
      <c r="D388" s="152">
        <v>5</v>
      </c>
      <c r="E388" s="152" t="s">
        <v>9</v>
      </c>
      <c r="F388" s="153">
        <v>1500000</v>
      </c>
      <c r="G388" s="153">
        <f>ROUNDDOWN(D388*F388,-3)</f>
        <v>7500000</v>
      </c>
      <c r="H388" s="210" t="b">
        <f t="shared" si="13"/>
        <v>1</v>
      </c>
      <c r="I388" s="210"/>
      <c r="J388" s="210"/>
    </row>
    <row r="389" spans="1:10" ht="13.8" x14ac:dyDescent="0.25">
      <c r="A389" s="7" t="s">
        <v>3057</v>
      </c>
      <c r="B389" s="152"/>
      <c r="C389" s="151" t="s">
        <v>4420</v>
      </c>
      <c r="D389" s="152">
        <v>280</v>
      </c>
      <c r="E389" s="152" t="s">
        <v>10</v>
      </c>
      <c r="F389" s="153">
        <v>75000</v>
      </c>
      <c r="G389" s="153">
        <f>ROUNDDOWN(D389*F389,-3)</f>
        <v>21000000</v>
      </c>
      <c r="H389" s="210" t="b">
        <f t="shared" si="13"/>
        <v>1</v>
      </c>
      <c r="I389" s="210"/>
      <c r="J389" s="210"/>
    </row>
    <row r="390" spans="1:10" ht="13.8" x14ac:dyDescent="0.25">
      <c r="A390" s="7" t="s">
        <v>3058</v>
      </c>
      <c r="B390" s="152"/>
      <c r="C390" s="151" t="s">
        <v>4421</v>
      </c>
      <c r="D390" s="152">
        <v>30</v>
      </c>
      <c r="E390" s="152" t="s">
        <v>176</v>
      </c>
      <c r="F390" s="153">
        <v>250000</v>
      </c>
      <c r="G390" s="153">
        <f>ROUNDDOWN(D390*F390,-3)</f>
        <v>7500000</v>
      </c>
      <c r="H390" s="210" t="b">
        <f t="shared" si="13"/>
        <v>1</v>
      </c>
      <c r="I390" s="210"/>
      <c r="J390" s="210"/>
    </row>
    <row r="391" spans="1:10" ht="13.8" x14ac:dyDescent="0.25">
      <c r="A391" s="7" t="s">
        <v>3059</v>
      </c>
      <c r="B391" s="152"/>
      <c r="C391" s="151" t="s">
        <v>3610</v>
      </c>
      <c r="D391" s="152">
        <v>4</v>
      </c>
      <c r="E391" s="152" t="s">
        <v>106</v>
      </c>
      <c r="F391" s="153">
        <v>1000000</v>
      </c>
      <c r="G391" s="153">
        <f>ROUNDDOWN(D391*F391,-3)</f>
        <v>4000000</v>
      </c>
      <c r="H391" s="210" t="b">
        <f t="shared" si="13"/>
        <v>1</v>
      </c>
      <c r="I391" s="210"/>
      <c r="J391" s="210"/>
    </row>
    <row r="392" spans="1:10" ht="13.8" x14ac:dyDescent="0.25">
      <c r="A392" s="7" t="s">
        <v>3060</v>
      </c>
      <c r="B392" s="152"/>
      <c r="C392" s="151" t="s">
        <v>3611</v>
      </c>
      <c r="D392" s="152">
        <v>4</v>
      </c>
      <c r="E392" s="152" t="s">
        <v>106</v>
      </c>
      <c r="F392" s="153">
        <v>1500000</v>
      </c>
      <c r="G392" s="153">
        <f>ROUNDDOWN(D392*F392,-3)</f>
        <v>6000000</v>
      </c>
      <c r="H392" s="210" t="b">
        <f t="shared" si="13"/>
        <v>1</v>
      </c>
      <c r="I392" s="210"/>
      <c r="J392" s="210"/>
    </row>
    <row r="393" spans="1:10" ht="13.8" x14ac:dyDescent="0.25">
      <c r="A393" s="7" t="s">
        <v>3061</v>
      </c>
      <c r="B393" s="60">
        <v>521219</v>
      </c>
      <c r="C393" s="41" t="s">
        <v>53</v>
      </c>
      <c r="D393" s="60"/>
      <c r="E393" s="60"/>
      <c r="F393" s="42"/>
      <c r="G393" s="42">
        <f>G394</f>
        <v>2000000</v>
      </c>
      <c r="H393" s="210" t="b">
        <f t="shared" si="13"/>
        <v>1</v>
      </c>
      <c r="I393" s="210"/>
      <c r="J393" s="210"/>
    </row>
    <row r="394" spans="1:10" ht="26.4" x14ac:dyDescent="0.25">
      <c r="A394" s="7" t="s">
        <v>3062</v>
      </c>
      <c r="B394" s="152"/>
      <c r="C394" s="151" t="s">
        <v>4508</v>
      </c>
      <c r="D394" s="152">
        <v>1</v>
      </c>
      <c r="E394" s="152" t="s">
        <v>153</v>
      </c>
      <c r="F394" s="153">
        <v>2000000</v>
      </c>
      <c r="G394" s="153">
        <f>ROUNDDOWN(D394*F394,-3)</f>
        <v>2000000</v>
      </c>
      <c r="H394" s="210" t="b">
        <f t="shared" si="13"/>
        <v>1</v>
      </c>
      <c r="I394" s="210"/>
      <c r="J394" s="210"/>
    </row>
    <row r="395" spans="1:10" ht="13.8" x14ac:dyDescent="0.25">
      <c r="A395" s="7" t="s">
        <v>3064</v>
      </c>
      <c r="B395" s="60">
        <v>524111</v>
      </c>
      <c r="C395" s="41" t="s">
        <v>19</v>
      </c>
      <c r="D395" s="60"/>
      <c r="E395" s="60"/>
      <c r="F395" s="42"/>
      <c r="G395" s="42">
        <f>G396</f>
        <v>247200000</v>
      </c>
      <c r="H395" s="210" t="b">
        <f t="shared" si="13"/>
        <v>1</v>
      </c>
      <c r="I395" s="210"/>
      <c r="J395" s="210"/>
    </row>
    <row r="396" spans="1:10" ht="13.8" x14ac:dyDescent="0.25">
      <c r="A396" s="7" t="s">
        <v>3065</v>
      </c>
      <c r="B396" s="152"/>
      <c r="C396" s="151" t="s">
        <v>4509</v>
      </c>
      <c r="D396" s="152">
        <v>40</v>
      </c>
      <c r="E396" s="152" t="s">
        <v>10</v>
      </c>
      <c r="F396" s="153">
        <v>6180000</v>
      </c>
      <c r="G396" s="153">
        <f>ROUNDDOWN(D396*F396,-3)</f>
        <v>247200000</v>
      </c>
      <c r="H396" s="210" t="b">
        <f t="shared" si="13"/>
        <v>1</v>
      </c>
      <c r="I396" s="210"/>
      <c r="J396" s="210"/>
    </row>
    <row r="397" spans="1:10" ht="13.8" x14ac:dyDescent="0.25">
      <c r="A397" s="7" t="s">
        <v>3067</v>
      </c>
      <c r="B397" s="59" t="s">
        <v>511</v>
      </c>
      <c r="C397" s="38" t="s">
        <v>175</v>
      </c>
      <c r="D397" s="59"/>
      <c r="E397" s="59"/>
      <c r="F397" s="39"/>
      <c r="G397" s="39">
        <f>SUM(G398,G405,G408,G410,G412)</f>
        <v>212000000</v>
      </c>
      <c r="H397" s="210" t="b">
        <f t="shared" si="13"/>
        <v>1</v>
      </c>
      <c r="I397" s="210"/>
      <c r="J397" s="210"/>
    </row>
    <row r="398" spans="1:10" ht="13.8" x14ac:dyDescent="0.25">
      <c r="A398" s="7" t="s">
        <v>3068</v>
      </c>
      <c r="B398" s="60">
        <v>521211</v>
      </c>
      <c r="C398" s="41" t="s">
        <v>7</v>
      </c>
      <c r="D398" s="60"/>
      <c r="E398" s="60"/>
      <c r="F398" s="42"/>
      <c r="G398" s="42">
        <f>SUM(G399:G404)</f>
        <v>41000000</v>
      </c>
      <c r="H398" s="210" t="b">
        <f t="shared" si="13"/>
        <v>1</v>
      </c>
      <c r="I398" s="210"/>
      <c r="J398" s="210"/>
    </row>
    <row r="399" spans="1:10" ht="13.8" x14ac:dyDescent="0.25">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3.8" x14ac:dyDescent="0.25">
      <c r="A400" s="7" t="s">
        <v>3070</v>
      </c>
      <c r="B400" s="152"/>
      <c r="C400" s="151" t="s">
        <v>4420</v>
      </c>
      <c r="D400" s="152">
        <v>180</v>
      </c>
      <c r="E400" s="152" t="s">
        <v>10</v>
      </c>
      <c r="F400" s="153">
        <v>75000</v>
      </c>
      <c r="G400" s="153">
        <f t="shared" si="14"/>
        <v>13500000</v>
      </c>
      <c r="H400" s="210" t="b">
        <f t="shared" si="13"/>
        <v>1</v>
      </c>
      <c r="I400" s="210"/>
      <c r="J400" s="210"/>
    </row>
    <row r="401" spans="1:10" ht="13.8" x14ac:dyDescent="0.25">
      <c r="A401" s="7" t="s">
        <v>3071</v>
      </c>
      <c r="B401" s="152"/>
      <c r="C401" s="151" t="s">
        <v>4510</v>
      </c>
      <c r="D401" s="152">
        <v>15</v>
      </c>
      <c r="E401" s="152" t="s">
        <v>176</v>
      </c>
      <c r="F401" s="153">
        <v>500000</v>
      </c>
      <c r="G401" s="153">
        <f t="shared" si="14"/>
        <v>7500000</v>
      </c>
      <c r="H401" s="210" t="b">
        <f t="shared" si="13"/>
        <v>1</v>
      </c>
      <c r="I401" s="210"/>
      <c r="J401" s="210"/>
    </row>
    <row r="402" spans="1:10" ht="13.8" x14ac:dyDescent="0.25">
      <c r="A402" s="7" t="s">
        <v>3073</v>
      </c>
      <c r="B402" s="152"/>
      <c r="C402" s="151" t="s">
        <v>3610</v>
      </c>
      <c r="D402" s="152">
        <v>4</v>
      </c>
      <c r="E402" s="152" t="s">
        <v>106</v>
      </c>
      <c r="F402" s="153">
        <v>1000000</v>
      </c>
      <c r="G402" s="153">
        <f t="shared" si="14"/>
        <v>4000000</v>
      </c>
      <c r="H402" s="210" t="b">
        <f t="shared" si="13"/>
        <v>1</v>
      </c>
      <c r="I402" s="210"/>
      <c r="J402" s="210"/>
    </row>
    <row r="403" spans="1:10" ht="13.8" x14ac:dyDescent="0.25">
      <c r="A403" s="7" t="s">
        <v>3074</v>
      </c>
      <c r="B403" s="152"/>
      <c r="C403" s="151" t="s">
        <v>3611</v>
      </c>
      <c r="D403" s="152">
        <v>4</v>
      </c>
      <c r="E403" s="152" t="s">
        <v>106</v>
      </c>
      <c r="F403" s="153">
        <v>1500000</v>
      </c>
      <c r="G403" s="153">
        <f t="shared" si="14"/>
        <v>6000000</v>
      </c>
      <c r="H403" s="210" t="b">
        <f t="shared" si="13"/>
        <v>1</v>
      </c>
      <c r="I403" s="210"/>
      <c r="J403" s="210"/>
    </row>
    <row r="404" spans="1:10" ht="13.8" x14ac:dyDescent="0.25">
      <c r="A404" s="7" t="s">
        <v>3075</v>
      </c>
      <c r="B404" s="152"/>
      <c r="C404" s="151" t="s">
        <v>4511</v>
      </c>
      <c r="D404" s="152">
        <v>8</v>
      </c>
      <c r="E404" s="152" t="s">
        <v>58</v>
      </c>
      <c r="F404" s="153">
        <v>500000</v>
      </c>
      <c r="G404" s="153">
        <f t="shared" si="14"/>
        <v>4000000</v>
      </c>
      <c r="H404" s="210" t="b">
        <f t="shared" si="13"/>
        <v>1</v>
      </c>
      <c r="I404" s="210"/>
      <c r="J404" s="210"/>
    </row>
    <row r="405" spans="1:10" ht="13.8" x14ac:dyDescent="0.25">
      <c r="A405" s="7" t="s">
        <v>3077</v>
      </c>
      <c r="B405" s="60">
        <v>521219</v>
      </c>
      <c r="C405" s="41" t="s">
        <v>53</v>
      </c>
      <c r="D405" s="60"/>
      <c r="E405" s="60"/>
      <c r="F405" s="42"/>
      <c r="G405" s="42">
        <f>SUM(G406:G407)</f>
        <v>32000000</v>
      </c>
      <c r="H405" s="210" t="b">
        <f t="shared" si="13"/>
        <v>1</v>
      </c>
      <c r="I405" s="210"/>
      <c r="J405" s="210"/>
    </row>
    <row r="406" spans="1:10" ht="26.4" x14ac:dyDescent="0.25">
      <c r="A406" s="7" t="s">
        <v>3078</v>
      </c>
      <c r="B406" s="152"/>
      <c r="C406" s="151" t="s">
        <v>4512</v>
      </c>
      <c r="D406" s="152">
        <v>2</v>
      </c>
      <c r="E406" s="152" t="s">
        <v>177</v>
      </c>
      <c r="F406" s="153">
        <v>15000000</v>
      </c>
      <c r="G406" s="153">
        <f>ROUNDDOWN(D406*F406,-3)</f>
        <v>30000000</v>
      </c>
      <c r="H406" s="210" t="b">
        <f t="shared" si="13"/>
        <v>1</v>
      </c>
      <c r="I406" s="210"/>
      <c r="J406" s="210"/>
    </row>
    <row r="407" spans="1:10" ht="26.4" x14ac:dyDescent="0.25">
      <c r="A407" s="7" t="s">
        <v>3080</v>
      </c>
      <c r="B407" s="152"/>
      <c r="C407" s="151" t="s">
        <v>4513</v>
      </c>
      <c r="D407" s="152">
        <v>1</v>
      </c>
      <c r="E407" s="152" t="s">
        <v>60</v>
      </c>
      <c r="F407" s="153">
        <v>2000000</v>
      </c>
      <c r="G407" s="153">
        <f>ROUNDDOWN(D407*F407,-3)</f>
        <v>2000000</v>
      </c>
      <c r="H407" s="210" t="b">
        <f t="shared" si="13"/>
        <v>1</v>
      </c>
      <c r="I407" s="210"/>
      <c r="J407" s="210"/>
    </row>
    <row r="408" spans="1:10" ht="13.8" x14ac:dyDescent="0.25">
      <c r="A408" s="7" t="s">
        <v>3082</v>
      </c>
      <c r="B408" s="60">
        <v>522151</v>
      </c>
      <c r="C408" s="41" t="s">
        <v>11</v>
      </c>
      <c r="D408" s="60"/>
      <c r="E408" s="60"/>
      <c r="F408" s="42"/>
      <c r="G408" s="42">
        <f>G409</f>
        <v>10000000</v>
      </c>
      <c r="H408" s="210" t="b">
        <f t="shared" si="13"/>
        <v>1</v>
      </c>
      <c r="I408" s="210"/>
      <c r="J408" s="210"/>
    </row>
    <row r="409" spans="1:10" ht="13.8" x14ac:dyDescent="0.25">
      <c r="A409" s="7" t="s">
        <v>3083</v>
      </c>
      <c r="B409" s="152"/>
      <c r="C409" s="151" t="s">
        <v>3715</v>
      </c>
      <c r="D409" s="152">
        <v>10</v>
      </c>
      <c r="E409" s="152" t="s">
        <v>54</v>
      </c>
      <c r="F409" s="153">
        <v>1000000</v>
      </c>
      <c r="G409" s="153">
        <f>ROUNDDOWN(D409*F409,-3)</f>
        <v>10000000</v>
      </c>
      <c r="H409" s="210" t="b">
        <f t="shared" si="13"/>
        <v>1</v>
      </c>
      <c r="I409" s="210"/>
      <c r="J409" s="210"/>
    </row>
    <row r="410" spans="1:10" ht="13.8" x14ac:dyDescent="0.25">
      <c r="A410" s="7" t="s">
        <v>3084</v>
      </c>
      <c r="B410" s="60">
        <v>524111</v>
      </c>
      <c r="C410" s="41" t="s">
        <v>19</v>
      </c>
      <c r="D410" s="60"/>
      <c r="E410" s="60"/>
      <c r="F410" s="42"/>
      <c r="G410" s="42">
        <f>G411</f>
        <v>120000000</v>
      </c>
      <c r="H410" s="210" t="b">
        <f t="shared" si="13"/>
        <v>1</v>
      </c>
      <c r="I410" s="210"/>
      <c r="J410" s="210"/>
    </row>
    <row r="411" spans="1:10" ht="13.8" x14ac:dyDescent="0.25">
      <c r="A411" s="7" t="s">
        <v>3085</v>
      </c>
      <c r="B411" s="152"/>
      <c r="C411" s="151" t="s">
        <v>4514</v>
      </c>
      <c r="D411" s="152">
        <v>30</v>
      </c>
      <c r="E411" s="152" t="s">
        <v>10</v>
      </c>
      <c r="F411" s="153">
        <v>4000000</v>
      </c>
      <c r="G411" s="153">
        <f>ROUNDDOWN(D411*F411,-3)</f>
        <v>120000000</v>
      </c>
      <c r="H411" s="210" t="b">
        <f t="shared" si="13"/>
        <v>1</v>
      </c>
      <c r="I411" s="210"/>
      <c r="J411" s="210"/>
    </row>
    <row r="412" spans="1:10" ht="13.8" x14ac:dyDescent="0.25">
      <c r="A412" s="7" t="s">
        <v>3087</v>
      </c>
      <c r="B412" s="60">
        <v>524113</v>
      </c>
      <c r="C412" s="41" t="s">
        <v>13</v>
      </c>
      <c r="D412" s="60"/>
      <c r="E412" s="60"/>
      <c r="F412" s="42"/>
      <c r="G412" s="42">
        <f>G413</f>
        <v>9000000</v>
      </c>
      <c r="H412" s="210" t="b">
        <f t="shared" si="13"/>
        <v>1</v>
      </c>
      <c r="I412" s="210"/>
      <c r="J412" s="210"/>
    </row>
    <row r="413" spans="1:10" ht="13.8" x14ac:dyDescent="0.25">
      <c r="A413" s="7" t="s">
        <v>3088</v>
      </c>
      <c r="B413" s="152"/>
      <c r="C413" s="151" t="s">
        <v>3613</v>
      </c>
      <c r="D413" s="152">
        <v>60</v>
      </c>
      <c r="E413" s="152" t="s">
        <v>25</v>
      </c>
      <c r="F413" s="153">
        <v>150000</v>
      </c>
      <c r="G413" s="153">
        <f>ROUNDDOWN(D413*F413,-3)</f>
        <v>9000000</v>
      </c>
      <c r="H413" s="210" t="b">
        <f t="shared" si="13"/>
        <v>1</v>
      </c>
      <c r="I413" s="210"/>
      <c r="J413" s="210"/>
    </row>
    <row r="414" spans="1:10" ht="26.4" x14ac:dyDescent="0.25">
      <c r="A414" s="7" t="s">
        <v>3089</v>
      </c>
      <c r="B414" s="58">
        <v>302</v>
      </c>
      <c r="C414" s="35" t="s">
        <v>3091</v>
      </c>
      <c r="D414" s="58"/>
      <c r="E414" s="58"/>
      <c r="F414" s="36"/>
      <c r="G414" s="36">
        <f>G415</f>
        <v>126532000</v>
      </c>
      <c r="H414" s="210" t="b">
        <f t="shared" si="13"/>
        <v>1</v>
      </c>
      <c r="I414" s="210"/>
      <c r="J414" s="210"/>
    </row>
    <row r="415" spans="1:10" ht="13.8" x14ac:dyDescent="0.25">
      <c r="A415" s="7" t="s">
        <v>3092</v>
      </c>
      <c r="B415" s="59" t="s">
        <v>8</v>
      </c>
      <c r="C415" s="38" t="s">
        <v>178</v>
      </c>
      <c r="D415" s="59"/>
      <c r="E415" s="59"/>
      <c r="F415" s="39"/>
      <c r="G415" s="39">
        <f>SUM(G416,G422,G424)</f>
        <v>126532000</v>
      </c>
      <c r="H415" s="210" t="b">
        <f t="shared" si="13"/>
        <v>1</v>
      </c>
      <c r="I415" s="210"/>
      <c r="J415" s="210"/>
    </row>
    <row r="416" spans="1:10" ht="13.8" x14ac:dyDescent="0.25">
      <c r="A416" s="7" t="s">
        <v>3093</v>
      </c>
      <c r="B416" s="60">
        <v>521211</v>
      </c>
      <c r="C416" s="41" t="s">
        <v>7</v>
      </c>
      <c r="D416" s="60"/>
      <c r="E416" s="60"/>
      <c r="F416" s="42"/>
      <c r="G416" s="42">
        <f>SUM(G417:G421)</f>
        <v>35500000</v>
      </c>
      <c r="H416" s="210" t="b">
        <f t="shared" si="13"/>
        <v>1</v>
      </c>
      <c r="I416" s="210"/>
      <c r="J416" s="210"/>
    </row>
    <row r="417" spans="1:10" ht="13.8" x14ac:dyDescent="0.25">
      <c r="A417" s="7" t="s">
        <v>3094</v>
      </c>
      <c r="B417" s="152"/>
      <c r="C417" s="151" t="s">
        <v>3598</v>
      </c>
      <c r="D417" s="152">
        <v>4</v>
      </c>
      <c r="E417" s="152" t="s">
        <v>9</v>
      </c>
      <c r="F417" s="153">
        <v>1500000</v>
      </c>
      <c r="G417" s="153">
        <f>ROUNDDOWN(D417*F417,-3)</f>
        <v>6000000</v>
      </c>
      <c r="H417" s="210" t="b">
        <f t="shared" si="13"/>
        <v>1</v>
      </c>
      <c r="I417" s="210"/>
      <c r="J417" s="210"/>
    </row>
    <row r="418" spans="1:10" ht="13.8" x14ac:dyDescent="0.25">
      <c r="A418" s="7" t="s">
        <v>3095</v>
      </c>
      <c r="B418" s="152"/>
      <c r="C418" s="151" t="s">
        <v>4420</v>
      </c>
      <c r="D418" s="152">
        <v>180</v>
      </c>
      <c r="E418" s="152" t="s">
        <v>10</v>
      </c>
      <c r="F418" s="153">
        <v>75000</v>
      </c>
      <c r="G418" s="153">
        <f>ROUNDDOWN(D418*F418,-3)</f>
        <v>13500000</v>
      </c>
      <c r="H418" s="210" t="b">
        <f t="shared" si="13"/>
        <v>1</v>
      </c>
      <c r="I418" s="210"/>
      <c r="J418" s="210"/>
    </row>
    <row r="419" spans="1:10" ht="13.8" x14ac:dyDescent="0.25">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3.8" x14ac:dyDescent="0.25">
      <c r="A420" s="7" t="s">
        <v>3097</v>
      </c>
      <c r="B420" s="152"/>
      <c r="C420" s="151" t="s">
        <v>3601</v>
      </c>
      <c r="D420" s="152">
        <v>4</v>
      </c>
      <c r="E420" s="152" t="s">
        <v>106</v>
      </c>
      <c r="F420" s="153">
        <v>1500000</v>
      </c>
      <c r="G420" s="153">
        <f>ROUNDDOWN(D420*F420,-3)</f>
        <v>6000000</v>
      </c>
      <c r="H420" s="210" t="b">
        <f t="shared" si="15"/>
        <v>1</v>
      </c>
      <c r="I420" s="210"/>
      <c r="J420" s="210"/>
    </row>
    <row r="421" spans="1:10" ht="13.8" x14ac:dyDescent="0.25">
      <c r="A421" s="7" t="s">
        <v>3098</v>
      </c>
      <c r="B421" s="152"/>
      <c r="C421" s="151" t="s">
        <v>4515</v>
      </c>
      <c r="D421" s="152">
        <v>12</v>
      </c>
      <c r="E421" s="152" t="s">
        <v>176</v>
      </c>
      <c r="F421" s="153">
        <v>500000</v>
      </c>
      <c r="G421" s="153">
        <f>ROUNDDOWN(D421*F421,-3)</f>
        <v>6000000</v>
      </c>
      <c r="H421" s="210" t="b">
        <f t="shared" si="15"/>
        <v>1</v>
      </c>
      <c r="I421" s="210"/>
      <c r="J421" s="210"/>
    </row>
    <row r="422" spans="1:10" ht="13.8" x14ac:dyDescent="0.25">
      <c r="A422" s="7" t="s">
        <v>3100</v>
      </c>
      <c r="B422" s="60">
        <v>521219</v>
      </c>
      <c r="C422" s="41" t="s">
        <v>53</v>
      </c>
      <c r="D422" s="60"/>
      <c r="E422" s="60"/>
      <c r="F422" s="42"/>
      <c r="G422" s="42">
        <f>G423</f>
        <v>2000000</v>
      </c>
      <c r="H422" s="210" t="b">
        <f t="shared" si="15"/>
        <v>1</v>
      </c>
      <c r="I422" s="210"/>
      <c r="J422" s="210"/>
    </row>
    <row r="423" spans="1:10" ht="26.4" x14ac:dyDescent="0.25">
      <c r="A423" s="7" t="s">
        <v>3101</v>
      </c>
      <c r="B423" s="152"/>
      <c r="C423" s="151" t="s">
        <v>4508</v>
      </c>
      <c r="D423" s="152">
        <v>1</v>
      </c>
      <c r="E423" s="152" t="s">
        <v>153</v>
      </c>
      <c r="F423" s="153">
        <v>2000000</v>
      </c>
      <c r="G423" s="153">
        <f>ROUNDDOWN(D423*F423,-3)</f>
        <v>2000000</v>
      </c>
      <c r="H423" s="210" t="b">
        <f t="shared" si="15"/>
        <v>1</v>
      </c>
      <c r="I423" s="210"/>
      <c r="J423" s="210"/>
    </row>
    <row r="424" spans="1:10" ht="13.8" x14ac:dyDescent="0.25">
      <c r="A424" s="7" t="s">
        <v>3102</v>
      </c>
      <c r="B424" s="60">
        <v>524111</v>
      </c>
      <c r="C424" s="41" t="s">
        <v>19</v>
      </c>
      <c r="D424" s="60"/>
      <c r="E424" s="60"/>
      <c r="F424" s="42"/>
      <c r="G424" s="42">
        <f>G425</f>
        <v>89032000</v>
      </c>
      <c r="H424" s="210" t="b">
        <f t="shared" si="15"/>
        <v>1</v>
      </c>
      <c r="I424" s="210"/>
      <c r="J424" s="210"/>
    </row>
    <row r="425" spans="1:10" ht="13.8" x14ac:dyDescent="0.25">
      <c r="A425" s="7" t="s">
        <v>3103</v>
      </c>
      <c r="B425" s="152"/>
      <c r="C425" s="151" t="s">
        <v>4514</v>
      </c>
      <c r="D425" s="152">
        <v>22</v>
      </c>
      <c r="E425" s="152" t="s">
        <v>10</v>
      </c>
      <c r="F425" s="153">
        <v>4046950</v>
      </c>
      <c r="G425" s="153">
        <f>ROUNDDOWN(D425*F425,-3)</f>
        <v>89032000</v>
      </c>
      <c r="H425" s="210" t="b">
        <f t="shared" si="15"/>
        <v>1</v>
      </c>
      <c r="I425" s="210"/>
      <c r="J425" s="210"/>
    </row>
    <row r="426" spans="1:10" ht="13.8" x14ac:dyDescent="0.25">
      <c r="A426" s="7" t="s">
        <v>3104</v>
      </c>
      <c r="B426" s="138" t="s">
        <v>4516</v>
      </c>
      <c r="C426" s="137" t="s">
        <v>3106</v>
      </c>
      <c r="D426" s="138">
        <v>1</v>
      </c>
      <c r="E426" s="138" t="s">
        <v>4315</v>
      </c>
      <c r="F426" s="139"/>
      <c r="G426" s="139">
        <f>G427</f>
        <v>289920000</v>
      </c>
      <c r="H426" s="210" t="b">
        <f t="shared" si="15"/>
        <v>1</v>
      </c>
      <c r="I426" s="210"/>
      <c r="J426" s="210"/>
    </row>
    <row r="427" spans="1:10" ht="13.8" x14ac:dyDescent="0.25">
      <c r="A427" s="7" t="s">
        <v>3318</v>
      </c>
      <c r="B427" s="58">
        <v>301</v>
      </c>
      <c r="C427" s="35" t="s">
        <v>3319</v>
      </c>
      <c r="D427" s="58"/>
      <c r="E427" s="58"/>
      <c r="F427" s="36"/>
      <c r="G427" s="36">
        <f>SUM(G428,G438,G447,G455,G468,G476)</f>
        <v>289920000</v>
      </c>
      <c r="H427" s="210" t="b">
        <f t="shared" si="15"/>
        <v>1</v>
      </c>
      <c r="I427" s="210"/>
      <c r="J427" s="210"/>
    </row>
    <row r="428" spans="1:10" ht="13.8" x14ac:dyDescent="0.25">
      <c r="A428" s="7" t="s">
        <v>3320</v>
      </c>
      <c r="B428" s="59" t="s">
        <v>8</v>
      </c>
      <c r="C428" s="38" t="s">
        <v>143</v>
      </c>
      <c r="D428" s="59"/>
      <c r="E428" s="59"/>
      <c r="F428" s="39"/>
      <c r="G428" s="39">
        <f>SUM(G429,G434,G436)</f>
        <v>40700000</v>
      </c>
      <c r="H428" s="210" t="b">
        <f t="shared" si="15"/>
        <v>1</v>
      </c>
      <c r="I428" s="210"/>
      <c r="J428" s="210"/>
    </row>
    <row r="429" spans="1:10" ht="13.8" x14ac:dyDescent="0.25">
      <c r="A429" s="7" t="s">
        <v>3321</v>
      </c>
      <c r="B429" s="60">
        <v>521211</v>
      </c>
      <c r="C429" s="41" t="s">
        <v>7</v>
      </c>
      <c r="D429" s="60"/>
      <c r="E429" s="60"/>
      <c r="F429" s="42"/>
      <c r="G429" s="42">
        <f>SUM(G430:G433)</f>
        <v>23900000</v>
      </c>
      <c r="H429" s="210" t="b">
        <f t="shared" si="15"/>
        <v>1</v>
      </c>
      <c r="I429" s="210"/>
      <c r="J429" s="210"/>
    </row>
    <row r="430" spans="1:10" ht="13.8" x14ac:dyDescent="0.25">
      <c r="A430" s="7" t="s">
        <v>3322</v>
      </c>
      <c r="B430" s="152"/>
      <c r="C430" s="151" t="s">
        <v>3598</v>
      </c>
      <c r="D430" s="152">
        <v>5</v>
      </c>
      <c r="E430" s="152" t="s">
        <v>9</v>
      </c>
      <c r="F430" s="153">
        <v>1500000</v>
      </c>
      <c r="G430" s="153">
        <f>ROUNDDOWN(D430*F430,-3)</f>
        <v>7500000</v>
      </c>
      <c r="H430" s="210" t="b">
        <f t="shared" si="15"/>
        <v>1</v>
      </c>
      <c r="I430" s="210"/>
      <c r="J430" s="210"/>
    </row>
    <row r="431" spans="1:10" ht="13.8" x14ac:dyDescent="0.25">
      <c r="A431" s="7" t="s">
        <v>3323</v>
      </c>
      <c r="B431" s="152"/>
      <c r="C431" s="151" t="s">
        <v>4420</v>
      </c>
      <c r="D431" s="152">
        <v>20</v>
      </c>
      <c r="E431" s="152" t="s">
        <v>10</v>
      </c>
      <c r="F431" s="153">
        <v>70000</v>
      </c>
      <c r="G431" s="153">
        <f>ROUNDDOWN(D431*F431,-3)</f>
        <v>1400000</v>
      </c>
      <c r="H431" s="210" t="b">
        <f t="shared" si="15"/>
        <v>1</v>
      </c>
      <c r="I431" s="210"/>
      <c r="J431" s="210"/>
    </row>
    <row r="432" spans="1:10" ht="13.8" x14ac:dyDescent="0.25">
      <c r="A432" s="7" t="s">
        <v>3324</v>
      </c>
      <c r="B432" s="152"/>
      <c r="C432" s="151" t="s">
        <v>3600</v>
      </c>
      <c r="D432" s="152">
        <v>6</v>
      </c>
      <c r="E432" s="152" t="s">
        <v>106</v>
      </c>
      <c r="F432" s="153">
        <v>1000000</v>
      </c>
      <c r="G432" s="153">
        <f>ROUNDDOWN(D432*F432,-3)</f>
        <v>6000000</v>
      </c>
      <c r="H432" s="210" t="b">
        <f t="shared" si="15"/>
        <v>1</v>
      </c>
      <c r="I432" s="210"/>
      <c r="J432" s="210"/>
    </row>
    <row r="433" spans="1:10" ht="13.8" x14ac:dyDescent="0.25">
      <c r="A433" s="7" t="s">
        <v>3325</v>
      </c>
      <c r="B433" s="152"/>
      <c r="C433" s="151" t="s">
        <v>3601</v>
      </c>
      <c r="D433" s="152">
        <v>6</v>
      </c>
      <c r="E433" s="152" t="s">
        <v>106</v>
      </c>
      <c r="F433" s="153">
        <v>1500000</v>
      </c>
      <c r="G433" s="153">
        <f>ROUNDDOWN(D433*F433,-3)</f>
        <v>9000000</v>
      </c>
      <c r="H433" s="210" t="b">
        <f t="shared" si="15"/>
        <v>1</v>
      </c>
      <c r="I433" s="210"/>
      <c r="J433" s="210"/>
    </row>
    <row r="434" spans="1:10" ht="13.8" x14ac:dyDescent="0.25">
      <c r="A434" s="7" t="s">
        <v>3326</v>
      </c>
      <c r="B434" s="60">
        <v>524111</v>
      </c>
      <c r="C434" s="41" t="s">
        <v>19</v>
      </c>
      <c r="D434" s="60"/>
      <c r="E434" s="60"/>
      <c r="F434" s="42"/>
      <c r="G434" s="42">
        <f>G435</f>
        <v>15000000</v>
      </c>
      <c r="H434" s="210" t="b">
        <f t="shared" si="15"/>
        <v>1</v>
      </c>
      <c r="I434" s="210"/>
      <c r="J434" s="210"/>
    </row>
    <row r="435" spans="1:10" ht="13.8" x14ac:dyDescent="0.25">
      <c r="A435" s="7" t="s">
        <v>3327</v>
      </c>
      <c r="B435" s="152"/>
      <c r="C435" s="151" t="s">
        <v>4582</v>
      </c>
      <c r="D435" s="152">
        <v>5</v>
      </c>
      <c r="E435" s="152" t="s">
        <v>10</v>
      </c>
      <c r="F435" s="153">
        <v>3000000</v>
      </c>
      <c r="G435" s="153">
        <f>ROUNDDOWN(D435*F435,-3)</f>
        <v>15000000</v>
      </c>
      <c r="H435" s="210" t="b">
        <f t="shared" si="15"/>
        <v>1</v>
      </c>
      <c r="I435" s="210"/>
      <c r="J435" s="210"/>
    </row>
    <row r="436" spans="1:10" ht="13.8" x14ac:dyDescent="0.25">
      <c r="A436" s="7" t="s">
        <v>3329</v>
      </c>
      <c r="B436" s="60">
        <v>524113</v>
      </c>
      <c r="C436" s="41" t="s">
        <v>13</v>
      </c>
      <c r="D436" s="60"/>
      <c r="E436" s="60"/>
      <c r="F436" s="42"/>
      <c r="G436" s="42">
        <f>G437</f>
        <v>1800000</v>
      </c>
      <c r="H436" s="210" t="b">
        <f t="shared" si="15"/>
        <v>1</v>
      </c>
      <c r="I436" s="210"/>
      <c r="J436" s="210"/>
    </row>
    <row r="437" spans="1:10" ht="13.8" x14ac:dyDescent="0.25">
      <c r="A437" s="7" t="s">
        <v>3330</v>
      </c>
      <c r="B437" s="152"/>
      <c r="C437" s="151" t="s">
        <v>3603</v>
      </c>
      <c r="D437" s="152">
        <v>12</v>
      </c>
      <c r="E437" s="152" t="s">
        <v>10</v>
      </c>
      <c r="F437" s="153">
        <v>150000</v>
      </c>
      <c r="G437" s="153">
        <f>ROUNDDOWN(D437*F437,-3)</f>
        <v>1800000</v>
      </c>
      <c r="H437" s="210" t="b">
        <f t="shared" si="15"/>
        <v>1</v>
      </c>
      <c r="I437" s="210"/>
      <c r="J437" s="210"/>
    </row>
    <row r="438" spans="1:10" ht="13.8" x14ac:dyDescent="0.25">
      <c r="A438" s="7" t="s">
        <v>3331</v>
      </c>
      <c r="B438" s="59" t="s">
        <v>511</v>
      </c>
      <c r="C438" s="38" t="s">
        <v>144</v>
      </c>
      <c r="D438" s="59"/>
      <c r="E438" s="59"/>
      <c r="F438" s="39"/>
      <c r="G438" s="39">
        <f>SUM(G439,G443,G445)</f>
        <v>30900000</v>
      </c>
      <c r="H438" s="210" t="b">
        <f t="shared" si="15"/>
        <v>1</v>
      </c>
      <c r="I438" s="210"/>
      <c r="J438" s="210"/>
    </row>
    <row r="439" spans="1:10" ht="13.8" x14ac:dyDescent="0.25">
      <c r="A439" s="7" t="s">
        <v>3332</v>
      </c>
      <c r="B439" s="60">
        <v>521211</v>
      </c>
      <c r="C439" s="41" t="s">
        <v>7</v>
      </c>
      <c r="D439" s="60"/>
      <c r="E439" s="60"/>
      <c r="F439" s="42"/>
      <c r="G439" s="42">
        <f>SUM(G440:G442)</f>
        <v>11400000</v>
      </c>
      <c r="H439" s="210" t="b">
        <f t="shared" si="15"/>
        <v>1</v>
      </c>
      <c r="I439" s="210"/>
      <c r="J439" s="210"/>
    </row>
    <row r="440" spans="1:10" ht="13.8" x14ac:dyDescent="0.25">
      <c r="A440" s="7" t="s">
        <v>3333</v>
      </c>
      <c r="B440" s="152"/>
      <c r="C440" s="151" t="s">
        <v>4269</v>
      </c>
      <c r="D440" s="152">
        <v>4</v>
      </c>
      <c r="E440" s="152" t="s">
        <v>9</v>
      </c>
      <c r="F440" s="153">
        <v>1500000</v>
      </c>
      <c r="G440" s="153">
        <f>ROUNDDOWN(D440*F440,-3)</f>
        <v>6000000</v>
      </c>
      <c r="H440" s="210" t="b">
        <f t="shared" si="15"/>
        <v>1</v>
      </c>
      <c r="I440" s="210"/>
      <c r="J440" s="210"/>
    </row>
    <row r="441" spans="1:10" ht="13.8" x14ac:dyDescent="0.25">
      <c r="A441" s="7" t="s">
        <v>3334</v>
      </c>
      <c r="B441" s="152"/>
      <c r="C441" s="151" t="s">
        <v>4420</v>
      </c>
      <c r="D441" s="152">
        <v>20</v>
      </c>
      <c r="E441" s="152" t="s">
        <v>10</v>
      </c>
      <c r="F441" s="153">
        <v>70000</v>
      </c>
      <c r="G441" s="153">
        <f>ROUNDDOWN(D441*F441,-3)</f>
        <v>1400000</v>
      </c>
      <c r="H441" s="210" t="b">
        <f t="shared" si="15"/>
        <v>1</v>
      </c>
      <c r="I441" s="210"/>
      <c r="J441" s="210"/>
    </row>
    <row r="442" spans="1:10" ht="13.8" x14ac:dyDescent="0.25">
      <c r="A442" s="7" t="s">
        <v>3335</v>
      </c>
      <c r="B442" s="152"/>
      <c r="C442" s="151" t="s">
        <v>3600</v>
      </c>
      <c r="D442" s="152">
        <v>4</v>
      </c>
      <c r="E442" s="152" t="s">
        <v>106</v>
      </c>
      <c r="F442" s="153">
        <v>1000000</v>
      </c>
      <c r="G442" s="153">
        <f>ROUNDDOWN(D442*F442,-3)</f>
        <v>4000000</v>
      </c>
      <c r="H442" s="210" t="b">
        <f t="shared" si="15"/>
        <v>1</v>
      </c>
      <c r="I442" s="210"/>
      <c r="J442" s="210"/>
    </row>
    <row r="443" spans="1:10" ht="13.8" x14ac:dyDescent="0.25">
      <c r="A443" s="7" t="s">
        <v>3336</v>
      </c>
      <c r="B443" s="60">
        <v>524111</v>
      </c>
      <c r="C443" s="41" t="s">
        <v>19</v>
      </c>
      <c r="D443" s="60"/>
      <c r="E443" s="60"/>
      <c r="F443" s="42"/>
      <c r="G443" s="42">
        <f>G444</f>
        <v>18000000</v>
      </c>
      <c r="H443" s="210" t="b">
        <f t="shared" si="15"/>
        <v>1</v>
      </c>
      <c r="I443" s="210"/>
      <c r="J443" s="210"/>
    </row>
    <row r="444" spans="1:10" ht="13.8" x14ac:dyDescent="0.25">
      <c r="A444" s="7" t="s">
        <v>3337</v>
      </c>
      <c r="B444" s="152"/>
      <c r="C444" s="151" t="s">
        <v>4582</v>
      </c>
      <c r="D444" s="152">
        <v>6</v>
      </c>
      <c r="E444" s="152" t="s">
        <v>10</v>
      </c>
      <c r="F444" s="153">
        <v>3000000</v>
      </c>
      <c r="G444" s="153">
        <f>ROUNDDOWN(D444*F444,-3)</f>
        <v>18000000</v>
      </c>
      <c r="H444" s="210" t="b">
        <f t="shared" si="15"/>
        <v>1</v>
      </c>
      <c r="I444" s="210"/>
      <c r="J444" s="210"/>
    </row>
    <row r="445" spans="1:10" ht="13.8" x14ac:dyDescent="0.25">
      <c r="A445" s="7" t="s">
        <v>3338</v>
      </c>
      <c r="B445" s="60">
        <v>524113</v>
      </c>
      <c r="C445" s="41" t="s">
        <v>13</v>
      </c>
      <c r="D445" s="60"/>
      <c r="E445" s="60"/>
      <c r="F445" s="42"/>
      <c r="G445" s="42">
        <f>G446</f>
        <v>1500000</v>
      </c>
      <c r="H445" s="210" t="b">
        <f t="shared" si="15"/>
        <v>1</v>
      </c>
      <c r="I445" s="210"/>
      <c r="J445" s="210"/>
    </row>
    <row r="446" spans="1:10" ht="13.8" x14ac:dyDescent="0.25">
      <c r="A446" s="7" t="s">
        <v>3339</v>
      </c>
      <c r="B446" s="152"/>
      <c r="C446" s="151" t="s">
        <v>3613</v>
      </c>
      <c r="D446" s="152">
        <v>10</v>
      </c>
      <c r="E446" s="152" t="s">
        <v>10</v>
      </c>
      <c r="F446" s="153">
        <v>150000</v>
      </c>
      <c r="G446" s="153">
        <f>ROUNDDOWN(D446*F446,-3)</f>
        <v>1500000</v>
      </c>
      <c r="H446" s="210" t="b">
        <f t="shared" si="15"/>
        <v>1</v>
      </c>
      <c r="I446" s="210"/>
      <c r="J446" s="210"/>
    </row>
    <row r="447" spans="1:10" ht="13.8" x14ac:dyDescent="0.25">
      <c r="A447" s="7" t="s">
        <v>3340</v>
      </c>
      <c r="B447" s="59" t="s">
        <v>512</v>
      </c>
      <c r="C447" s="38" t="s">
        <v>145</v>
      </c>
      <c r="D447" s="59"/>
      <c r="E447" s="59"/>
      <c r="F447" s="39"/>
      <c r="G447" s="39">
        <f>SUM(G448,G451,G453)</f>
        <v>26500000</v>
      </c>
      <c r="H447" s="210" t="b">
        <f t="shared" si="15"/>
        <v>1</v>
      </c>
      <c r="I447" s="210"/>
      <c r="J447" s="210"/>
    </row>
    <row r="448" spans="1:10" ht="13.8" x14ac:dyDescent="0.25">
      <c r="A448" s="7" t="s">
        <v>3341</v>
      </c>
      <c r="B448" s="60">
        <v>521211</v>
      </c>
      <c r="C448" s="41" t="s">
        <v>7</v>
      </c>
      <c r="D448" s="60"/>
      <c r="E448" s="60"/>
      <c r="F448" s="42"/>
      <c r="G448" s="42">
        <f>SUM(G449:G450)</f>
        <v>10000000</v>
      </c>
      <c r="H448" s="210" t="b">
        <f t="shared" si="15"/>
        <v>1</v>
      </c>
      <c r="I448" s="210"/>
      <c r="J448" s="210"/>
    </row>
    <row r="449" spans="1:10" ht="13.8" x14ac:dyDescent="0.25">
      <c r="A449" s="7" t="s">
        <v>3342</v>
      </c>
      <c r="B449" s="152"/>
      <c r="C449" s="151" t="s">
        <v>4269</v>
      </c>
      <c r="D449" s="152">
        <v>4</v>
      </c>
      <c r="E449" s="152" t="s">
        <v>9</v>
      </c>
      <c r="F449" s="153">
        <v>1500000</v>
      </c>
      <c r="G449" s="153">
        <f>ROUNDDOWN(D449*F449,-3)</f>
        <v>6000000</v>
      </c>
      <c r="H449" s="210" t="b">
        <f t="shared" si="15"/>
        <v>1</v>
      </c>
      <c r="I449" s="210"/>
      <c r="J449" s="210"/>
    </row>
    <row r="450" spans="1:10" ht="13.8" x14ac:dyDescent="0.25">
      <c r="A450" s="7" t="s">
        <v>3343</v>
      </c>
      <c r="B450" s="152"/>
      <c r="C450" s="151" t="s">
        <v>3632</v>
      </c>
      <c r="D450" s="152">
        <v>4</v>
      </c>
      <c r="E450" s="152" t="s">
        <v>106</v>
      </c>
      <c r="F450" s="153">
        <v>1000000</v>
      </c>
      <c r="G450" s="153">
        <f>ROUNDDOWN(D450*F450,-3)</f>
        <v>4000000</v>
      </c>
      <c r="H450" s="210" t="b">
        <f t="shared" si="15"/>
        <v>1</v>
      </c>
      <c r="I450" s="210"/>
      <c r="J450" s="210"/>
    </row>
    <row r="451" spans="1:10" ht="13.8" x14ac:dyDescent="0.25">
      <c r="A451" s="7" t="s">
        <v>3344</v>
      </c>
      <c r="B451" s="60">
        <v>524111</v>
      </c>
      <c r="C451" s="41" t="s">
        <v>19</v>
      </c>
      <c r="D451" s="60"/>
      <c r="E451" s="60"/>
      <c r="F451" s="42"/>
      <c r="G451" s="42">
        <f>G452</f>
        <v>15000000</v>
      </c>
      <c r="H451" s="210" t="b">
        <f t="shared" si="15"/>
        <v>1</v>
      </c>
      <c r="I451" s="210"/>
      <c r="J451" s="210"/>
    </row>
    <row r="452" spans="1:10" ht="13.8" x14ac:dyDescent="0.25">
      <c r="A452" s="7" t="s">
        <v>3345</v>
      </c>
      <c r="B452" s="152"/>
      <c r="C452" s="151" t="s">
        <v>4583</v>
      </c>
      <c r="D452" s="152">
        <v>5</v>
      </c>
      <c r="E452" s="152" t="s">
        <v>10</v>
      </c>
      <c r="F452" s="153">
        <v>3000000</v>
      </c>
      <c r="G452" s="153">
        <f>ROUNDDOWN(D452*F452,-3)</f>
        <v>15000000</v>
      </c>
      <c r="H452" s="210" t="b">
        <f t="shared" si="15"/>
        <v>1</v>
      </c>
      <c r="I452" s="210"/>
      <c r="J452" s="210"/>
    </row>
    <row r="453" spans="1:10" ht="13.8" x14ac:dyDescent="0.25">
      <c r="A453" s="7" t="s">
        <v>3347</v>
      </c>
      <c r="B453" s="60">
        <v>524113</v>
      </c>
      <c r="C453" s="41" t="s">
        <v>13</v>
      </c>
      <c r="D453" s="60"/>
      <c r="E453" s="60"/>
      <c r="F453" s="42"/>
      <c r="G453" s="42">
        <f>G454</f>
        <v>1500000</v>
      </c>
      <c r="H453" s="210" t="b">
        <f t="shared" si="15"/>
        <v>1</v>
      </c>
      <c r="I453" s="210"/>
      <c r="J453" s="210"/>
    </row>
    <row r="454" spans="1:10" ht="13.8" x14ac:dyDescent="0.25">
      <c r="A454" s="7" t="s">
        <v>3348</v>
      </c>
      <c r="B454" s="152"/>
      <c r="C454" s="151" t="s">
        <v>3613</v>
      </c>
      <c r="D454" s="152">
        <v>10</v>
      </c>
      <c r="E454" s="152" t="s">
        <v>10</v>
      </c>
      <c r="F454" s="153">
        <v>150000</v>
      </c>
      <c r="G454" s="153">
        <f>ROUNDDOWN(D454*F454,-3)</f>
        <v>1500000</v>
      </c>
      <c r="H454" s="210" t="b">
        <f t="shared" si="15"/>
        <v>1</v>
      </c>
      <c r="I454" s="210"/>
      <c r="J454" s="210"/>
    </row>
    <row r="455" spans="1:10" ht="13.8" x14ac:dyDescent="0.25">
      <c r="A455" s="7" t="s">
        <v>3349</v>
      </c>
      <c r="B455" s="59" t="s">
        <v>514</v>
      </c>
      <c r="C455" s="38" t="s">
        <v>3350</v>
      </c>
      <c r="D455" s="59"/>
      <c r="E455" s="59"/>
      <c r="F455" s="39"/>
      <c r="G455" s="39">
        <f>SUM(G456,G462,G464,G466)</f>
        <v>86700000</v>
      </c>
      <c r="H455" s="210" t="b">
        <f t="shared" si="15"/>
        <v>1</v>
      </c>
      <c r="I455" s="210"/>
      <c r="J455" s="210"/>
    </row>
    <row r="456" spans="1:10" ht="13.8" x14ac:dyDescent="0.25">
      <c r="A456" s="7" t="s">
        <v>3351</v>
      </c>
      <c r="B456" s="60">
        <v>521211</v>
      </c>
      <c r="C456" s="41" t="s">
        <v>7</v>
      </c>
      <c r="D456" s="60"/>
      <c r="E456" s="60"/>
      <c r="F456" s="42"/>
      <c r="G456" s="42">
        <f>SUM(G457:G461)</f>
        <v>32400000</v>
      </c>
      <c r="H456" s="210" t="b">
        <f t="shared" si="15"/>
        <v>1</v>
      </c>
      <c r="I456" s="210"/>
      <c r="J456" s="210"/>
    </row>
    <row r="457" spans="1:10" ht="13.8" x14ac:dyDescent="0.25">
      <c r="A457" s="7" t="s">
        <v>3352</v>
      </c>
      <c r="B457" s="152"/>
      <c r="C457" s="151" t="s">
        <v>4269</v>
      </c>
      <c r="D457" s="152">
        <v>6</v>
      </c>
      <c r="E457" s="152" t="s">
        <v>9</v>
      </c>
      <c r="F457" s="153">
        <v>1500000</v>
      </c>
      <c r="G457" s="153">
        <f>ROUNDDOWN(D457*F457,-3)</f>
        <v>9000000</v>
      </c>
      <c r="H457" s="210" t="b">
        <f t="shared" si="15"/>
        <v>1</v>
      </c>
      <c r="I457" s="210"/>
      <c r="J457" s="210"/>
    </row>
    <row r="458" spans="1:10" ht="13.8" x14ac:dyDescent="0.25">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3.8" x14ac:dyDescent="0.25">
      <c r="A459" s="211" t="s">
        <v>3354</v>
      </c>
      <c r="B459" s="152"/>
      <c r="C459" s="151" t="s">
        <v>4584</v>
      </c>
      <c r="D459" s="152">
        <v>28</v>
      </c>
      <c r="E459" s="152" t="s">
        <v>176</v>
      </c>
      <c r="F459" s="153">
        <v>500000</v>
      </c>
      <c r="G459" s="153">
        <f>ROUNDDOWN(D459*F459,-3)</f>
        <v>14000000</v>
      </c>
      <c r="H459" s="210" t="b">
        <f t="shared" si="15"/>
        <v>1</v>
      </c>
      <c r="I459" s="210"/>
      <c r="J459" s="210"/>
    </row>
    <row r="460" spans="1:10" ht="13.8" x14ac:dyDescent="0.25">
      <c r="A460" s="7" t="s">
        <v>3356</v>
      </c>
      <c r="B460" s="152"/>
      <c r="C460" s="151" t="s">
        <v>4585</v>
      </c>
      <c r="D460" s="152">
        <v>4</v>
      </c>
      <c r="E460" s="152" t="s">
        <v>58</v>
      </c>
      <c r="F460" s="153">
        <v>500000</v>
      </c>
      <c r="G460" s="153">
        <f>ROUNDDOWN(D460*F460,-3)</f>
        <v>2000000</v>
      </c>
      <c r="H460" s="210" t="b">
        <f t="shared" si="15"/>
        <v>1</v>
      </c>
      <c r="I460" s="210"/>
      <c r="J460" s="210"/>
    </row>
    <row r="461" spans="1:10" ht="13.8" x14ac:dyDescent="0.25">
      <c r="A461" s="7" t="s">
        <v>3358</v>
      </c>
      <c r="B461" s="152"/>
      <c r="C461" s="151" t="s">
        <v>4521</v>
      </c>
      <c r="D461" s="152">
        <v>6</v>
      </c>
      <c r="E461" s="152" t="s">
        <v>106</v>
      </c>
      <c r="F461" s="153">
        <v>1000000</v>
      </c>
      <c r="G461" s="153">
        <f>ROUNDDOWN(D461*F461,-3)</f>
        <v>6000000</v>
      </c>
      <c r="H461" s="210" t="b">
        <f t="shared" si="15"/>
        <v>1</v>
      </c>
      <c r="I461" s="210"/>
      <c r="J461" s="210"/>
    </row>
    <row r="462" spans="1:10" ht="13.8" x14ac:dyDescent="0.25">
      <c r="A462" s="7" t="s">
        <v>3359</v>
      </c>
      <c r="B462" s="60">
        <v>522151</v>
      </c>
      <c r="C462" s="41" t="s">
        <v>11</v>
      </c>
      <c r="D462" s="60"/>
      <c r="E462" s="60"/>
      <c r="F462" s="42"/>
      <c r="G462" s="42">
        <f>G463</f>
        <v>9000000</v>
      </c>
      <c r="H462" s="210" t="b">
        <f t="shared" si="15"/>
        <v>1</v>
      </c>
      <c r="I462" s="210"/>
      <c r="J462" s="210"/>
    </row>
    <row r="463" spans="1:10" ht="13.8" x14ac:dyDescent="0.25">
      <c r="A463" s="7" t="s">
        <v>3360</v>
      </c>
      <c r="B463" s="152"/>
      <c r="C463" s="151" t="s">
        <v>3715</v>
      </c>
      <c r="D463" s="152">
        <v>10</v>
      </c>
      <c r="E463" s="152" t="s">
        <v>12</v>
      </c>
      <c r="F463" s="153">
        <v>900000</v>
      </c>
      <c r="G463" s="153">
        <f>ROUNDDOWN(D463*F463,-3)</f>
        <v>9000000</v>
      </c>
      <c r="H463" s="210" t="b">
        <f t="shared" si="15"/>
        <v>1</v>
      </c>
      <c r="I463" s="210"/>
      <c r="J463" s="210"/>
    </row>
    <row r="464" spans="1:10" ht="13.8" x14ac:dyDescent="0.25">
      <c r="A464" s="7" t="s">
        <v>3361</v>
      </c>
      <c r="B464" s="60">
        <v>524111</v>
      </c>
      <c r="C464" s="41" t="s">
        <v>19</v>
      </c>
      <c r="D464" s="60"/>
      <c r="E464" s="60"/>
      <c r="F464" s="42"/>
      <c r="G464" s="42">
        <f>G465</f>
        <v>42000000</v>
      </c>
      <c r="H464" s="210" t="b">
        <f t="shared" si="15"/>
        <v>1</v>
      </c>
      <c r="I464" s="210"/>
      <c r="J464" s="210"/>
    </row>
    <row r="465" spans="1:10" ht="26.4" x14ac:dyDescent="0.25">
      <c r="A465" s="7" t="s">
        <v>3362</v>
      </c>
      <c r="B465" s="152"/>
      <c r="C465" s="151" t="s">
        <v>4586</v>
      </c>
      <c r="D465" s="152">
        <v>14</v>
      </c>
      <c r="E465" s="152" t="s">
        <v>10</v>
      </c>
      <c r="F465" s="153">
        <v>3000000</v>
      </c>
      <c r="G465" s="153">
        <f>ROUNDDOWN(D465*F465,-3)</f>
        <v>42000000</v>
      </c>
      <c r="H465" s="210" t="b">
        <f t="shared" si="15"/>
        <v>1</v>
      </c>
      <c r="I465" s="210"/>
      <c r="J465" s="210"/>
    </row>
    <row r="466" spans="1:10" ht="13.8" x14ac:dyDescent="0.25">
      <c r="A466" s="7" t="s">
        <v>3364</v>
      </c>
      <c r="B466" s="60">
        <v>524113</v>
      </c>
      <c r="C466" s="41" t="s">
        <v>13</v>
      </c>
      <c r="D466" s="60"/>
      <c r="E466" s="60"/>
      <c r="F466" s="42"/>
      <c r="G466" s="42">
        <f>G467</f>
        <v>3300000</v>
      </c>
      <c r="H466" s="210" t="b">
        <f t="shared" si="15"/>
        <v>1</v>
      </c>
      <c r="I466" s="210"/>
      <c r="J466" s="210"/>
    </row>
    <row r="467" spans="1:10" ht="26.4" x14ac:dyDescent="0.25">
      <c r="A467" s="7" t="s">
        <v>3365</v>
      </c>
      <c r="B467" s="152"/>
      <c r="C467" s="151" t="s">
        <v>4587</v>
      </c>
      <c r="D467" s="152">
        <v>22</v>
      </c>
      <c r="E467" s="152" t="s">
        <v>10</v>
      </c>
      <c r="F467" s="153">
        <v>150000</v>
      </c>
      <c r="G467" s="153">
        <f>ROUNDDOWN(D467*F467,-3)</f>
        <v>3300000</v>
      </c>
      <c r="H467" s="210" t="b">
        <f t="shared" si="15"/>
        <v>1</v>
      </c>
      <c r="I467" s="210"/>
      <c r="J467" s="210"/>
    </row>
    <row r="468" spans="1:10" ht="13.8" x14ac:dyDescent="0.25">
      <c r="A468" s="7" t="s">
        <v>3367</v>
      </c>
      <c r="B468" s="59" t="s">
        <v>519</v>
      </c>
      <c r="C468" s="38" t="s">
        <v>146</v>
      </c>
      <c r="D468" s="59"/>
      <c r="E468" s="59"/>
      <c r="F468" s="39"/>
      <c r="G468" s="39">
        <f>SUM(G469,G472,G474)</f>
        <v>28800000</v>
      </c>
      <c r="H468" s="210" t="b">
        <f t="shared" si="15"/>
        <v>1</v>
      </c>
      <c r="I468" s="210"/>
      <c r="J468" s="210"/>
    </row>
    <row r="469" spans="1:10" ht="13.8" x14ac:dyDescent="0.25">
      <c r="A469" s="7" t="s">
        <v>3368</v>
      </c>
      <c r="B469" s="60">
        <v>521211</v>
      </c>
      <c r="C469" s="41" t="s">
        <v>7</v>
      </c>
      <c r="D469" s="60"/>
      <c r="E469" s="60"/>
      <c r="F469" s="42"/>
      <c r="G469" s="42">
        <f>SUM(G470:G471)</f>
        <v>15000000</v>
      </c>
      <c r="H469" s="210" t="b">
        <f t="shared" si="15"/>
        <v>1</v>
      </c>
      <c r="I469" s="210"/>
      <c r="J469" s="210"/>
    </row>
    <row r="470" spans="1:10" ht="13.8" x14ac:dyDescent="0.25">
      <c r="A470" s="7" t="s">
        <v>3369</v>
      </c>
      <c r="B470" s="152"/>
      <c r="C470" s="151" t="s">
        <v>4269</v>
      </c>
      <c r="D470" s="152">
        <v>6</v>
      </c>
      <c r="E470" s="152" t="s">
        <v>9</v>
      </c>
      <c r="F470" s="153">
        <v>1500000</v>
      </c>
      <c r="G470" s="153">
        <f>ROUNDDOWN(D470*F470,-3)</f>
        <v>9000000</v>
      </c>
      <c r="H470" s="210" t="b">
        <f t="shared" si="15"/>
        <v>1</v>
      </c>
      <c r="I470" s="210"/>
      <c r="J470" s="210"/>
    </row>
    <row r="471" spans="1:10" ht="13.8" x14ac:dyDescent="0.25">
      <c r="A471" s="7" t="s">
        <v>3370</v>
      </c>
      <c r="B471" s="152"/>
      <c r="C471" s="151" t="s">
        <v>3632</v>
      </c>
      <c r="D471" s="152">
        <v>6</v>
      </c>
      <c r="E471" s="152" t="s">
        <v>106</v>
      </c>
      <c r="F471" s="153">
        <v>1000000</v>
      </c>
      <c r="G471" s="153">
        <f>ROUNDDOWN(D471*F471,-3)</f>
        <v>6000000</v>
      </c>
      <c r="H471" s="210" t="b">
        <f t="shared" si="15"/>
        <v>1</v>
      </c>
      <c r="I471" s="210"/>
      <c r="J471" s="210"/>
    </row>
    <row r="472" spans="1:10" ht="13.8" x14ac:dyDescent="0.25">
      <c r="A472" s="7" t="s">
        <v>3371</v>
      </c>
      <c r="B472" s="60">
        <v>524111</v>
      </c>
      <c r="C472" s="41" t="s">
        <v>19</v>
      </c>
      <c r="D472" s="60"/>
      <c r="E472" s="60"/>
      <c r="F472" s="42"/>
      <c r="G472" s="42">
        <f>G473</f>
        <v>12000000</v>
      </c>
      <c r="H472" s="210" t="b">
        <f t="shared" si="15"/>
        <v>1</v>
      </c>
      <c r="I472" s="210"/>
      <c r="J472" s="210"/>
    </row>
    <row r="473" spans="1:10" ht="13.8" x14ac:dyDescent="0.25">
      <c r="A473" s="7" t="s">
        <v>3372</v>
      </c>
      <c r="B473" s="152"/>
      <c r="C473" s="151" t="s">
        <v>4588</v>
      </c>
      <c r="D473" s="152">
        <v>4</v>
      </c>
      <c r="E473" s="152" t="s">
        <v>10</v>
      </c>
      <c r="F473" s="153">
        <v>3000000</v>
      </c>
      <c r="G473" s="153">
        <f>ROUNDDOWN(D473*F473,-3)</f>
        <v>12000000</v>
      </c>
      <c r="H473" s="210" t="b">
        <f t="shared" si="15"/>
        <v>1</v>
      </c>
      <c r="I473" s="210"/>
      <c r="J473" s="210"/>
    </row>
    <row r="474" spans="1:10" ht="13.8" x14ac:dyDescent="0.25">
      <c r="A474" s="7" t="s">
        <v>3374</v>
      </c>
      <c r="B474" s="60">
        <v>524113</v>
      </c>
      <c r="C474" s="41" t="s">
        <v>13</v>
      </c>
      <c r="D474" s="60"/>
      <c r="E474" s="60"/>
      <c r="F474" s="42"/>
      <c r="G474" s="42">
        <f>G475</f>
        <v>1800000</v>
      </c>
      <c r="H474" s="210" t="b">
        <f t="shared" si="15"/>
        <v>1</v>
      </c>
      <c r="I474" s="210"/>
      <c r="J474" s="210"/>
    </row>
    <row r="475" spans="1:10" ht="13.8" x14ac:dyDescent="0.25">
      <c r="A475" s="7" t="s">
        <v>3375</v>
      </c>
      <c r="B475" s="152"/>
      <c r="C475" s="151" t="s">
        <v>4589</v>
      </c>
      <c r="D475" s="152">
        <v>12</v>
      </c>
      <c r="E475" s="152" t="s">
        <v>10</v>
      </c>
      <c r="F475" s="153">
        <v>150000</v>
      </c>
      <c r="G475" s="153">
        <f>ROUNDDOWN(D475*F475,-3)</f>
        <v>1800000</v>
      </c>
      <c r="H475" s="210" t="b">
        <f t="shared" si="15"/>
        <v>1</v>
      </c>
      <c r="I475" s="210"/>
      <c r="J475" s="210"/>
    </row>
    <row r="476" spans="1:10" ht="13.8" x14ac:dyDescent="0.25">
      <c r="A476" s="7" t="s">
        <v>3377</v>
      </c>
      <c r="B476" s="59" t="s">
        <v>578</v>
      </c>
      <c r="C476" s="38" t="s">
        <v>147</v>
      </c>
      <c r="D476" s="59"/>
      <c r="E476" s="59"/>
      <c r="F476" s="39"/>
      <c r="G476" s="39">
        <f>SUM(G477,G479,G482,G484)</f>
        <v>76320000</v>
      </c>
      <c r="H476" s="210" t="b">
        <f t="shared" si="15"/>
        <v>1</v>
      </c>
      <c r="I476" s="210"/>
      <c r="J476" s="210"/>
    </row>
    <row r="477" spans="1:10" ht="13.8" x14ac:dyDescent="0.25">
      <c r="A477" s="7" t="s">
        <v>3378</v>
      </c>
      <c r="B477" s="60">
        <v>521211</v>
      </c>
      <c r="C477" s="41" t="s">
        <v>7</v>
      </c>
      <c r="D477" s="60"/>
      <c r="E477" s="60"/>
      <c r="F477" s="42"/>
      <c r="G477" s="42">
        <f>G478</f>
        <v>4800000</v>
      </c>
      <c r="H477" s="210" t="b">
        <f t="shared" si="15"/>
        <v>1</v>
      </c>
      <c r="I477" s="210"/>
      <c r="J477" s="210"/>
    </row>
    <row r="478" spans="1:10" ht="13.8" x14ac:dyDescent="0.25">
      <c r="A478" s="7" t="s">
        <v>3379</v>
      </c>
      <c r="B478" s="152"/>
      <c r="C478" s="151" t="s">
        <v>4590</v>
      </c>
      <c r="D478" s="152">
        <v>24</v>
      </c>
      <c r="E478" s="152" t="s">
        <v>176</v>
      </c>
      <c r="F478" s="153">
        <v>200000</v>
      </c>
      <c r="G478" s="153">
        <f>ROUNDDOWN(D478*F478,-3)</f>
        <v>4800000</v>
      </c>
      <c r="H478" s="210" t="b">
        <f t="shared" si="15"/>
        <v>1</v>
      </c>
      <c r="I478" s="210"/>
      <c r="J478" s="210"/>
    </row>
    <row r="479" spans="1:10" ht="13.8" x14ac:dyDescent="0.25">
      <c r="A479" s="7" t="s">
        <v>3381</v>
      </c>
      <c r="B479" s="60">
        <v>521811</v>
      </c>
      <c r="C479" s="41" t="s">
        <v>64</v>
      </c>
      <c r="D479" s="60"/>
      <c r="E479" s="60"/>
      <c r="F479" s="42"/>
      <c r="G479" s="42">
        <f>SUM(G480:G481)</f>
        <v>25000000</v>
      </c>
      <c r="H479" s="210" t="b">
        <f t="shared" si="15"/>
        <v>1</v>
      </c>
      <c r="I479" s="210"/>
      <c r="J479" s="210"/>
    </row>
    <row r="480" spans="1:10" ht="13.8" x14ac:dyDescent="0.25">
      <c r="A480" s="7" t="s">
        <v>3382</v>
      </c>
      <c r="B480" s="152"/>
      <c r="C480" s="151" t="s">
        <v>4269</v>
      </c>
      <c r="D480" s="152">
        <v>10</v>
      </c>
      <c r="E480" s="152" t="s">
        <v>9</v>
      </c>
      <c r="F480" s="153">
        <v>1500000</v>
      </c>
      <c r="G480" s="153">
        <f>ROUNDDOWN(D480*F480,-3)</f>
        <v>15000000</v>
      </c>
      <c r="H480" s="210" t="b">
        <f t="shared" si="15"/>
        <v>1</v>
      </c>
      <c r="I480" s="210"/>
      <c r="J480" s="210"/>
    </row>
    <row r="481" spans="1:10" ht="13.8" x14ac:dyDescent="0.25">
      <c r="A481" s="7" t="s">
        <v>3383</v>
      </c>
      <c r="B481" s="152"/>
      <c r="C481" s="151" t="s">
        <v>3632</v>
      </c>
      <c r="D481" s="152">
        <v>10</v>
      </c>
      <c r="E481" s="152" t="s">
        <v>2749</v>
      </c>
      <c r="F481" s="153">
        <v>1000000</v>
      </c>
      <c r="G481" s="153">
        <f>ROUNDDOWN(D481*F481,-3)</f>
        <v>10000000</v>
      </c>
      <c r="H481" s="210" t="b">
        <f t="shared" si="15"/>
        <v>1</v>
      </c>
      <c r="I481" s="210"/>
      <c r="J481" s="210"/>
    </row>
    <row r="482" spans="1:10" ht="13.8" x14ac:dyDescent="0.25">
      <c r="A482" s="7" t="s">
        <v>3384</v>
      </c>
      <c r="B482" s="60">
        <v>524111</v>
      </c>
      <c r="C482" s="41" t="s">
        <v>19</v>
      </c>
      <c r="D482" s="60"/>
      <c r="E482" s="60"/>
      <c r="F482" s="42"/>
      <c r="G482" s="42">
        <f>G483</f>
        <v>42770000</v>
      </c>
      <c r="H482" s="210" t="b">
        <f t="shared" si="15"/>
        <v>1</v>
      </c>
      <c r="I482" s="210"/>
      <c r="J482" s="210"/>
    </row>
    <row r="483" spans="1:10" ht="13.8" x14ac:dyDescent="0.25">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3.8" x14ac:dyDescent="0.25">
      <c r="A484" s="7" t="s">
        <v>3387</v>
      </c>
      <c r="B484" s="60">
        <v>524113</v>
      </c>
      <c r="C484" s="41" t="s">
        <v>13</v>
      </c>
      <c r="D484" s="60"/>
      <c r="E484" s="60"/>
      <c r="F484" s="42"/>
      <c r="G484" s="42">
        <f>G485</f>
        <v>3750000</v>
      </c>
      <c r="H484" s="210" t="b">
        <f t="shared" si="16"/>
        <v>1</v>
      </c>
      <c r="I484" s="210"/>
      <c r="J484" s="210"/>
    </row>
    <row r="485" spans="1:10" ht="13.8" x14ac:dyDescent="0.25">
      <c r="A485" s="7" t="s">
        <v>3388</v>
      </c>
      <c r="B485" s="152"/>
      <c r="C485" s="151" t="s">
        <v>3618</v>
      </c>
      <c r="D485" s="152">
        <v>25</v>
      </c>
      <c r="E485" s="152" t="s">
        <v>10</v>
      </c>
      <c r="F485" s="153">
        <v>150000</v>
      </c>
      <c r="G485" s="153">
        <f>ROUNDDOWN(D485*F485,-3)</f>
        <v>3750000</v>
      </c>
      <c r="H485" s="210" t="b">
        <f t="shared" si="16"/>
        <v>1</v>
      </c>
      <c r="I485" s="210"/>
      <c r="J485" s="210"/>
    </row>
    <row r="486" spans="1:10" ht="13.8" x14ac:dyDescent="0.25">
      <c r="A486" s="7" t="s">
        <v>495</v>
      </c>
      <c r="B486" s="55">
        <v>4345</v>
      </c>
      <c r="C486" s="26" t="s">
        <v>188</v>
      </c>
      <c r="D486" s="55"/>
      <c r="E486" s="55"/>
      <c r="F486" s="27"/>
      <c r="G486" s="27">
        <f>G487</f>
        <v>8582500000</v>
      </c>
      <c r="H486" s="210" t="b">
        <f t="shared" si="16"/>
        <v>1</v>
      </c>
      <c r="I486" s="210"/>
      <c r="J486" s="210"/>
    </row>
    <row r="487" spans="1:10" ht="13.8" x14ac:dyDescent="0.25">
      <c r="A487" s="7" t="s">
        <v>3473</v>
      </c>
      <c r="B487" s="135" t="s">
        <v>3474</v>
      </c>
      <c r="C487" s="133" t="s">
        <v>2312</v>
      </c>
      <c r="D487" s="135">
        <v>4725</v>
      </c>
      <c r="E487" s="135" t="s">
        <v>155</v>
      </c>
      <c r="F487" s="136"/>
      <c r="G487" s="136">
        <f>G488</f>
        <v>8582500000</v>
      </c>
      <c r="H487" s="210" t="b">
        <f t="shared" si="16"/>
        <v>1</v>
      </c>
      <c r="I487" s="210"/>
      <c r="J487" s="210"/>
    </row>
    <row r="488" spans="1:10" ht="13.8" x14ac:dyDescent="0.25">
      <c r="A488" s="7" t="s">
        <v>3475</v>
      </c>
      <c r="B488" s="138" t="s">
        <v>4611</v>
      </c>
      <c r="C488" s="137" t="s">
        <v>3477</v>
      </c>
      <c r="D488" s="138">
        <v>4725</v>
      </c>
      <c r="E488" s="138" t="s">
        <v>155</v>
      </c>
      <c r="F488" s="139"/>
      <c r="G488" s="139">
        <f>SUM(G489,G537)</f>
        <v>8582500000</v>
      </c>
      <c r="H488" s="210" t="b">
        <f t="shared" si="16"/>
        <v>1</v>
      </c>
      <c r="I488" s="210"/>
      <c r="J488" s="210"/>
    </row>
    <row r="489" spans="1:10" ht="13.8" x14ac:dyDescent="0.25">
      <c r="A489" s="7" t="s">
        <v>3478</v>
      </c>
      <c r="B489" s="58">
        <v>301</v>
      </c>
      <c r="C489" s="35" t="s">
        <v>189</v>
      </c>
      <c r="D489" s="58"/>
      <c r="E489" s="58"/>
      <c r="F489" s="36"/>
      <c r="G489" s="36">
        <f>SUM(G490,G509,G525,G534)</f>
        <v>8473300000</v>
      </c>
      <c r="H489" s="210" t="b">
        <f t="shared" si="16"/>
        <v>1</v>
      </c>
      <c r="I489" s="210"/>
      <c r="J489" s="210"/>
    </row>
    <row r="490" spans="1:10" ht="13.8" x14ac:dyDescent="0.25">
      <c r="A490" s="7" t="s">
        <v>3479</v>
      </c>
      <c r="B490" s="59" t="s">
        <v>8</v>
      </c>
      <c r="C490" s="38" t="s">
        <v>190</v>
      </c>
      <c r="D490" s="59"/>
      <c r="E490" s="59"/>
      <c r="F490" s="39"/>
      <c r="G490" s="39">
        <f>SUM(G491,G496,G499,G502,G504,G506)</f>
        <v>1713564000</v>
      </c>
      <c r="H490" s="210" t="b">
        <f t="shared" si="16"/>
        <v>1</v>
      </c>
      <c r="I490" s="210"/>
      <c r="J490" s="210"/>
    </row>
    <row r="491" spans="1:10" ht="13.8" x14ac:dyDescent="0.25">
      <c r="A491" s="7" t="s">
        <v>3480</v>
      </c>
      <c r="B491" s="60">
        <v>521211</v>
      </c>
      <c r="C491" s="41" t="s">
        <v>7</v>
      </c>
      <c r="D491" s="60"/>
      <c r="E491" s="60"/>
      <c r="F491" s="42"/>
      <c r="G491" s="42">
        <f>SUM(G492:G495)</f>
        <v>99100000</v>
      </c>
      <c r="H491" s="210" t="b">
        <f t="shared" si="16"/>
        <v>1</v>
      </c>
      <c r="I491" s="210"/>
      <c r="J491" s="210"/>
    </row>
    <row r="492" spans="1:10" ht="13.8" x14ac:dyDescent="0.25">
      <c r="A492" s="7" t="s">
        <v>3481</v>
      </c>
      <c r="B492" s="152"/>
      <c r="C492" s="151" t="s">
        <v>4612</v>
      </c>
      <c r="D492" s="152">
        <v>400</v>
      </c>
      <c r="E492" s="152" t="s">
        <v>10</v>
      </c>
      <c r="F492" s="153">
        <v>70000</v>
      </c>
      <c r="G492" s="153">
        <f>ROUNDDOWN(D492*F492,-3)</f>
        <v>28000000</v>
      </c>
      <c r="H492" s="210" t="b">
        <f t="shared" si="16"/>
        <v>1</v>
      </c>
      <c r="I492" s="210"/>
      <c r="J492" s="210"/>
    </row>
    <row r="493" spans="1:10" ht="13.8" x14ac:dyDescent="0.25">
      <c r="A493" s="7" t="s">
        <v>3482</v>
      </c>
      <c r="B493" s="152"/>
      <c r="C493" s="151" t="s">
        <v>4613</v>
      </c>
      <c r="D493" s="152">
        <v>10</v>
      </c>
      <c r="E493" s="152" t="s">
        <v>9</v>
      </c>
      <c r="F493" s="153">
        <v>1500000</v>
      </c>
      <c r="G493" s="153">
        <f>ROUNDDOWN(D493*F493,-3)</f>
        <v>15000000</v>
      </c>
      <c r="H493" s="210" t="b">
        <f t="shared" si="16"/>
        <v>1</v>
      </c>
      <c r="I493" s="210"/>
      <c r="J493" s="210"/>
    </row>
    <row r="494" spans="1:10" ht="13.8" x14ac:dyDescent="0.25">
      <c r="A494" s="7" t="s">
        <v>3484</v>
      </c>
      <c r="B494" s="152"/>
      <c r="C494" s="151" t="s">
        <v>4614</v>
      </c>
      <c r="D494" s="152">
        <v>120</v>
      </c>
      <c r="E494" s="152" t="s">
        <v>25</v>
      </c>
      <c r="F494" s="153">
        <v>280000</v>
      </c>
      <c r="G494" s="153">
        <f>ROUNDDOWN(D494*F494,-3)</f>
        <v>33600000</v>
      </c>
      <c r="H494" s="210" t="b">
        <f t="shared" si="16"/>
        <v>1</v>
      </c>
      <c r="I494" s="210"/>
      <c r="J494" s="210"/>
    </row>
    <row r="495" spans="1:10" ht="13.8" x14ac:dyDescent="0.25">
      <c r="A495" s="7" t="s">
        <v>3486</v>
      </c>
      <c r="B495" s="152"/>
      <c r="C495" s="151" t="s">
        <v>4615</v>
      </c>
      <c r="D495" s="152">
        <v>150</v>
      </c>
      <c r="E495" s="152" t="s">
        <v>25</v>
      </c>
      <c r="F495" s="153">
        <v>150000</v>
      </c>
      <c r="G495" s="153">
        <f>ROUNDDOWN(D495*F495,-3)</f>
        <v>22500000</v>
      </c>
      <c r="H495" s="210" t="b">
        <f t="shared" si="16"/>
        <v>1</v>
      </c>
      <c r="I495" s="210"/>
      <c r="J495" s="210"/>
    </row>
    <row r="496" spans="1:10" ht="13.8" x14ac:dyDescent="0.25">
      <c r="A496" s="7" t="s">
        <v>3488</v>
      </c>
      <c r="B496" s="60">
        <v>521219</v>
      </c>
      <c r="C496" s="41" t="s">
        <v>53</v>
      </c>
      <c r="D496" s="60"/>
      <c r="E496" s="60"/>
      <c r="F496" s="42"/>
      <c r="G496" s="42">
        <f>SUM(G497:G498)</f>
        <v>1333864000</v>
      </c>
      <c r="H496" s="210" t="b">
        <f t="shared" si="16"/>
        <v>1</v>
      </c>
      <c r="I496" s="210"/>
      <c r="J496" s="210"/>
    </row>
    <row r="497" spans="1:10" ht="13.8" x14ac:dyDescent="0.25">
      <c r="A497" s="7" t="s">
        <v>3489</v>
      </c>
      <c r="B497" s="152"/>
      <c r="C497" s="151" t="s">
        <v>4616</v>
      </c>
      <c r="D497" s="152">
        <v>33</v>
      </c>
      <c r="E497" s="152" t="s">
        <v>155</v>
      </c>
      <c r="F497" s="153">
        <v>40412550</v>
      </c>
      <c r="G497" s="153">
        <f>ROUNDDOWN(D497*F497,-3)</f>
        <v>1333614000</v>
      </c>
      <c r="H497" s="210" t="b">
        <f t="shared" si="16"/>
        <v>1</v>
      </c>
      <c r="I497" s="210"/>
      <c r="J497" s="210"/>
    </row>
    <row r="498" spans="1:10" ht="13.8" x14ac:dyDescent="0.25">
      <c r="A498" s="7" t="s">
        <v>3491</v>
      </c>
      <c r="B498" s="152"/>
      <c r="C498" s="151" t="s">
        <v>4617</v>
      </c>
      <c r="D498" s="152">
        <v>1</v>
      </c>
      <c r="E498" s="152" t="s">
        <v>9</v>
      </c>
      <c r="F498" s="153">
        <v>250000</v>
      </c>
      <c r="G498" s="153">
        <f>ROUNDDOWN(D498*F498,-3)</f>
        <v>250000</v>
      </c>
      <c r="H498" s="210" t="b">
        <f t="shared" si="16"/>
        <v>1</v>
      </c>
      <c r="I498" s="210"/>
      <c r="J498" s="210"/>
    </row>
    <row r="499" spans="1:10" ht="13.8" x14ac:dyDescent="0.25">
      <c r="A499" s="7" t="s">
        <v>3492</v>
      </c>
      <c r="B499" s="60">
        <v>521811</v>
      </c>
      <c r="C499" s="41" t="s">
        <v>64</v>
      </c>
      <c r="D499" s="60"/>
      <c r="E499" s="60"/>
      <c r="F499" s="42"/>
      <c r="G499" s="42">
        <f>SUM(G500:G501)</f>
        <v>25000000</v>
      </c>
      <c r="H499" s="210" t="b">
        <f t="shared" si="16"/>
        <v>1</v>
      </c>
      <c r="I499" s="210"/>
      <c r="J499" s="210"/>
    </row>
    <row r="500" spans="1:10" ht="13.8" x14ac:dyDescent="0.25">
      <c r="A500" s="7" t="s">
        <v>3493</v>
      </c>
      <c r="B500" s="152"/>
      <c r="C500" s="151" t="s">
        <v>4269</v>
      </c>
      <c r="D500" s="152">
        <v>10</v>
      </c>
      <c r="E500" s="152" t="s">
        <v>9</v>
      </c>
      <c r="F500" s="153">
        <v>1000000</v>
      </c>
      <c r="G500" s="153">
        <f>ROUNDDOWN(D500*F500,-3)</f>
        <v>10000000</v>
      </c>
      <c r="H500" s="210" t="b">
        <f t="shared" si="16"/>
        <v>1</v>
      </c>
      <c r="I500" s="210"/>
      <c r="J500" s="210"/>
    </row>
    <row r="501" spans="1:10" ht="13.8" x14ac:dyDescent="0.25">
      <c r="A501" s="7" t="s">
        <v>3494</v>
      </c>
      <c r="B501" s="152"/>
      <c r="C501" s="151" t="s">
        <v>3632</v>
      </c>
      <c r="D501" s="152">
        <v>10</v>
      </c>
      <c r="E501" s="152" t="s">
        <v>9</v>
      </c>
      <c r="F501" s="153">
        <v>1500000</v>
      </c>
      <c r="G501" s="153">
        <f>ROUNDDOWN(D501*F501,-3)</f>
        <v>15000000</v>
      </c>
      <c r="H501" s="210" t="b">
        <f t="shared" si="16"/>
        <v>1</v>
      </c>
      <c r="I501" s="210"/>
      <c r="J501" s="210"/>
    </row>
    <row r="502" spans="1:10" ht="13.8" x14ac:dyDescent="0.25">
      <c r="A502" s="7" t="s">
        <v>3495</v>
      </c>
      <c r="B502" s="60">
        <v>522151</v>
      </c>
      <c r="C502" s="41" t="s">
        <v>11</v>
      </c>
      <c r="D502" s="60"/>
      <c r="E502" s="60"/>
      <c r="F502" s="42"/>
      <c r="G502" s="42">
        <f>G503</f>
        <v>15000000</v>
      </c>
      <c r="H502" s="210" t="b">
        <f t="shared" si="16"/>
        <v>1</v>
      </c>
      <c r="I502" s="210"/>
      <c r="J502" s="210"/>
    </row>
    <row r="503" spans="1:10" ht="13.8" x14ac:dyDescent="0.25">
      <c r="A503" s="7" t="s">
        <v>3496</v>
      </c>
      <c r="B503" s="152"/>
      <c r="C503" s="151" t="s">
        <v>3715</v>
      </c>
      <c r="D503" s="152">
        <v>15</v>
      </c>
      <c r="E503" s="152" t="s">
        <v>12</v>
      </c>
      <c r="F503" s="153">
        <v>1000000</v>
      </c>
      <c r="G503" s="153">
        <f>ROUNDDOWN(D503*F503,-3)</f>
        <v>15000000</v>
      </c>
      <c r="H503" s="210" t="b">
        <f t="shared" si="16"/>
        <v>1</v>
      </c>
      <c r="I503" s="210"/>
      <c r="J503" s="210"/>
    </row>
    <row r="504" spans="1:10" ht="13.8" x14ac:dyDescent="0.25">
      <c r="A504" s="7" t="s">
        <v>3497</v>
      </c>
      <c r="B504" s="60">
        <v>522191</v>
      </c>
      <c r="C504" s="41" t="s">
        <v>22</v>
      </c>
      <c r="D504" s="60"/>
      <c r="E504" s="60"/>
      <c r="F504" s="42"/>
      <c r="G504" s="42">
        <f>G505</f>
        <v>102600000</v>
      </c>
      <c r="H504" s="210" t="b">
        <f t="shared" si="16"/>
        <v>1</v>
      </c>
      <c r="I504" s="210"/>
      <c r="J504" s="210"/>
    </row>
    <row r="505" spans="1:10" ht="13.8" x14ac:dyDescent="0.25">
      <c r="A505" s="7" t="s">
        <v>3498</v>
      </c>
      <c r="B505" s="152"/>
      <c r="C505" s="151" t="s">
        <v>4618</v>
      </c>
      <c r="D505" s="152">
        <v>120</v>
      </c>
      <c r="E505" s="152" t="s">
        <v>155</v>
      </c>
      <c r="F505" s="153">
        <v>855000</v>
      </c>
      <c r="G505" s="153">
        <f>ROUNDDOWN(D505*F505,-3)</f>
        <v>102600000</v>
      </c>
      <c r="H505" s="210" t="b">
        <f t="shared" si="16"/>
        <v>1</v>
      </c>
      <c r="I505" s="210"/>
      <c r="J505" s="210"/>
    </row>
    <row r="506" spans="1:10" ht="13.8" x14ac:dyDescent="0.25">
      <c r="A506" s="7" t="s">
        <v>3500</v>
      </c>
      <c r="B506" s="60">
        <v>524111</v>
      </c>
      <c r="C506" s="41" t="s">
        <v>19</v>
      </c>
      <c r="D506" s="60"/>
      <c r="E506" s="60"/>
      <c r="F506" s="42"/>
      <c r="G506" s="42">
        <f>SUM(G507:G508)</f>
        <v>138000000</v>
      </c>
      <c r="H506" s="210" t="b">
        <f t="shared" si="16"/>
        <v>1</v>
      </c>
      <c r="I506" s="210"/>
      <c r="J506" s="210"/>
    </row>
    <row r="507" spans="1:10" ht="13.8" x14ac:dyDescent="0.25">
      <c r="A507" s="7" t="s">
        <v>3501</v>
      </c>
      <c r="B507" s="152"/>
      <c r="C507" s="151" t="s">
        <v>4619</v>
      </c>
      <c r="D507" s="152">
        <v>50</v>
      </c>
      <c r="E507" s="152" t="s">
        <v>10</v>
      </c>
      <c r="F507" s="153">
        <v>1200000</v>
      </c>
      <c r="G507" s="153">
        <f>ROUNDDOWN(D507*F507,-3)</f>
        <v>60000000</v>
      </c>
      <c r="H507" s="210" t="b">
        <f t="shared" si="16"/>
        <v>1</v>
      </c>
      <c r="I507" s="210"/>
      <c r="J507" s="210"/>
    </row>
    <row r="508" spans="1:10" ht="26.4" x14ac:dyDescent="0.25">
      <c r="A508" s="7" t="s">
        <v>3503</v>
      </c>
      <c r="B508" s="152"/>
      <c r="C508" s="151" t="s">
        <v>4620</v>
      </c>
      <c r="D508" s="152">
        <v>12</v>
      </c>
      <c r="E508" s="152" t="s">
        <v>10</v>
      </c>
      <c r="F508" s="153">
        <v>6500000</v>
      </c>
      <c r="G508" s="153">
        <f>ROUNDDOWN(D508*F508,-3)</f>
        <v>78000000</v>
      </c>
      <c r="H508" s="210" t="b">
        <f t="shared" si="16"/>
        <v>1</v>
      </c>
      <c r="I508" s="210"/>
      <c r="J508" s="210"/>
    </row>
    <row r="509" spans="1:10" ht="13.8" x14ac:dyDescent="0.25">
      <c r="A509" s="7" t="s">
        <v>3505</v>
      </c>
      <c r="B509" s="59" t="s">
        <v>511</v>
      </c>
      <c r="C509" s="38" t="s">
        <v>191</v>
      </c>
      <c r="D509" s="59"/>
      <c r="E509" s="59"/>
      <c r="F509" s="39"/>
      <c r="G509" s="39">
        <f>SUM(G510,G513,G517,G520,G522)</f>
        <v>6555695000</v>
      </c>
      <c r="H509" s="210" t="b">
        <f t="shared" si="16"/>
        <v>1</v>
      </c>
      <c r="I509" s="210"/>
      <c r="J509" s="210"/>
    </row>
    <row r="510" spans="1:10" ht="13.8" x14ac:dyDescent="0.25">
      <c r="A510" s="7" t="s">
        <v>3506</v>
      </c>
      <c r="B510" s="60">
        <v>521211</v>
      </c>
      <c r="C510" s="41" t="s">
        <v>7</v>
      </c>
      <c r="D510" s="60"/>
      <c r="E510" s="60"/>
      <c r="F510" s="42"/>
      <c r="G510" s="42">
        <f>SUM(G511:G512)</f>
        <v>25000000</v>
      </c>
      <c r="H510" s="210" t="b">
        <f t="shared" si="16"/>
        <v>1</v>
      </c>
      <c r="I510" s="210"/>
      <c r="J510" s="210"/>
    </row>
    <row r="511" spans="1:10" ht="13.8" x14ac:dyDescent="0.25">
      <c r="A511" s="7" t="s">
        <v>3507</v>
      </c>
      <c r="B511" s="152"/>
      <c r="C511" s="151" t="s">
        <v>4612</v>
      </c>
      <c r="D511" s="152">
        <v>100</v>
      </c>
      <c r="E511" s="152" t="s">
        <v>10</v>
      </c>
      <c r="F511" s="153">
        <v>70000</v>
      </c>
      <c r="G511" s="153">
        <f>ROUNDDOWN(D511*F511,-3)</f>
        <v>7000000</v>
      </c>
      <c r="H511" s="210" t="b">
        <f t="shared" si="16"/>
        <v>1</v>
      </c>
      <c r="I511" s="210"/>
      <c r="J511" s="210"/>
    </row>
    <row r="512" spans="1:10" ht="13.8" x14ac:dyDescent="0.25">
      <c r="A512" s="7" t="s">
        <v>3508</v>
      </c>
      <c r="B512" s="152"/>
      <c r="C512" s="151" t="s">
        <v>4613</v>
      </c>
      <c r="D512" s="152">
        <v>12</v>
      </c>
      <c r="E512" s="152" t="s">
        <v>9</v>
      </c>
      <c r="F512" s="153">
        <v>1500000</v>
      </c>
      <c r="G512" s="153">
        <f>ROUNDDOWN(D512*F512,-3)</f>
        <v>18000000</v>
      </c>
      <c r="H512" s="210" t="b">
        <f t="shared" si="16"/>
        <v>1</v>
      </c>
      <c r="I512" s="210"/>
      <c r="J512" s="210"/>
    </row>
    <row r="513" spans="1:10" ht="13.8" x14ac:dyDescent="0.25">
      <c r="A513" s="7" t="s">
        <v>3509</v>
      </c>
      <c r="B513" s="60">
        <v>521219</v>
      </c>
      <c r="C513" s="41" t="s">
        <v>53</v>
      </c>
      <c r="D513" s="60"/>
      <c r="E513" s="60"/>
      <c r="F513" s="42"/>
      <c r="G513" s="42">
        <f>SUM(G514:G516)</f>
        <v>6308695000</v>
      </c>
      <c r="H513" s="210" t="b">
        <f t="shared" si="16"/>
        <v>1</v>
      </c>
      <c r="I513" s="210"/>
      <c r="J513" s="210"/>
    </row>
    <row r="514" spans="1:10" ht="13.8" x14ac:dyDescent="0.25">
      <c r="A514" s="7" t="s">
        <v>3510</v>
      </c>
      <c r="B514" s="152"/>
      <c r="C514" s="151" t="s">
        <v>4616</v>
      </c>
      <c r="D514" s="152">
        <v>157</v>
      </c>
      <c r="E514" s="152" t="s">
        <v>155</v>
      </c>
      <c r="F514" s="153">
        <v>40130229</v>
      </c>
      <c r="G514" s="153">
        <f>ROUNDDOWN(D514*F514,-3)</f>
        <v>6300445000</v>
      </c>
      <c r="H514" s="210" t="b">
        <f t="shared" si="16"/>
        <v>1</v>
      </c>
      <c r="I514" s="210"/>
      <c r="J514" s="210"/>
    </row>
    <row r="515" spans="1:10" ht="13.8" x14ac:dyDescent="0.25">
      <c r="A515" s="7" t="s">
        <v>3511</v>
      </c>
      <c r="B515" s="152"/>
      <c r="C515" s="151" t="s">
        <v>4617</v>
      </c>
      <c r="D515" s="152">
        <v>3</v>
      </c>
      <c r="E515" s="152" t="s">
        <v>9</v>
      </c>
      <c r="F515" s="153">
        <v>250000</v>
      </c>
      <c r="G515" s="153">
        <f>ROUNDDOWN(D515*F515,-3)</f>
        <v>750000</v>
      </c>
      <c r="H515" s="210" t="b">
        <f t="shared" si="16"/>
        <v>1</v>
      </c>
      <c r="I515" s="210"/>
      <c r="J515" s="210"/>
    </row>
    <row r="516" spans="1:10" ht="13.8" x14ac:dyDescent="0.25">
      <c r="A516" s="7" t="s">
        <v>3512</v>
      </c>
      <c r="B516" s="152"/>
      <c r="C516" s="151" t="s">
        <v>4621</v>
      </c>
      <c r="D516" s="152">
        <v>15</v>
      </c>
      <c r="E516" s="152" t="s">
        <v>106</v>
      </c>
      <c r="F516" s="153">
        <v>500000</v>
      </c>
      <c r="G516" s="153">
        <f>ROUNDDOWN(D516*F516,-3)</f>
        <v>7500000</v>
      </c>
      <c r="H516" s="210" t="b">
        <f t="shared" si="16"/>
        <v>1</v>
      </c>
      <c r="I516" s="210"/>
      <c r="J516" s="210"/>
    </row>
    <row r="517" spans="1:10" ht="13.8" x14ac:dyDescent="0.25">
      <c r="A517" s="7" t="s">
        <v>3514</v>
      </c>
      <c r="B517" s="60">
        <v>521811</v>
      </c>
      <c r="C517" s="41" t="s">
        <v>64</v>
      </c>
      <c r="D517" s="60"/>
      <c r="E517" s="60"/>
      <c r="F517" s="42"/>
      <c r="G517" s="42">
        <f>SUM(G518:G519)</f>
        <v>30000000</v>
      </c>
      <c r="H517" s="210" t="b">
        <f t="shared" si="16"/>
        <v>1</v>
      </c>
      <c r="I517" s="210"/>
      <c r="J517" s="210"/>
    </row>
    <row r="518" spans="1:10" ht="13.8" x14ac:dyDescent="0.25">
      <c r="A518" s="7" t="s">
        <v>3515</v>
      </c>
      <c r="B518" s="152"/>
      <c r="C518" s="151" t="s">
        <v>4269</v>
      </c>
      <c r="D518" s="152">
        <v>12</v>
      </c>
      <c r="E518" s="152" t="s">
        <v>9</v>
      </c>
      <c r="F518" s="153">
        <v>1000000</v>
      </c>
      <c r="G518" s="153">
        <f>ROUNDDOWN(D518*F518,-3)</f>
        <v>12000000</v>
      </c>
      <c r="H518" s="210" t="b">
        <f t="shared" si="16"/>
        <v>1</v>
      </c>
      <c r="I518" s="210"/>
      <c r="J518" s="210"/>
    </row>
    <row r="519" spans="1:10" ht="13.8" x14ac:dyDescent="0.25">
      <c r="A519" s="7" t="s">
        <v>3516</v>
      </c>
      <c r="B519" s="152"/>
      <c r="C519" s="151" t="s">
        <v>3632</v>
      </c>
      <c r="D519" s="152">
        <v>12</v>
      </c>
      <c r="E519" s="152" t="s">
        <v>9</v>
      </c>
      <c r="F519" s="153">
        <v>1500000</v>
      </c>
      <c r="G519" s="153">
        <f>ROUNDDOWN(D519*F519,-3)</f>
        <v>18000000</v>
      </c>
      <c r="H519" s="210" t="b">
        <f t="shared" si="16"/>
        <v>1</v>
      </c>
      <c r="I519" s="210"/>
      <c r="J519" s="210"/>
    </row>
    <row r="520" spans="1:10" ht="13.8" x14ac:dyDescent="0.25">
      <c r="A520" s="7" t="s">
        <v>3517</v>
      </c>
      <c r="B520" s="60">
        <v>522151</v>
      </c>
      <c r="C520" s="41" t="s">
        <v>11</v>
      </c>
      <c r="D520" s="60"/>
      <c r="E520" s="60"/>
      <c r="F520" s="42"/>
      <c r="G520" s="42">
        <f>G521</f>
        <v>6000000</v>
      </c>
      <c r="H520" s="210" t="b">
        <f t="shared" si="16"/>
        <v>1</v>
      </c>
      <c r="I520" s="210"/>
      <c r="J520" s="210"/>
    </row>
    <row r="521" spans="1:10" ht="13.8" x14ac:dyDescent="0.25">
      <c r="A521" s="7" t="s">
        <v>3518</v>
      </c>
      <c r="B521" s="152"/>
      <c r="C521" s="151" t="s">
        <v>3715</v>
      </c>
      <c r="D521" s="152">
        <v>6</v>
      </c>
      <c r="E521" s="152" t="s">
        <v>12</v>
      </c>
      <c r="F521" s="153">
        <v>1000000</v>
      </c>
      <c r="G521" s="153">
        <f>ROUNDDOWN(D521*F521,-3)</f>
        <v>6000000</v>
      </c>
      <c r="H521" s="210" t="b">
        <f t="shared" si="16"/>
        <v>1</v>
      </c>
      <c r="I521" s="210"/>
      <c r="J521" s="210"/>
    </row>
    <row r="522" spans="1:10" ht="13.8" x14ac:dyDescent="0.25">
      <c r="A522" s="7" t="s">
        <v>3519</v>
      </c>
      <c r="B522" s="60">
        <v>524111</v>
      </c>
      <c r="C522" s="41" t="s">
        <v>19</v>
      </c>
      <c r="D522" s="60"/>
      <c r="E522" s="60"/>
      <c r="F522" s="42"/>
      <c r="G522" s="42">
        <f>SUM(G523:G524)</f>
        <v>186000000</v>
      </c>
      <c r="H522" s="210" t="b">
        <f t="shared" si="16"/>
        <v>1</v>
      </c>
      <c r="I522" s="210"/>
      <c r="J522" s="210"/>
    </row>
    <row r="523" spans="1:10" ht="13.8" x14ac:dyDescent="0.25">
      <c r="A523" s="7" t="s">
        <v>3520</v>
      </c>
      <c r="B523" s="152"/>
      <c r="C523" s="151" t="s">
        <v>4619</v>
      </c>
      <c r="D523" s="152">
        <v>20</v>
      </c>
      <c r="E523" s="152" t="s">
        <v>10</v>
      </c>
      <c r="F523" s="153">
        <v>1500000</v>
      </c>
      <c r="G523" s="153">
        <f>ROUNDDOWN(D523*F523,-3)</f>
        <v>30000000</v>
      </c>
      <c r="H523" s="210" t="b">
        <f t="shared" si="16"/>
        <v>1</v>
      </c>
      <c r="I523" s="210"/>
      <c r="J523" s="210"/>
    </row>
    <row r="524" spans="1:10" ht="26.4" x14ac:dyDescent="0.25">
      <c r="A524" s="7" t="s">
        <v>3521</v>
      </c>
      <c r="B524" s="152"/>
      <c r="C524" s="151" t="s">
        <v>4620</v>
      </c>
      <c r="D524" s="152">
        <v>24</v>
      </c>
      <c r="E524" s="152" t="s">
        <v>10</v>
      </c>
      <c r="F524" s="153">
        <v>6500000</v>
      </c>
      <c r="G524" s="153">
        <f>ROUNDDOWN(D524*F524,-3)</f>
        <v>156000000</v>
      </c>
      <c r="H524" s="210" t="b">
        <f t="shared" si="16"/>
        <v>1</v>
      </c>
      <c r="I524" s="210"/>
      <c r="J524" s="210"/>
    </row>
    <row r="525" spans="1:10" ht="13.8" x14ac:dyDescent="0.25">
      <c r="A525" s="7" t="s">
        <v>3522</v>
      </c>
      <c r="B525" s="59" t="s">
        <v>512</v>
      </c>
      <c r="C525" s="38" t="s">
        <v>192</v>
      </c>
      <c r="D525" s="59"/>
      <c r="E525" s="59"/>
      <c r="F525" s="39"/>
      <c r="G525" s="39">
        <f>SUM(G526,G530,G532)</f>
        <v>174041000</v>
      </c>
      <c r="H525" s="210" t="b">
        <f t="shared" si="16"/>
        <v>1</v>
      </c>
      <c r="I525" s="210"/>
      <c r="J525" s="210"/>
    </row>
    <row r="526" spans="1:10" ht="13.8" x14ac:dyDescent="0.25">
      <c r="A526" s="7" t="s">
        <v>3523</v>
      </c>
      <c r="B526" s="60">
        <v>521211</v>
      </c>
      <c r="C526" s="41" t="s">
        <v>7</v>
      </c>
      <c r="D526" s="60"/>
      <c r="E526" s="60"/>
      <c r="F526" s="42"/>
      <c r="G526" s="42">
        <f>SUM(G527:G529)</f>
        <v>12000000</v>
      </c>
      <c r="H526" s="210" t="b">
        <f t="shared" si="16"/>
        <v>1</v>
      </c>
      <c r="I526" s="210"/>
      <c r="J526" s="210"/>
    </row>
    <row r="527" spans="1:10" ht="13.8" x14ac:dyDescent="0.25">
      <c r="A527" s="7" t="s">
        <v>3524</v>
      </c>
      <c r="B527" s="152"/>
      <c r="C527" s="151" t="s">
        <v>4622</v>
      </c>
      <c r="D527" s="152">
        <v>3</v>
      </c>
      <c r="E527" s="152" t="s">
        <v>9</v>
      </c>
      <c r="F527" s="153">
        <v>1500000</v>
      </c>
      <c r="G527" s="153">
        <f>ROUNDDOWN(D527*F527,-3)</f>
        <v>4500000</v>
      </c>
      <c r="H527" s="210" t="b">
        <f t="shared" si="16"/>
        <v>1</v>
      </c>
      <c r="I527" s="210"/>
      <c r="J527" s="210"/>
    </row>
    <row r="528" spans="1:10" ht="13.8" x14ac:dyDescent="0.25">
      <c r="A528" s="7" t="s">
        <v>3525</v>
      </c>
      <c r="B528" s="152"/>
      <c r="C528" s="151" t="s">
        <v>3626</v>
      </c>
      <c r="D528" s="152">
        <v>3</v>
      </c>
      <c r="E528" s="152" t="s">
        <v>9</v>
      </c>
      <c r="F528" s="153">
        <v>1000000</v>
      </c>
      <c r="G528" s="153">
        <f>ROUNDDOWN(D528*F528,-3)</f>
        <v>3000000</v>
      </c>
      <c r="H528" s="210" t="b">
        <f t="shared" si="16"/>
        <v>1</v>
      </c>
      <c r="I528" s="210"/>
      <c r="J528" s="210"/>
    </row>
    <row r="529" spans="1:10" ht="13.8" x14ac:dyDescent="0.25">
      <c r="A529" s="7" t="s">
        <v>3526</v>
      </c>
      <c r="B529" s="152"/>
      <c r="C529" s="151" t="s">
        <v>3600</v>
      </c>
      <c r="D529" s="152">
        <v>3</v>
      </c>
      <c r="E529" s="152" t="s">
        <v>9</v>
      </c>
      <c r="F529" s="153">
        <v>1500000</v>
      </c>
      <c r="G529" s="153">
        <f>ROUNDDOWN(D529*F529,-3)</f>
        <v>4500000</v>
      </c>
      <c r="H529" s="210" t="b">
        <f t="shared" si="16"/>
        <v>1</v>
      </c>
      <c r="I529" s="210"/>
      <c r="J529" s="210"/>
    </row>
    <row r="530" spans="1:10" ht="13.8" x14ac:dyDescent="0.25">
      <c r="A530" s="7" t="s">
        <v>3527</v>
      </c>
      <c r="B530" s="60">
        <v>521219</v>
      </c>
      <c r="C530" s="41" t="s">
        <v>53</v>
      </c>
      <c r="D530" s="60"/>
      <c r="E530" s="60"/>
      <c r="F530" s="42"/>
      <c r="G530" s="42">
        <f>G531</f>
        <v>20000000</v>
      </c>
      <c r="H530" s="210" t="b">
        <f t="shared" si="16"/>
        <v>1</v>
      </c>
      <c r="I530" s="210"/>
      <c r="J530" s="210"/>
    </row>
    <row r="531" spans="1:10" ht="26.4" x14ac:dyDescent="0.25">
      <c r="A531" s="7" t="s">
        <v>3528</v>
      </c>
      <c r="B531" s="152"/>
      <c r="C531" s="151" t="s">
        <v>4623</v>
      </c>
      <c r="D531" s="152">
        <v>2</v>
      </c>
      <c r="E531" s="152" t="s">
        <v>155</v>
      </c>
      <c r="F531" s="153">
        <v>10000000</v>
      </c>
      <c r="G531" s="153">
        <f>ROUNDDOWN(D531*F531,-3)</f>
        <v>20000000</v>
      </c>
      <c r="H531" s="210" t="b">
        <f t="shared" si="16"/>
        <v>1</v>
      </c>
      <c r="I531" s="210"/>
      <c r="J531" s="210"/>
    </row>
    <row r="532" spans="1:10" ht="13.8" x14ac:dyDescent="0.25">
      <c r="A532" s="7" t="s">
        <v>3530</v>
      </c>
      <c r="B532" s="60">
        <v>524211</v>
      </c>
      <c r="C532" s="41" t="s">
        <v>1151</v>
      </c>
      <c r="D532" s="60"/>
      <c r="E532" s="60"/>
      <c r="F532" s="42"/>
      <c r="G532" s="42">
        <f>G533</f>
        <v>142041000</v>
      </c>
      <c r="H532" s="210" t="b">
        <f t="shared" si="16"/>
        <v>1</v>
      </c>
      <c r="I532" s="210"/>
      <c r="J532" s="210"/>
    </row>
    <row r="533" spans="1:10" ht="26.4" x14ac:dyDescent="0.25">
      <c r="A533" s="7" t="s">
        <v>3531</v>
      </c>
      <c r="B533" s="152"/>
      <c r="C533" s="151" t="s">
        <v>4624</v>
      </c>
      <c r="D533" s="152">
        <v>3</v>
      </c>
      <c r="E533" s="152" t="s">
        <v>10</v>
      </c>
      <c r="F533" s="153">
        <v>47347000</v>
      </c>
      <c r="G533" s="153">
        <f>ROUNDDOWN(D533*F533,-3)</f>
        <v>142041000</v>
      </c>
      <c r="H533" s="210" t="b">
        <f t="shared" si="16"/>
        <v>1</v>
      </c>
      <c r="I533" s="210"/>
      <c r="J533" s="210"/>
    </row>
    <row r="534" spans="1:10" ht="13.8" x14ac:dyDescent="0.25">
      <c r="A534" s="7" t="s">
        <v>3533</v>
      </c>
      <c r="B534" s="59" t="s">
        <v>514</v>
      </c>
      <c r="C534" s="38" t="s">
        <v>3534</v>
      </c>
      <c r="D534" s="59"/>
      <c r="E534" s="59"/>
      <c r="F534" s="39"/>
      <c r="G534" s="39">
        <f>G535</f>
        <v>30000000</v>
      </c>
      <c r="H534" s="210" t="b">
        <f t="shared" si="16"/>
        <v>1</v>
      </c>
      <c r="I534" s="210"/>
      <c r="J534" s="210"/>
    </row>
    <row r="535" spans="1:10" ht="13.8" x14ac:dyDescent="0.25">
      <c r="A535" s="7" t="s">
        <v>3535</v>
      </c>
      <c r="B535" s="60">
        <v>522192</v>
      </c>
      <c r="C535" s="41" t="s">
        <v>24</v>
      </c>
      <c r="D535" s="60"/>
      <c r="E535" s="60"/>
      <c r="F535" s="42"/>
      <c r="G535" s="42">
        <f>G536</f>
        <v>30000000</v>
      </c>
      <c r="H535" s="210" t="b">
        <f t="shared" si="16"/>
        <v>1</v>
      </c>
      <c r="I535" s="210"/>
      <c r="J535" s="210"/>
    </row>
    <row r="536" spans="1:10" ht="13.8" x14ac:dyDescent="0.25">
      <c r="A536" s="7" t="s">
        <v>3536</v>
      </c>
      <c r="B536" s="152"/>
      <c r="C536" s="151" t="s">
        <v>4625</v>
      </c>
      <c r="D536" s="152">
        <v>120</v>
      </c>
      <c r="E536" s="152" t="s">
        <v>776</v>
      </c>
      <c r="F536" s="153">
        <v>250000</v>
      </c>
      <c r="G536" s="153">
        <f>ROUNDDOWN(D536*F536,-3)</f>
        <v>30000000</v>
      </c>
      <c r="H536" s="210" t="b">
        <f t="shared" si="16"/>
        <v>1</v>
      </c>
      <c r="I536" s="210"/>
      <c r="J536" s="210"/>
    </row>
    <row r="537" spans="1:10" ht="13.8" x14ac:dyDescent="0.25">
      <c r="A537" s="7" t="s">
        <v>3538</v>
      </c>
      <c r="B537" s="58">
        <v>302</v>
      </c>
      <c r="C537" s="35" t="s">
        <v>193</v>
      </c>
      <c r="D537" s="58"/>
      <c r="E537" s="58"/>
      <c r="F537" s="36"/>
      <c r="G537" s="36">
        <f>G538</f>
        <v>109200000</v>
      </c>
      <c r="H537" s="210" t="b">
        <f t="shared" si="16"/>
        <v>1</v>
      </c>
      <c r="I537" s="210"/>
      <c r="J537" s="210"/>
    </row>
    <row r="538" spans="1:10" ht="13.8" x14ac:dyDescent="0.25">
      <c r="A538" s="7" t="s">
        <v>3539</v>
      </c>
      <c r="B538" s="59" t="s">
        <v>8</v>
      </c>
      <c r="C538" s="38" t="s">
        <v>193</v>
      </c>
      <c r="D538" s="59"/>
      <c r="E538" s="59"/>
      <c r="F538" s="39"/>
      <c r="G538" s="39">
        <f>SUM(G539,G542,G545)</f>
        <v>109200000</v>
      </c>
      <c r="H538" s="210" t="b">
        <f t="shared" si="16"/>
        <v>1</v>
      </c>
      <c r="I538" s="210"/>
      <c r="J538" s="210"/>
    </row>
    <row r="539" spans="1:10" ht="13.8" x14ac:dyDescent="0.25">
      <c r="A539" s="7" t="s">
        <v>3540</v>
      </c>
      <c r="B539" s="60">
        <v>521211</v>
      </c>
      <c r="C539" s="41" t="s">
        <v>7</v>
      </c>
      <c r="D539" s="60"/>
      <c r="E539" s="60"/>
      <c r="F539" s="42"/>
      <c r="G539" s="42">
        <f>SUM(G540:G541)</f>
        <v>25000000</v>
      </c>
      <c r="H539" s="210" t="b">
        <f t="shared" si="16"/>
        <v>1</v>
      </c>
      <c r="I539" s="210"/>
      <c r="J539" s="210"/>
    </row>
    <row r="540" spans="1:10" ht="13.8" x14ac:dyDescent="0.25">
      <c r="A540" s="7" t="s">
        <v>3541</v>
      </c>
      <c r="B540" s="152"/>
      <c r="C540" s="151" t="s">
        <v>4612</v>
      </c>
      <c r="D540" s="152">
        <v>100</v>
      </c>
      <c r="E540" s="152" t="s">
        <v>10</v>
      </c>
      <c r="F540" s="153">
        <v>70000</v>
      </c>
      <c r="G540" s="153">
        <f>ROUNDDOWN(D540*F540,-3)</f>
        <v>7000000</v>
      </c>
      <c r="H540" s="210" t="b">
        <f t="shared" si="16"/>
        <v>1</v>
      </c>
      <c r="I540" s="210"/>
      <c r="J540" s="210"/>
    </row>
    <row r="541" spans="1:10" ht="13.8" x14ac:dyDescent="0.25">
      <c r="A541" s="7" t="s">
        <v>3542</v>
      </c>
      <c r="B541" s="152"/>
      <c r="C541" s="151" t="s">
        <v>4613</v>
      </c>
      <c r="D541" s="152">
        <v>12</v>
      </c>
      <c r="E541" s="152" t="s">
        <v>9</v>
      </c>
      <c r="F541" s="153">
        <v>1500000</v>
      </c>
      <c r="G541" s="153">
        <f>ROUNDDOWN(D541*F541,-3)</f>
        <v>18000000</v>
      </c>
      <c r="H541" s="210" t="b">
        <f t="shared" si="16"/>
        <v>1</v>
      </c>
      <c r="I541" s="210"/>
      <c r="J541" s="210"/>
    </row>
    <row r="542" spans="1:10" ht="13.8" x14ac:dyDescent="0.25">
      <c r="A542" s="7" t="s">
        <v>3543</v>
      </c>
      <c r="B542" s="60">
        <v>521811</v>
      </c>
      <c r="C542" s="41" t="s">
        <v>64</v>
      </c>
      <c r="D542" s="60"/>
      <c r="E542" s="60"/>
      <c r="F542" s="42"/>
      <c r="G542" s="42">
        <f>SUM(G543:G544)</f>
        <v>30000000</v>
      </c>
      <c r="H542" s="210" t="b">
        <f t="shared" si="16"/>
        <v>1</v>
      </c>
      <c r="I542" s="210"/>
      <c r="J542" s="210"/>
    </row>
    <row r="543" spans="1:10" ht="13.8" x14ac:dyDescent="0.25">
      <c r="A543" s="7" t="s">
        <v>3544</v>
      </c>
      <c r="B543" s="152"/>
      <c r="C543" s="151" t="s">
        <v>4269</v>
      </c>
      <c r="D543" s="152">
        <v>12</v>
      </c>
      <c r="E543" s="152" t="s">
        <v>9</v>
      </c>
      <c r="F543" s="153">
        <v>1000000</v>
      </c>
      <c r="G543" s="153">
        <f>ROUNDDOWN(D543*F543,-3)</f>
        <v>12000000</v>
      </c>
      <c r="H543" s="210" t="b">
        <f t="shared" si="16"/>
        <v>1</v>
      </c>
      <c r="I543" s="210"/>
      <c r="J543" s="210"/>
    </row>
    <row r="544" spans="1:10" ht="13.8" x14ac:dyDescent="0.25">
      <c r="A544" s="7" t="s">
        <v>3545</v>
      </c>
      <c r="B544" s="152"/>
      <c r="C544" s="151" t="s">
        <v>3632</v>
      </c>
      <c r="D544" s="152">
        <v>12</v>
      </c>
      <c r="E544" s="152" t="s">
        <v>9</v>
      </c>
      <c r="F544" s="153">
        <v>1500000</v>
      </c>
      <c r="G544" s="153">
        <f>ROUNDDOWN(D544*F544,-3)</f>
        <v>18000000</v>
      </c>
      <c r="H544" s="210" t="b">
        <f t="shared" si="16"/>
        <v>1</v>
      </c>
      <c r="I544" s="210"/>
      <c r="J544" s="210"/>
    </row>
    <row r="545" spans="1:10" ht="13.8" x14ac:dyDescent="0.25">
      <c r="A545" s="7" t="s">
        <v>3546</v>
      </c>
      <c r="B545" s="60">
        <v>524111</v>
      </c>
      <c r="C545" s="41" t="s">
        <v>19</v>
      </c>
      <c r="D545" s="60"/>
      <c r="E545" s="60"/>
      <c r="F545" s="42"/>
      <c r="G545" s="42">
        <f>G546</f>
        <v>54200000</v>
      </c>
      <c r="H545" s="210" t="b">
        <f t="shared" si="16"/>
        <v>1</v>
      </c>
      <c r="I545" s="210"/>
      <c r="J545" s="210"/>
    </row>
    <row r="546" spans="1:10" ht="26.4" x14ac:dyDescent="0.25">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588" priority="14">
      <formula>NOT(_xlfn.ISFORMULA(G12))</formula>
    </cfRule>
  </conditionalFormatting>
  <conditionalFormatting sqref="B11:J12 H13:J546">
    <cfRule type="expression" dxfId="587" priority="15">
      <formula>AND(#REF!="Ya",#REF!=ROW())</formula>
    </cfRule>
  </conditionalFormatting>
  <conditionalFormatting sqref="B518:F518 G543:G544 G540:G541 G536 G533 G531 G527:G529 G523:G524 G521 G518:G519 B13:G517">
    <cfRule type="expression" dxfId="586" priority="13">
      <formula>AND($R$4="Ya",$Q$2=ROW())</formula>
    </cfRule>
  </conditionalFormatting>
  <conditionalFormatting sqref="G546">
    <cfRule type="expression" dxfId="585" priority="12">
      <formula>AND($R$4="Ya",$Q$2=ROW())</formula>
    </cfRule>
  </conditionalFormatting>
  <conditionalFormatting sqref="G546 G543:G544 G540:G541 G536 G533 G531 G527:G529 G523:G524 G521 G518:G519">
    <cfRule type="expression" dxfId="584" priority="11">
      <formula>NOT(_xlfn.ISFORMULA(G518))</formula>
    </cfRule>
  </conditionalFormatting>
  <conditionalFormatting sqref="G530">
    <cfRule type="expression" dxfId="583" priority="10">
      <formula>NOT(_xlfn.ISFORMULA(G530))</formula>
    </cfRule>
  </conditionalFormatting>
  <conditionalFormatting sqref="G530">
    <cfRule type="expression" dxfId="582" priority="9">
      <formula>AND($R$4="Ya",$Q$2=ROW())</formula>
    </cfRule>
  </conditionalFormatting>
  <conditionalFormatting sqref="G520">
    <cfRule type="expression" dxfId="581" priority="8">
      <formula>NOT(_xlfn.ISFORMULA(G520))</formula>
    </cfRule>
  </conditionalFormatting>
  <conditionalFormatting sqref="G520">
    <cfRule type="expression" dxfId="580" priority="7">
      <formula>AND($R$4="Ya",$Q$2=ROW())</formula>
    </cfRule>
  </conditionalFormatting>
  <conditionalFormatting sqref="G545">
    <cfRule type="expression" dxfId="579" priority="6">
      <formula>NOT(_xlfn.ISFORMULA(G545))</formula>
    </cfRule>
  </conditionalFormatting>
  <conditionalFormatting sqref="G545">
    <cfRule type="expression" dxfId="578" priority="5">
      <formula>AND($R$4="Ya",$Q$2=ROW())</formula>
    </cfRule>
  </conditionalFormatting>
  <conditionalFormatting sqref="G542">
    <cfRule type="expression" dxfId="577" priority="4">
      <formula>NOT(_xlfn.ISFORMULA(G542))</formula>
    </cfRule>
  </conditionalFormatting>
  <conditionalFormatting sqref="G542">
    <cfRule type="expression" dxfId="576" priority="3">
      <formula>AND($R$4="Ya",$Q$2=ROW())</formula>
    </cfRule>
  </conditionalFormatting>
  <conditionalFormatting sqref="G539">
    <cfRule type="expression" dxfId="575" priority="2">
      <formula>NOT(_xlfn.ISFORMULA(G539))</formula>
    </cfRule>
  </conditionalFormatting>
  <conditionalFormatting sqref="G539">
    <cfRule type="expression" dxfId="57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78" bestFit="1" customWidth="1"/>
    <col min="2" max="2" width="18" style="173" bestFit="1" customWidth="1"/>
    <col min="3" max="3" width="83.88671875" style="181" bestFit="1" customWidth="1"/>
    <col min="4" max="4" width="7" style="174" bestFit="1" customWidth="1"/>
    <col min="5" max="5" width="9.5546875" style="174" customWidth="1"/>
    <col min="6" max="6" width="14" style="182" bestFit="1" customWidth="1"/>
    <col min="7" max="7" width="15" style="182" bestFit="1" customWidth="1"/>
    <col min="8" max="8" width="7" style="182" bestFit="1" customWidth="1"/>
    <col min="9" max="10" width="16.88671875" style="182" customWidth="1"/>
    <col min="11" max="11" width="5" style="117" bestFit="1" customWidth="1"/>
    <col min="12" max="12" width="4.6640625" style="117" bestFit="1" customWidth="1"/>
    <col min="13" max="13" width="3.44140625" style="117" bestFit="1" customWidth="1"/>
    <col min="14" max="14" width="10.33203125" style="117" bestFit="1" customWidth="1"/>
    <col min="15" max="15" width="7.44140625" style="117" bestFit="1" customWidth="1"/>
    <col min="16" max="16" width="6.33203125" style="117" bestFit="1" customWidth="1"/>
    <col min="17" max="17" width="4.33203125" style="117" bestFit="1" customWidth="1"/>
    <col min="18" max="18" width="4.88671875" style="117" bestFit="1" customWidth="1"/>
    <col min="19" max="19" width="4.5546875" style="117" bestFit="1" customWidth="1"/>
    <col min="20" max="20" width="9.88671875" style="117" bestFit="1" customWidth="1"/>
    <col min="21" max="21" width="12.5546875" style="117" bestFit="1" customWidth="1"/>
    <col min="22" max="22" width="10" style="117" bestFit="1" customWidth="1"/>
    <col min="23" max="23" width="11.6640625" style="117" bestFit="1" customWidth="1"/>
    <col min="24" max="24" width="11.5546875" style="117" bestFit="1" customWidth="1"/>
    <col min="25" max="16384" width="9.109375" style="117"/>
  </cols>
  <sheetData>
    <row r="1" spans="1:24" ht="15.6" x14ac:dyDescent="0.25">
      <c r="B1" s="424" t="s">
        <v>598</v>
      </c>
      <c r="C1" s="424"/>
      <c r="D1" s="424"/>
      <c r="E1" s="424"/>
      <c r="F1" s="424"/>
      <c r="G1" s="432"/>
      <c r="H1" s="214"/>
      <c r="I1" s="233"/>
      <c r="J1" s="233"/>
    </row>
    <row r="2" spans="1:24" ht="15.6" x14ac:dyDescent="0.3">
      <c r="B2" s="433" t="s">
        <v>4628</v>
      </c>
      <c r="C2" s="433"/>
      <c r="D2" s="433"/>
      <c r="E2" s="433"/>
      <c r="F2" s="433"/>
      <c r="G2" s="434"/>
      <c r="H2" s="216"/>
      <c r="I2" s="234"/>
      <c r="J2" s="234"/>
    </row>
    <row r="3" spans="1:24" ht="15.6" x14ac:dyDescent="0.3">
      <c r="B3" s="215"/>
      <c r="C3" s="215"/>
      <c r="D3" s="215"/>
      <c r="E3" s="215"/>
      <c r="F3" s="215"/>
      <c r="G3" s="216"/>
      <c r="H3" s="216"/>
      <c r="I3" s="234"/>
      <c r="J3" s="234"/>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23.342.160.000</v>
      </c>
      <c r="D7" s="53"/>
      <c r="E7" s="53"/>
      <c r="F7" s="50"/>
      <c r="G7" s="143"/>
      <c r="H7" s="143"/>
      <c r="I7" s="143"/>
      <c r="J7" s="143"/>
    </row>
    <row r="8" spans="1:24" ht="15" x14ac:dyDescent="0.25">
      <c r="B8" s="189"/>
      <c r="C8" s="189"/>
      <c r="D8" s="189"/>
      <c r="E8" s="189"/>
      <c r="F8" s="189"/>
      <c r="G8" s="190"/>
      <c r="H8" s="190"/>
      <c r="I8" s="190"/>
      <c r="J8" s="190"/>
    </row>
    <row r="9" spans="1:24" ht="13.8" x14ac:dyDescent="0.25">
      <c r="B9" s="435" t="s">
        <v>606</v>
      </c>
      <c r="C9" s="436" t="s">
        <v>607</v>
      </c>
      <c r="D9" s="437" t="s">
        <v>608</v>
      </c>
      <c r="E9" s="435" t="s">
        <v>609</v>
      </c>
      <c r="F9" s="437" t="s">
        <v>610</v>
      </c>
      <c r="G9" s="431" t="s">
        <v>611</v>
      </c>
      <c r="H9" s="208"/>
      <c r="I9" s="208"/>
      <c r="J9" s="208"/>
      <c r="K9" s="438" t="s">
        <v>4629</v>
      </c>
      <c r="L9" s="438"/>
      <c r="M9" s="438"/>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27"/>
      <c r="C10" s="427"/>
      <c r="D10" s="430"/>
      <c r="E10" s="430"/>
      <c r="F10" s="427"/>
      <c r="G10" s="427"/>
      <c r="H10" s="217"/>
      <c r="I10" s="217"/>
      <c r="J10" s="217"/>
      <c r="K10" s="218" t="s">
        <v>4641</v>
      </c>
      <c r="L10" s="218" t="s">
        <v>4642</v>
      </c>
      <c r="M10" s="218"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23342160000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13.8"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13.8"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13.8"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13.8"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13.8"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13.8"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13.8"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13.8"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SUM(G115,G529)</f>
        <v>22342160000</v>
      </c>
      <c r="H114" s="210" t="b">
        <f t="shared" si="2"/>
        <v>1</v>
      </c>
      <c r="I114" s="210"/>
      <c r="J114" s="210"/>
    </row>
    <row r="115" spans="1:10" ht="26.4" x14ac:dyDescent="0.25">
      <c r="A115" s="21" t="s">
        <v>494</v>
      </c>
      <c r="B115" s="55">
        <v>2378</v>
      </c>
      <c r="C115" s="26" t="s">
        <v>71</v>
      </c>
      <c r="D115" s="68"/>
      <c r="E115" s="55"/>
      <c r="F115" s="27"/>
      <c r="G115" s="27">
        <f>SUM(G116,G122,G380,G386)</f>
        <v>13759660000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13.8"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11564936000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13.8"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13.8"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13.8"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13.8"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13.8"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13.8"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13.8"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13.8"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13.8"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13.8"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13.8"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13.8"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13.8"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13.8"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SUM(G264,G307)</f>
        <v>8674654000</v>
      </c>
      <c r="H263" s="210" t="b">
        <f t="shared" si="4"/>
        <v>1</v>
      </c>
      <c r="I263" s="210"/>
      <c r="J263" s="210"/>
    </row>
    <row r="264" spans="1:10" ht="13.8" x14ac:dyDescent="0.25">
      <c r="A264" s="7" t="s">
        <v>1702</v>
      </c>
      <c r="B264" s="58" t="s">
        <v>501</v>
      </c>
      <c r="C264" s="35" t="s">
        <v>76</v>
      </c>
      <c r="D264" s="58"/>
      <c r="E264" s="58"/>
      <c r="F264" s="36"/>
      <c r="G264" s="36">
        <f>SUM(G265,G304)</f>
        <v>6478996000</v>
      </c>
      <c r="H264" s="210" t="b">
        <f t="shared" si="4"/>
        <v>1</v>
      </c>
      <c r="I264" s="210"/>
      <c r="J264" s="210"/>
    </row>
    <row r="265" spans="1:10" ht="13.8" x14ac:dyDescent="0.25">
      <c r="A265" s="7" t="s">
        <v>1806</v>
      </c>
      <c r="B265" s="59" t="s">
        <v>1807</v>
      </c>
      <c r="C265" s="38" t="s">
        <v>1808</v>
      </c>
      <c r="D265" s="59"/>
      <c r="E265" s="59"/>
      <c r="F265" s="39"/>
      <c r="G265" s="39">
        <f>SUM(G266,G270,G274,G278,G282,G286,G290,G294,G296,G298,G302)</f>
        <v>6155047000</v>
      </c>
      <c r="H265" s="210" t="b">
        <f t="shared" si="4"/>
        <v>1</v>
      </c>
      <c r="I265" s="210"/>
      <c r="J265" s="210"/>
    </row>
    <row r="266" spans="1:10" ht="13.8" x14ac:dyDescent="0.25">
      <c r="A266" s="7" t="s">
        <v>1809</v>
      </c>
      <c r="B266" s="60">
        <v>511111</v>
      </c>
      <c r="C266" s="41" t="s">
        <v>77</v>
      </c>
      <c r="D266" s="60"/>
      <c r="E266" s="60"/>
      <c r="F266" s="42"/>
      <c r="G266" s="42">
        <f>SUM(G267:G269)</f>
        <v>2483477000</v>
      </c>
      <c r="H266" s="210" t="b">
        <f t="shared" si="4"/>
        <v>1</v>
      </c>
      <c r="I266" s="210"/>
      <c r="J266" s="210"/>
    </row>
    <row r="267" spans="1:10" ht="13.8" x14ac:dyDescent="0.25">
      <c r="A267" s="7" t="s">
        <v>1810</v>
      </c>
      <c r="B267" s="152"/>
      <c r="C267" s="151" t="s">
        <v>3987</v>
      </c>
      <c r="D267" s="152">
        <v>1</v>
      </c>
      <c r="E267" s="152" t="s">
        <v>97</v>
      </c>
      <c r="F267" s="153">
        <v>180000000</v>
      </c>
      <c r="G267" s="153">
        <f>ROUNDDOWN(D267*F267,-3)</f>
        <v>180000000</v>
      </c>
      <c r="H267" s="210" t="b">
        <f t="shared" si="4"/>
        <v>1</v>
      </c>
      <c r="I267" s="210"/>
      <c r="J267" s="210"/>
    </row>
    <row r="268" spans="1:10" ht="13.8" x14ac:dyDescent="0.25">
      <c r="A268" s="7" t="s">
        <v>1811</v>
      </c>
      <c r="B268" s="152"/>
      <c r="C268" s="151" t="s">
        <v>3988</v>
      </c>
      <c r="D268" s="152">
        <v>1</v>
      </c>
      <c r="E268" s="152" t="s">
        <v>60</v>
      </c>
      <c r="F268" s="153">
        <v>2123477000</v>
      </c>
      <c r="G268" s="153">
        <f>ROUNDDOWN(D268*F268,-3)</f>
        <v>2123477000</v>
      </c>
      <c r="H268" s="210" t="b">
        <f t="shared" si="4"/>
        <v>1</v>
      </c>
      <c r="I268" s="210"/>
      <c r="J268" s="210"/>
    </row>
    <row r="269" spans="1:10" ht="13.8" x14ac:dyDescent="0.25">
      <c r="A269" s="7" t="s">
        <v>1812</v>
      </c>
      <c r="B269" s="152"/>
      <c r="C269" s="151" t="s">
        <v>3989</v>
      </c>
      <c r="D269" s="152">
        <v>1</v>
      </c>
      <c r="E269" s="152" t="s">
        <v>97</v>
      </c>
      <c r="F269" s="153">
        <v>180000000</v>
      </c>
      <c r="G269" s="153">
        <f>ROUNDDOWN(D269*F269,-3)</f>
        <v>180000000</v>
      </c>
      <c r="H269" s="210" t="b">
        <f t="shared" si="4"/>
        <v>1</v>
      </c>
      <c r="I269" s="210"/>
      <c r="J269" s="210"/>
    </row>
    <row r="270" spans="1:10" ht="13.8" x14ac:dyDescent="0.25">
      <c r="A270" s="7" t="s">
        <v>1813</v>
      </c>
      <c r="B270" s="60">
        <v>511119</v>
      </c>
      <c r="C270" s="41" t="s">
        <v>79</v>
      </c>
      <c r="D270" s="60"/>
      <c r="E270" s="60"/>
      <c r="F270" s="42"/>
      <c r="G270" s="42">
        <f>SUM(G271:G273)</f>
        <v>38000</v>
      </c>
      <c r="H270" s="210" t="b">
        <f t="shared" ref="H270:H333" si="7">_xlfn.ISFORMULA(G270)</f>
        <v>1</v>
      </c>
      <c r="I270" s="210"/>
      <c r="J270" s="210"/>
    </row>
    <row r="271" spans="1:10" ht="13.8" x14ac:dyDescent="0.25">
      <c r="A271" s="7" t="s">
        <v>1814</v>
      </c>
      <c r="B271" s="152"/>
      <c r="C271" s="151" t="s">
        <v>3990</v>
      </c>
      <c r="D271" s="152">
        <v>1</v>
      </c>
      <c r="E271" s="152" t="s">
        <v>97</v>
      </c>
      <c r="F271" s="153">
        <v>3000</v>
      </c>
      <c r="G271" s="153">
        <f>ROUNDDOWN(D271*F271,-3)</f>
        <v>3000</v>
      </c>
      <c r="H271" s="210" t="b">
        <f t="shared" si="7"/>
        <v>1</v>
      </c>
      <c r="I271" s="210"/>
      <c r="J271" s="210"/>
    </row>
    <row r="272" spans="1:10" ht="13.8" x14ac:dyDescent="0.25">
      <c r="A272" s="7" t="s">
        <v>1815</v>
      </c>
      <c r="B272" s="152"/>
      <c r="C272" s="151" t="s">
        <v>3991</v>
      </c>
      <c r="D272" s="152">
        <v>1</v>
      </c>
      <c r="E272" s="152" t="s">
        <v>153</v>
      </c>
      <c r="F272" s="153">
        <v>32000</v>
      </c>
      <c r="G272" s="153">
        <f>ROUNDDOWN(D272*F272,-3)</f>
        <v>32000</v>
      </c>
      <c r="H272" s="210" t="b">
        <f t="shared" si="7"/>
        <v>1</v>
      </c>
      <c r="I272" s="210"/>
      <c r="J272" s="210"/>
    </row>
    <row r="273" spans="1:10" ht="13.8" x14ac:dyDescent="0.25">
      <c r="A273" s="7" t="s">
        <v>1816</v>
      </c>
      <c r="B273" s="152"/>
      <c r="C273" s="151" t="s">
        <v>3992</v>
      </c>
      <c r="D273" s="152">
        <v>1</v>
      </c>
      <c r="E273" s="152" t="s">
        <v>97</v>
      </c>
      <c r="F273" s="153">
        <v>3000</v>
      </c>
      <c r="G273" s="153">
        <f>ROUNDDOWN(D273*F273,-3)</f>
        <v>3000</v>
      </c>
      <c r="H273" s="210" t="b">
        <f t="shared" si="7"/>
        <v>1</v>
      </c>
      <c r="I273" s="210"/>
      <c r="J273" s="210"/>
    </row>
    <row r="274" spans="1:10" ht="13.8" x14ac:dyDescent="0.25">
      <c r="A274" s="7" t="s">
        <v>1817</v>
      </c>
      <c r="B274" s="60">
        <v>511121</v>
      </c>
      <c r="C274" s="41" t="s">
        <v>80</v>
      </c>
      <c r="D274" s="60"/>
      <c r="E274" s="60"/>
      <c r="F274" s="42"/>
      <c r="G274" s="42">
        <f>SUM(G275:G277)</f>
        <v>171959000</v>
      </c>
      <c r="H274" s="210" t="b">
        <f t="shared" si="7"/>
        <v>1</v>
      </c>
      <c r="I274" s="210"/>
      <c r="J274" s="210"/>
    </row>
    <row r="275" spans="1:10" ht="13.8" x14ac:dyDescent="0.25">
      <c r="A275" s="7" t="s">
        <v>1818</v>
      </c>
      <c r="B275" s="152"/>
      <c r="C275" s="151" t="s">
        <v>3993</v>
      </c>
      <c r="D275" s="152">
        <v>1</v>
      </c>
      <c r="E275" s="152" t="s">
        <v>153</v>
      </c>
      <c r="F275" s="153">
        <v>147267000</v>
      </c>
      <c r="G275" s="153">
        <f>ROUNDDOWN(D275*F275,-3)</f>
        <v>147267000</v>
      </c>
      <c r="H275" s="210" t="b">
        <f t="shared" si="7"/>
        <v>1</v>
      </c>
      <c r="I275" s="210"/>
      <c r="J275" s="210"/>
    </row>
    <row r="276" spans="1:10" ht="13.8" x14ac:dyDescent="0.25">
      <c r="A276" s="7" t="s">
        <v>1819</v>
      </c>
      <c r="B276" s="152"/>
      <c r="C276" s="151" t="s">
        <v>3994</v>
      </c>
      <c r="D276" s="152">
        <v>1</v>
      </c>
      <c r="E276" s="152" t="s">
        <v>97</v>
      </c>
      <c r="F276" s="153">
        <v>12494000</v>
      </c>
      <c r="G276" s="153">
        <f>ROUNDDOWN(D276*F276,-3)</f>
        <v>12494000</v>
      </c>
      <c r="H276" s="210" t="b">
        <f t="shared" si="7"/>
        <v>1</v>
      </c>
      <c r="I276" s="210"/>
      <c r="J276" s="210"/>
    </row>
    <row r="277" spans="1:10" ht="13.8" x14ac:dyDescent="0.25">
      <c r="A277" s="7" t="s">
        <v>1820</v>
      </c>
      <c r="B277" s="152"/>
      <c r="C277" s="151" t="s">
        <v>3995</v>
      </c>
      <c r="D277" s="152">
        <v>1</v>
      </c>
      <c r="E277" s="152" t="s">
        <v>97</v>
      </c>
      <c r="F277" s="153">
        <v>12198000</v>
      </c>
      <c r="G277" s="153">
        <f>ROUNDDOWN(D277*F277,-3)</f>
        <v>12198000</v>
      </c>
      <c r="H277" s="210" t="b">
        <f t="shared" si="7"/>
        <v>1</v>
      </c>
      <c r="I277" s="210"/>
      <c r="J277" s="210"/>
    </row>
    <row r="278" spans="1:10" ht="13.8" x14ac:dyDescent="0.25">
      <c r="A278" s="7" t="s">
        <v>1821</v>
      </c>
      <c r="B278" s="60">
        <v>511122</v>
      </c>
      <c r="C278" s="41" t="s">
        <v>81</v>
      </c>
      <c r="D278" s="60"/>
      <c r="E278" s="60"/>
      <c r="F278" s="42"/>
      <c r="G278" s="42">
        <f>SUM(G279:G281)</f>
        <v>46700000</v>
      </c>
      <c r="H278" s="210" t="b">
        <f t="shared" si="7"/>
        <v>1</v>
      </c>
      <c r="I278" s="210"/>
      <c r="J278" s="210"/>
    </row>
    <row r="279" spans="1:10" ht="13.8" x14ac:dyDescent="0.25">
      <c r="A279" s="7" t="s">
        <v>1822</v>
      </c>
      <c r="B279" s="152"/>
      <c r="C279" s="151" t="s">
        <v>3996</v>
      </c>
      <c r="D279" s="152">
        <v>1</v>
      </c>
      <c r="E279" s="152" t="s">
        <v>97</v>
      </c>
      <c r="F279" s="153">
        <v>3282000</v>
      </c>
      <c r="G279" s="153">
        <f>ROUNDDOWN(D279*F279,-3)</f>
        <v>3282000</v>
      </c>
      <c r="H279" s="210" t="b">
        <f t="shared" si="7"/>
        <v>1</v>
      </c>
      <c r="I279" s="210"/>
      <c r="J279" s="210"/>
    </row>
    <row r="280" spans="1:10" ht="13.8" x14ac:dyDescent="0.25">
      <c r="A280" s="7" t="s">
        <v>1823</v>
      </c>
      <c r="B280" s="152"/>
      <c r="C280" s="151" t="s">
        <v>3997</v>
      </c>
      <c r="D280" s="152">
        <v>1</v>
      </c>
      <c r="E280" s="152" t="s">
        <v>153</v>
      </c>
      <c r="F280" s="153">
        <v>40080000</v>
      </c>
      <c r="G280" s="153">
        <f>ROUNDDOWN(D280*F280,-3)</f>
        <v>40080000</v>
      </c>
      <c r="H280" s="210" t="b">
        <f t="shared" si="7"/>
        <v>1</v>
      </c>
      <c r="I280" s="210"/>
      <c r="J280" s="210"/>
    </row>
    <row r="281" spans="1:10" ht="13.8" x14ac:dyDescent="0.25">
      <c r="A281" s="7" t="s">
        <v>1824</v>
      </c>
      <c r="B281" s="152"/>
      <c r="C281" s="151" t="s">
        <v>3998</v>
      </c>
      <c r="D281" s="152">
        <v>1</v>
      </c>
      <c r="E281" s="152" t="s">
        <v>97</v>
      </c>
      <c r="F281" s="153">
        <v>3338000</v>
      </c>
      <c r="G281" s="153">
        <f>ROUNDDOWN(D281*F281,-3)</f>
        <v>3338000</v>
      </c>
      <c r="H281" s="210" t="b">
        <f t="shared" si="7"/>
        <v>1</v>
      </c>
      <c r="I281" s="210"/>
      <c r="J281" s="210"/>
    </row>
    <row r="282" spans="1:10" ht="13.8" x14ac:dyDescent="0.25">
      <c r="A282" s="7" t="s">
        <v>1825</v>
      </c>
      <c r="B282" s="60">
        <v>511123</v>
      </c>
      <c r="C282" s="41" t="s">
        <v>82</v>
      </c>
      <c r="D282" s="60"/>
      <c r="E282" s="60"/>
      <c r="F282" s="42"/>
      <c r="G282" s="42">
        <f>SUM(G283:G285)</f>
        <v>158000000</v>
      </c>
      <c r="H282" s="210" t="b">
        <f t="shared" si="7"/>
        <v>1</v>
      </c>
      <c r="I282" s="210"/>
      <c r="J282" s="210"/>
    </row>
    <row r="283" spans="1:10" ht="13.8" x14ac:dyDescent="0.25">
      <c r="A283" s="7" t="s">
        <v>1826</v>
      </c>
      <c r="B283" s="152"/>
      <c r="C283" s="151" t="s">
        <v>3999</v>
      </c>
      <c r="D283" s="152">
        <v>1</v>
      </c>
      <c r="E283" s="152" t="s">
        <v>97</v>
      </c>
      <c r="F283" s="153">
        <v>12070000</v>
      </c>
      <c r="G283" s="153">
        <f>ROUNDDOWN(D283*F283,-3)</f>
        <v>12070000</v>
      </c>
      <c r="H283" s="210" t="b">
        <f t="shared" si="7"/>
        <v>1</v>
      </c>
      <c r="I283" s="210"/>
      <c r="J283" s="210"/>
    </row>
    <row r="284" spans="1:10" ht="13.8" x14ac:dyDescent="0.25">
      <c r="A284" s="7" t="s">
        <v>1827</v>
      </c>
      <c r="B284" s="152"/>
      <c r="C284" s="151" t="s">
        <v>4000</v>
      </c>
      <c r="D284" s="152">
        <v>1</v>
      </c>
      <c r="E284" s="152" t="s">
        <v>60</v>
      </c>
      <c r="F284" s="153">
        <v>133860000</v>
      </c>
      <c r="G284" s="153">
        <f>ROUNDDOWN(D284*F284,-3)</f>
        <v>133860000</v>
      </c>
      <c r="H284" s="210" t="b">
        <f t="shared" si="7"/>
        <v>1</v>
      </c>
      <c r="I284" s="210"/>
      <c r="J284" s="210"/>
    </row>
    <row r="285" spans="1:10" ht="13.8" x14ac:dyDescent="0.25">
      <c r="A285" s="7" t="s">
        <v>1828</v>
      </c>
      <c r="B285" s="152"/>
      <c r="C285" s="151" t="s">
        <v>4001</v>
      </c>
      <c r="D285" s="152">
        <v>1</v>
      </c>
      <c r="E285" s="152" t="s">
        <v>97</v>
      </c>
      <c r="F285" s="153">
        <v>12070000</v>
      </c>
      <c r="G285" s="153">
        <f>ROUNDDOWN(D285*F285,-3)</f>
        <v>12070000</v>
      </c>
      <c r="H285" s="210" t="b">
        <f t="shared" si="7"/>
        <v>1</v>
      </c>
      <c r="I285" s="210"/>
      <c r="J285" s="210"/>
    </row>
    <row r="286" spans="1:10" ht="13.8" x14ac:dyDescent="0.25">
      <c r="A286" s="7" t="s">
        <v>1829</v>
      </c>
      <c r="B286" s="60">
        <v>511124</v>
      </c>
      <c r="C286" s="41" t="s">
        <v>83</v>
      </c>
      <c r="D286" s="60"/>
      <c r="E286" s="60"/>
      <c r="F286" s="42"/>
      <c r="G286" s="42">
        <f>SUM(G287:G289)</f>
        <v>48180000</v>
      </c>
      <c r="H286" s="210" t="b">
        <f t="shared" si="7"/>
        <v>1</v>
      </c>
      <c r="I286" s="210"/>
      <c r="J286" s="210"/>
    </row>
    <row r="287" spans="1:10" ht="13.8" x14ac:dyDescent="0.25">
      <c r="A287" s="7" t="s">
        <v>1830</v>
      </c>
      <c r="B287" s="152"/>
      <c r="C287" s="151" t="s">
        <v>4002</v>
      </c>
      <c r="D287" s="152">
        <v>1</v>
      </c>
      <c r="E287" s="152" t="s">
        <v>97</v>
      </c>
      <c r="F287" s="153">
        <v>2000000</v>
      </c>
      <c r="G287" s="153">
        <f>ROUNDDOWN(D287*F287,-3)</f>
        <v>2000000</v>
      </c>
      <c r="H287" s="210" t="b">
        <f t="shared" si="7"/>
        <v>1</v>
      </c>
      <c r="I287" s="210"/>
      <c r="J287" s="210"/>
    </row>
    <row r="288" spans="1:10" ht="13.8" x14ac:dyDescent="0.25">
      <c r="A288" s="7" t="s">
        <v>1831</v>
      </c>
      <c r="B288" s="152"/>
      <c r="C288" s="151" t="s">
        <v>4003</v>
      </c>
      <c r="D288" s="152">
        <v>1</v>
      </c>
      <c r="E288" s="152" t="s">
        <v>60</v>
      </c>
      <c r="F288" s="153">
        <v>44180000</v>
      </c>
      <c r="G288" s="153">
        <f>ROUNDDOWN(D288*F288,-3)</f>
        <v>44180000</v>
      </c>
      <c r="H288" s="210" t="b">
        <f t="shared" si="7"/>
        <v>1</v>
      </c>
      <c r="I288" s="210"/>
      <c r="J288" s="210"/>
    </row>
    <row r="289" spans="1:10" ht="13.8" x14ac:dyDescent="0.25">
      <c r="A289" s="7" t="s">
        <v>1832</v>
      </c>
      <c r="B289" s="152"/>
      <c r="C289" s="151" t="s">
        <v>4004</v>
      </c>
      <c r="D289" s="152">
        <v>1</v>
      </c>
      <c r="E289" s="152" t="s">
        <v>97</v>
      </c>
      <c r="F289" s="153">
        <v>2000000</v>
      </c>
      <c r="G289" s="153">
        <f>ROUNDDOWN(D289*F289,-3)</f>
        <v>2000000</v>
      </c>
      <c r="H289" s="210" t="b">
        <f t="shared" si="7"/>
        <v>1</v>
      </c>
      <c r="I289" s="210"/>
      <c r="J289" s="210"/>
    </row>
    <row r="290" spans="1:10" ht="13.8" x14ac:dyDescent="0.25">
      <c r="A290" s="7" t="s">
        <v>1833</v>
      </c>
      <c r="B290" s="60">
        <v>511125</v>
      </c>
      <c r="C290" s="41" t="s">
        <v>84</v>
      </c>
      <c r="D290" s="60"/>
      <c r="E290" s="60"/>
      <c r="F290" s="42"/>
      <c r="G290" s="42">
        <f>SUM(G291:G293)</f>
        <v>13133000</v>
      </c>
      <c r="H290" s="210" t="b">
        <f t="shared" si="7"/>
        <v>1</v>
      </c>
      <c r="I290" s="210"/>
      <c r="J290" s="210"/>
    </row>
    <row r="291" spans="1:10" ht="13.8" x14ac:dyDescent="0.25">
      <c r="A291" s="7" t="s">
        <v>1834</v>
      </c>
      <c r="B291" s="152"/>
      <c r="C291" s="151" t="s">
        <v>4005</v>
      </c>
      <c r="D291" s="152">
        <v>1</v>
      </c>
      <c r="E291" s="152" t="s">
        <v>97</v>
      </c>
      <c r="F291" s="153">
        <v>3360000</v>
      </c>
      <c r="G291" s="153">
        <f>ROUNDDOWN(D291*F291,-3)</f>
        <v>3360000</v>
      </c>
      <c r="H291" s="210" t="b">
        <f t="shared" si="7"/>
        <v>1</v>
      </c>
      <c r="I291" s="210"/>
      <c r="J291" s="210"/>
    </row>
    <row r="292" spans="1:10" ht="13.8" x14ac:dyDescent="0.25">
      <c r="A292" s="7" t="s">
        <v>1835</v>
      </c>
      <c r="B292" s="152"/>
      <c r="C292" s="151" t="s">
        <v>4006</v>
      </c>
      <c r="D292" s="152">
        <v>1</v>
      </c>
      <c r="E292" s="152" t="s">
        <v>153</v>
      </c>
      <c r="F292" s="153">
        <v>6407000</v>
      </c>
      <c r="G292" s="153">
        <f>ROUNDDOWN(D292*F292,-3)</f>
        <v>6407000</v>
      </c>
      <c r="H292" s="210" t="b">
        <f t="shared" si="7"/>
        <v>1</v>
      </c>
      <c r="I292" s="210"/>
      <c r="J292" s="210"/>
    </row>
    <row r="293" spans="1:10" ht="13.8" x14ac:dyDescent="0.25">
      <c r="A293" s="7" t="s">
        <v>1836</v>
      </c>
      <c r="B293" s="152"/>
      <c r="C293" s="151" t="s">
        <v>4007</v>
      </c>
      <c r="D293" s="152">
        <v>1</v>
      </c>
      <c r="E293" s="152" t="s">
        <v>97</v>
      </c>
      <c r="F293" s="153">
        <v>3366000</v>
      </c>
      <c r="G293" s="153">
        <f>ROUNDDOWN(D293*F293,-3)</f>
        <v>3366000</v>
      </c>
      <c r="H293" s="210" t="b">
        <f t="shared" si="7"/>
        <v>1</v>
      </c>
      <c r="I293" s="210"/>
      <c r="J293" s="210"/>
    </row>
    <row r="294" spans="1:10" ht="13.8" x14ac:dyDescent="0.25">
      <c r="A294" s="7" t="s">
        <v>1837</v>
      </c>
      <c r="B294" s="60">
        <v>511126</v>
      </c>
      <c r="C294" s="41" t="s">
        <v>85</v>
      </c>
      <c r="D294" s="60"/>
      <c r="E294" s="60"/>
      <c r="F294" s="42"/>
      <c r="G294" s="42">
        <f>G295</f>
        <v>130333000</v>
      </c>
      <c r="H294" s="210" t="b">
        <f t="shared" si="7"/>
        <v>1</v>
      </c>
      <c r="I294" s="210"/>
      <c r="J294" s="210"/>
    </row>
    <row r="295" spans="1:10" ht="13.8" x14ac:dyDescent="0.25">
      <c r="A295" s="7" t="s">
        <v>1838</v>
      </c>
      <c r="B295" s="152"/>
      <c r="C295" s="151" t="s">
        <v>4008</v>
      </c>
      <c r="D295" s="152">
        <v>1</v>
      </c>
      <c r="E295" s="152" t="s">
        <v>60</v>
      </c>
      <c r="F295" s="153">
        <v>130333000</v>
      </c>
      <c r="G295" s="153">
        <f>ROUNDDOWN(D295*F295,-3)</f>
        <v>130333000</v>
      </c>
      <c r="H295" s="210" t="b">
        <f t="shared" si="7"/>
        <v>1</v>
      </c>
      <c r="I295" s="210"/>
      <c r="J295" s="210"/>
    </row>
    <row r="296" spans="1:10" ht="13.8" x14ac:dyDescent="0.25">
      <c r="A296" s="7" t="s">
        <v>1839</v>
      </c>
      <c r="B296" s="60">
        <v>511129</v>
      </c>
      <c r="C296" s="41" t="s">
        <v>86</v>
      </c>
      <c r="D296" s="60"/>
      <c r="E296" s="60"/>
      <c r="F296" s="42"/>
      <c r="G296" s="42">
        <f>G297</f>
        <v>379379000</v>
      </c>
      <c r="H296" s="210" t="b">
        <f t="shared" si="7"/>
        <v>1</v>
      </c>
      <c r="I296" s="210"/>
      <c r="J296" s="210"/>
    </row>
    <row r="297" spans="1:10" ht="13.8" x14ac:dyDescent="0.25">
      <c r="A297" s="7" t="s">
        <v>1840</v>
      </c>
      <c r="B297" s="152"/>
      <c r="C297" s="151" t="s">
        <v>4009</v>
      </c>
      <c r="D297" s="152">
        <v>1</v>
      </c>
      <c r="E297" s="152" t="s">
        <v>153</v>
      </c>
      <c r="F297" s="153">
        <v>379379000</v>
      </c>
      <c r="G297" s="153">
        <f>ROUNDDOWN(D297*F297,-3)</f>
        <v>379379000</v>
      </c>
      <c r="H297" s="210" t="b">
        <f t="shared" si="7"/>
        <v>1</v>
      </c>
      <c r="I297" s="210"/>
      <c r="J297" s="210"/>
    </row>
    <row r="298" spans="1:10" ht="13.8" x14ac:dyDescent="0.25">
      <c r="A298" s="7" t="s">
        <v>1841</v>
      </c>
      <c r="B298" s="60">
        <v>511151</v>
      </c>
      <c r="C298" s="41" t="s">
        <v>87</v>
      </c>
      <c r="D298" s="60"/>
      <c r="E298" s="60"/>
      <c r="F298" s="42"/>
      <c r="G298" s="42">
        <f>SUM(G299:G301)</f>
        <v>88360000</v>
      </c>
      <c r="H298" s="210" t="b">
        <f t="shared" si="7"/>
        <v>1</v>
      </c>
      <c r="I298" s="210"/>
      <c r="J298" s="210"/>
    </row>
    <row r="299" spans="1:10" ht="13.8" x14ac:dyDescent="0.25">
      <c r="A299" s="7" t="s">
        <v>1842</v>
      </c>
      <c r="B299" s="152"/>
      <c r="C299" s="151" t="s">
        <v>4010</v>
      </c>
      <c r="D299" s="152">
        <v>1</v>
      </c>
      <c r="E299" s="152" t="s">
        <v>97</v>
      </c>
      <c r="F299" s="153">
        <v>6655000</v>
      </c>
      <c r="G299" s="153">
        <f>ROUNDDOWN(D299*F299,-3)</f>
        <v>6655000</v>
      </c>
      <c r="H299" s="210" t="b">
        <f t="shared" si="7"/>
        <v>1</v>
      </c>
      <c r="I299" s="210"/>
      <c r="J299" s="210"/>
    </row>
    <row r="300" spans="1:10" ht="13.8" x14ac:dyDescent="0.25">
      <c r="A300" s="7" t="s">
        <v>1843</v>
      </c>
      <c r="B300" s="152"/>
      <c r="C300" s="151" t="s">
        <v>4011</v>
      </c>
      <c r="D300" s="152">
        <v>1</v>
      </c>
      <c r="E300" s="152" t="s">
        <v>60</v>
      </c>
      <c r="F300" s="153">
        <v>75605000</v>
      </c>
      <c r="G300" s="153">
        <f>ROUNDDOWN(D300*F300,-3)</f>
        <v>75605000</v>
      </c>
      <c r="H300" s="210" t="b">
        <f t="shared" si="7"/>
        <v>1</v>
      </c>
      <c r="I300" s="210"/>
      <c r="J300" s="210"/>
    </row>
    <row r="301" spans="1:10" ht="13.8" x14ac:dyDescent="0.25">
      <c r="A301" s="7" t="s">
        <v>1844</v>
      </c>
      <c r="B301" s="152"/>
      <c r="C301" s="151" t="s">
        <v>4012</v>
      </c>
      <c r="D301" s="152">
        <v>1</v>
      </c>
      <c r="E301" s="152" t="s">
        <v>97</v>
      </c>
      <c r="F301" s="153">
        <v>6100000</v>
      </c>
      <c r="G301" s="153">
        <f>ROUNDDOWN(D301*F301,-3)</f>
        <v>6100000</v>
      </c>
      <c r="H301" s="210" t="b">
        <f t="shared" si="7"/>
        <v>1</v>
      </c>
      <c r="I301" s="210"/>
      <c r="J301" s="210"/>
    </row>
    <row r="302" spans="1:10" ht="13.8" x14ac:dyDescent="0.25">
      <c r="A302" s="7" t="s">
        <v>1845</v>
      </c>
      <c r="B302" s="60">
        <v>512411</v>
      </c>
      <c r="C302" s="41" t="s">
        <v>88</v>
      </c>
      <c r="D302" s="60"/>
      <c r="E302" s="60"/>
      <c r="F302" s="42"/>
      <c r="G302" s="42">
        <f>G303</f>
        <v>2635488000</v>
      </c>
      <c r="H302" s="210" t="b">
        <f t="shared" si="7"/>
        <v>1</v>
      </c>
      <c r="I302" s="210"/>
      <c r="J302" s="210"/>
    </row>
    <row r="303" spans="1:10" ht="13.8" x14ac:dyDescent="0.25">
      <c r="A303" s="7" t="s">
        <v>1846</v>
      </c>
      <c r="B303" s="152"/>
      <c r="C303" s="151" t="s">
        <v>4013</v>
      </c>
      <c r="D303" s="152">
        <v>1</v>
      </c>
      <c r="E303" s="152" t="s">
        <v>153</v>
      </c>
      <c r="F303" s="153">
        <v>2635488000</v>
      </c>
      <c r="G303" s="153">
        <f>ROUNDDOWN(D303*F303,-3)</f>
        <v>2635488000</v>
      </c>
      <c r="H303" s="210" t="b">
        <f t="shared" si="7"/>
        <v>1</v>
      </c>
      <c r="I303" s="210"/>
      <c r="J303" s="210"/>
    </row>
    <row r="304" spans="1:10" ht="13.8" x14ac:dyDescent="0.25">
      <c r="A304" s="7" t="s">
        <v>4041</v>
      </c>
      <c r="B304" s="59" t="s">
        <v>2208</v>
      </c>
      <c r="C304" s="38" t="s">
        <v>4042</v>
      </c>
      <c r="D304" s="59"/>
      <c r="E304" s="59"/>
      <c r="F304" s="39"/>
      <c r="G304" s="39">
        <f>G305</f>
        <v>323949000</v>
      </c>
      <c r="H304" s="210" t="b">
        <f t="shared" si="7"/>
        <v>1</v>
      </c>
      <c r="I304" s="210"/>
      <c r="J304" s="210"/>
    </row>
    <row r="305" spans="1:10" ht="13.8" x14ac:dyDescent="0.25">
      <c r="A305" s="7" t="s">
        <v>4043</v>
      </c>
      <c r="B305" s="60">
        <v>512411</v>
      </c>
      <c r="C305" s="41" t="s">
        <v>88</v>
      </c>
      <c r="D305" s="60"/>
      <c r="E305" s="60"/>
      <c r="F305" s="42"/>
      <c r="G305" s="42">
        <f>G306</f>
        <v>323949000</v>
      </c>
      <c r="H305" s="210" t="b">
        <f t="shared" si="7"/>
        <v>1</v>
      </c>
      <c r="I305" s="210"/>
      <c r="J305" s="210"/>
    </row>
    <row r="306" spans="1:10" ht="13.8" x14ac:dyDescent="0.25">
      <c r="A306" s="7" t="s">
        <v>4044</v>
      </c>
      <c r="B306" s="152"/>
      <c r="C306" s="151" t="s">
        <v>4045</v>
      </c>
      <c r="D306" s="152">
        <v>1</v>
      </c>
      <c r="E306" s="152" t="s">
        <v>4046</v>
      </c>
      <c r="F306" s="153">
        <v>323949000</v>
      </c>
      <c r="G306" s="153">
        <f>ROUNDDOWN(D306*F306,-3)</f>
        <v>323949000</v>
      </c>
      <c r="H306" s="210" t="b">
        <f t="shared" si="7"/>
        <v>1</v>
      </c>
      <c r="I306" s="210"/>
      <c r="J306" s="210"/>
    </row>
    <row r="307" spans="1:10" ht="13.8" x14ac:dyDescent="0.25">
      <c r="A307" s="7" t="s">
        <v>1847</v>
      </c>
      <c r="B307" s="58" t="s">
        <v>557</v>
      </c>
      <c r="C307" s="35" t="s">
        <v>89</v>
      </c>
      <c r="D307" s="58"/>
      <c r="E307" s="58"/>
      <c r="F307" s="36"/>
      <c r="G307" s="36">
        <f>SUM(G308,G329,G335,G348,G363)</f>
        <v>2195658000</v>
      </c>
      <c r="H307" s="210" t="b">
        <f t="shared" si="7"/>
        <v>1</v>
      </c>
      <c r="I307" s="210"/>
      <c r="J307" s="210"/>
    </row>
    <row r="308" spans="1:10" ht="13.8" x14ac:dyDescent="0.25">
      <c r="A308" s="7" t="s">
        <v>2170</v>
      </c>
      <c r="B308" s="59" t="s">
        <v>1807</v>
      </c>
      <c r="C308" s="38" t="s">
        <v>2171</v>
      </c>
      <c r="D308" s="59"/>
      <c r="E308" s="59"/>
      <c r="F308" s="39"/>
      <c r="G308" s="39">
        <f>SUM(G309,G319)</f>
        <v>1254380000</v>
      </c>
      <c r="H308" s="210" t="b">
        <f t="shared" si="7"/>
        <v>1</v>
      </c>
      <c r="I308" s="210"/>
      <c r="J308" s="210"/>
    </row>
    <row r="309" spans="1:10" ht="13.8" x14ac:dyDescent="0.25">
      <c r="A309" s="7" t="s">
        <v>2172</v>
      </c>
      <c r="B309" s="60">
        <v>521111</v>
      </c>
      <c r="C309" s="41" t="s">
        <v>90</v>
      </c>
      <c r="D309" s="60"/>
      <c r="E309" s="60"/>
      <c r="F309" s="42"/>
      <c r="G309" s="42">
        <f>SUM(G310:G318)</f>
        <v>1076220000</v>
      </c>
      <c r="H309" s="210" t="b">
        <f t="shared" si="7"/>
        <v>1</v>
      </c>
      <c r="I309" s="210"/>
      <c r="J309" s="210"/>
    </row>
    <row r="310" spans="1:10" ht="13.8" x14ac:dyDescent="0.25">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3.8" x14ac:dyDescent="0.25">
      <c r="A311" s="7" t="s">
        <v>2174</v>
      </c>
      <c r="B311" s="152"/>
      <c r="C311" s="151" t="s">
        <v>4182</v>
      </c>
      <c r="D311" s="152">
        <v>1</v>
      </c>
      <c r="E311" s="152" t="s">
        <v>60</v>
      </c>
      <c r="F311" s="153">
        <v>60000000</v>
      </c>
      <c r="G311" s="153">
        <f t="shared" si="8"/>
        <v>60000000</v>
      </c>
      <c r="H311" s="210" t="b">
        <f t="shared" si="7"/>
        <v>1</v>
      </c>
      <c r="I311" s="210"/>
      <c r="J311" s="210"/>
    </row>
    <row r="312" spans="1:10" ht="13.8" x14ac:dyDescent="0.25">
      <c r="A312" s="7" t="s">
        <v>2176</v>
      </c>
      <c r="B312" s="152"/>
      <c r="C312" s="151" t="s">
        <v>4183</v>
      </c>
      <c r="D312" s="152">
        <v>156</v>
      </c>
      <c r="E312" s="152" t="s">
        <v>21</v>
      </c>
      <c r="F312" s="153">
        <v>4858000</v>
      </c>
      <c r="G312" s="153">
        <f t="shared" si="8"/>
        <v>757848000</v>
      </c>
      <c r="H312" s="210" t="b">
        <f t="shared" si="7"/>
        <v>1</v>
      </c>
      <c r="I312" s="210"/>
      <c r="J312" s="210"/>
    </row>
    <row r="313" spans="1:10" ht="13.8" x14ac:dyDescent="0.25">
      <c r="A313" s="7" t="s">
        <v>2178</v>
      </c>
      <c r="B313" s="152"/>
      <c r="C313" s="151" t="s">
        <v>4184</v>
      </c>
      <c r="D313" s="152">
        <v>13</v>
      </c>
      <c r="E313" s="152" t="s">
        <v>32</v>
      </c>
      <c r="F313" s="153">
        <v>5344000</v>
      </c>
      <c r="G313" s="153">
        <f t="shared" si="8"/>
        <v>69472000</v>
      </c>
      <c r="H313" s="210" t="b">
        <f t="shared" si="7"/>
        <v>1</v>
      </c>
      <c r="I313" s="210"/>
      <c r="J313" s="210"/>
    </row>
    <row r="314" spans="1:10" ht="13.8" x14ac:dyDescent="0.25">
      <c r="A314" s="7" t="s">
        <v>2179</v>
      </c>
      <c r="B314" s="152"/>
      <c r="C314" s="151" t="s">
        <v>4185</v>
      </c>
      <c r="D314" s="152">
        <v>12</v>
      </c>
      <c r="E314" s="152" t="s">
        <v>78</v>
      </c>
      <c r="F314" s="153">
        <v>500000</v>
      </c>
      <c r="G314" s="153">
        <f t="shared" si="8"/>
        <v>6000000</v>
      </c>
      <c r="H314" s="210" t="b">
        <f t="shared" si="7"/>
        <v>1</v>
      </c>
      <c r="I314" s="210"/>
      <c r="J314" s="210"/>
    </row>
    <row r="315" spans="1:10" ht="13.8" x14ac:dyDescent="0.25">
      <c r="A315" s="7" t="s">
        <v>2181</v>
      </c>
      <c r="B315" s="152"/>
      <c r="C315" s="151" t="s">
        <v>4186</v>
      </c>
      <c r="D315" s="152">
        <v>100</v>
      </c>
      <c r="E315" s="152" t="s">
        <v>58</v>
      </c>
      <c r="F315" s="153">
        <v>500000</v>
      </c>
      <c r="G315" s="153">
        <f t="shared" si="8"/>
        <v>50000000</v>
      </c>
      <c r="H315" s="210" t="b">
        <f t="shared" si="7"/>
        <v>1</v>
      </c>
      <c r="I315" s="210"/>
      <c r="J315" s="210"/>
    </row>
    <row r="316" spans="1:10" ht="13.8" x14ac:dyDescent="0.25">
      <c r="A316" s="7" t="s">
        <v>2183</v>
      </c>
      <c r="B316" s="152"/>
      <c r="C316" s="151" t="s">
        <v>4187</v>
      </c>
      <c r="D316" s="152">
        <v>12</v>
      </c>
      <c r="E316" s="152" t="s">
        <v>115</v>
      </c>
      <c r="F316" s="153">
        <v>750000</v>
      </c>
      <c r="G316" s="153">
        <f t="shared" si="8"/>
        <v>9000000</v>
      </c>
      <c r="H316" s="210" t="b">
        <f t="shared" si="7"/>
        <v>1</v>
      </c>
      <c r="I316" s="210"/>
      <c r="J316" s="210"/>
    </row>
    <row r="317" spans="1:10" ht="13.8" x14ac:dyDescent="0.25">
      <c r="A317" s="7" t="s">
        <v>2185</v>
      </c>
      <c r="B317" s="152"/>
      <c r="C317" s="151" t="s">
        <v>4188</v>
      </c>
      <c r="D317" s="152">
        <v>12</v>
      </c>
      <c r="E317" s="152" t="s">
        <v>115</v>
      </c>
      <c r="F317" s="153">
        <v>1325000</v>
      </c>
      <c r="G317" s="153">
        <f t="shared" si="8"/>
        <v>15900000</v>
      </c>
      <c r="H317" s="210" t="b">
        <f t="shared" si="7"/>
        <v>1</v>
      </c>
      <c r="I317" s="210"/>
      <c r="J317" s="210"/>
    </row>
    <row r="318" spans="1:10" ht="13.8" x14ac:dyDescent="0.25">
      <c r="A318" s="7" t="s">
        <v>2187</v>
      </c>
      <c r="B318" s="152"/>
      <c r="C318" s="151" t="s">
        <v>4189</v>
      </c>
      <c r="D318" s="152">
        <v>12</v>
      </c>
      <c r="E318" s="152" t="s">
        <v>78</v>
      </c>
      <c r="F318" s="153">
        <v>2500000</v>
      </c>
      <c r="G318" s="153">
        <f t="shared" si="8"/>
        <v>30000000</v>
      </c>
      <c r="H318" s="210" t="b">
        <f t="shared" si="7"/>
        <v>1</v>
      </c>
      <c r="I318" s="210"/>
      <c r="J318" s="210"/>
    </row>
    <row r="319" spans="1:10" ht="13.8" x14ac:dyDescent="0.25">
      <c r="A319" s="7" t="s">
        <v>2189</v>
      </c>
      <c r="B319" s="60">
        <v>521811</v>
      </c>
      <c r="C319" s="41" t="s">
        <v>64</v>
      </c>
      <c r="D319" s="60"/>
      <c r="E319" s="60"/>
      <c r="F319" s="42"/>
      <c r="G319" s="42">
        <f>SUM(G320:G328)</f>
        <v>178160000</v>
      </c>
      <c r="H319" s="210" t="b">
        <f t="shared" si="7"/>
        <v>1</v>
      </c>
      <c r="I319" s="210"/>
      <c r="J319" s="210"/>
    </row>
    <row r="320" spans="1:10" ht="13.8" x14ac:dyDescent="0.25">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3.8" x14ac:dyDescent="0.25">
      <c r="A321" s="7" t="s">
        <v>2191</v>
      </c>
      <c r="B321" s="152"/>
      <c r="C321" s="151" t="s">
        <v>3626</v>
      </c>
      <c r="D321" s="152">
        <v>40</v>
      </c>
      <c r="E321" s="152" t="s">
        <v>9</v>
      </c>
      <c r="F321" s="153">
        <v>1500000</v>
      </c>
      <c r="G321" s="153">
        <f t="shared" si="9"/>
        <v>60000000</v>
      </c>
      <c r="H321" s="210" t="b">
        <f t="shared" si="7"/>
        <v>1</v>
      </c>
      <c r="I321" s="210"/>
      <c r="J321" s="210"/>
    </row>
    <row r="322" spans="1:10" ht="13.8" x14ac:dyDescent="0.25">
      <c r="A322" s="7" t="s">
        <v>2192</v>
      </c>
      <c r="B322" s="152"/>
      <c r="C322" s="151" t="s">
        <v>4190</v>
      </c>
      <c r="D322" s="152">
        <v>192</v>
      </c>
      <c r="E322" s="152" t="s">
        <v>9</v>
      </c>
      <c r="F322" s="153">
        <v>50000</v>
      </c>
      <c r="G322" s="153">
        <f t="shared" si="9"/>
        <v>9600000</v>
      </c>
      <c r="H322" s="210" t="b">
        <f t="shared" si="7"/>
        <v>1</v>
      </c>
      <c r="I322" s="210"/>
      <c r="J322" s="210"/>
    </row>
    <row r="323" spans="1:10" ht="13.8" x14ac:dyDescent="0.25">
      <c r="A323" s="7" t="s">
        <v>2194</v>
      </c>
      <c r="B323" s="152"/>
      <c r="C323" s="151" t="s">
        <v>4191</v>
      </c>
      <c r="D323" s="152">
        <v>192</v>
      </c>
      <c r="E323" s="152" t="s">
        <v>9</v>
      </c>
      <c r="F323" s="153">
        <v>55000</v>
      </c>
      <c r="G323" s="153">
        <f t="shared" si="9"/>
        <v>10560000</v>
      </c>
      <c r="H323" s="210" t="b">
        <f t="shared" si="7"/>
        <v>1</v>
      </c>
      <c r="I323" s="210"/>
      <c r="J323" s="210"/>
    </row>
    <row r="324" spans="1:10" ht="13.8" x14ac:dyDescent="0.25">
      <c r="A324" s="7" t="s">
        <v>2196</v>
      </c>
      <c r="B324" s="152"/>
      <c r="C324" s="151" t="s">
        <v>4192</v>
      </c>
      <c r="D324" s="152">
        <v>50</v>
      </c>
      <c r="E324" s="152" t="s">
        <v>2198</v>
      </c>
      <c r="F324" s="153">
        <v>220000</v>
      </c>
      <c r="G324" s="153">
        <f t="shared" si="9"/>
        <v>11000000</v>
      </c>
      <c r="H324" s="210" t="b">
        <f t="shared" si="7"/>
        <v>1</v>
      </c>
      <c r="I324" s="210"/>
      <c r="J324" s="210"/>
    </row>
    <row r="325" spans="1:10" ht="13.8" x14ac:dyDescent="0.25">
      <c r="A325" s="7" t="s">
        <v>2199</v>
      </c>
      <c r="B325" s="152"/>
      <c r="C325" s="151" t="s">
        <v>4193</v>
      </c>
      <c r="D325" s="152">
        <v>50</v>
      </c>
      <c r="E325" s="152" t="s">
        <v>2198</v>
      </c>
      <c r="F325" s="153">
        <v>240000</v>
      </c>
      <c r="G325" s="153">
        <f t="shared" si="9"/>
        <v>12000000</v>
      </c>
      <c r="H325" s="210" t="b">
        <f t="shared" si="7"/>
        <v>1</v>
      </c>
      <c r="I325" s="210"/>
      <c r="J325" s="210"/>
    </row>
    <row r="326" spans="1:10" ht="13.8" x14ac:dyDescent="0.25">
      <c r="A326" s="7" t="s">
        <v>2201</v>
      </c>
      <c r="B326" s="152"/>
      <c r="C326" s="151" t="s">
        <v>4194</v>
      </c>
      <c r="D326" s="152">
        <v>800</v>
      </c>
      <c r="E326" s="152" t="s">
        <v>120</v>
      </c>
      <c r="F326" s="153">
        <v>5000</v>
      </c>
      <c r="G326" s="153">
        <f t="shared" si="9"/>
        <v>4000000</v>
      </c>
      <c r="H326" s="210" t="b">
        <f t="shared" si="7"/>
        <v>1</v>
      </c>
      <c r="I326" s="210"/>
      <c r="J326" s="210"/>
    </row>
    <row r="327" spans="1:10" ht="13.8" x14ac:dyDescent="0.25">
      <c r="A327" s="7" t="s">
        <v>2203</v>
      </c>
      <c r="B327" s="152"/>
      <c r="C327" s="151" t="s">
        <v>4195</v>
      </c>
      <c r="D327" s="152">
        <v>50</v>
      </c>
      <c r="E327" s="152" t="s">
        <v>1422</v>
      </c>
      <c r="F327" s="153">
        <v>220000</v>
      </c>
      <c r="G327" s="153">
        <f t="shared" si="9"/>
        <v>11000000</v>
      </c>
      <c r="H327" s="210" t="b">
        <f t="shared" si="7"/>
        <v>1</v>
      </c>
      <c r="I327" s="210"/>
      <c r="J327" s="210"/>
    </row>
    <row r="328" spans="1:10" ht="13.8" x14ac:dyDescent="0.25">
      <c r="A328" s="7" t="s">
        <v>2205</v>
      </c>
      <c r="B328" s="152"/>
      <c r="C328" s="151" t="s">
        <v>4196</v>
      </c>
      <c r="D328" s="152">
        <v>800</v>
      </c>
      <c r="E328" s="152" t="s">
        <v>120</v>
      </c>
      <c r="F328" s="153">
        <v>25000</v>
      </c>
      <c r="G328" s="153">
        <f t="shared" si="9"/>
        <v>20000000</v>
      </c>
      <c r="H328" s="210" t="b">
        <f t="shared" si="7"/>
        <v>1</v>
      </c>
      <c r="I328" s="210"/>
      <c r="J328" s="210"/>
    </row>
    <row r="329" spans="1:10" ht="13.8" x14ac:dyDescent="0.25">
      <c r="A329" s="7" t="s">
        <v>2207</v>
      </c>
      <c r="B329" s="59" t="s">
        <v>2208</v>
      </c>
      <c r="C329" s="38" t="s">
        <v>2209</v>
      </c>
      <c r="D329" s="59"/>
      <c r="E329" s="59"/>
      <c r="F329" s="39"/>
      <c r="G329" s="39">
        <f>SUM(G330,G332)</f>
        <v>148852000</v>
      </c>
      <c r="H329" s="210" t="b">
        <f t="shared" si="7"/>
        <v>1</v>
      </c>
      <c r="I329" s="210"/>
      <c r="J329" s="210"/>
    </row>
    <row r="330" spans="1:10" ht="13.8" x14ac:dyDescent="0.25">
      <c r="A330" s="7" t="s">
        <v>2210</v>
      </c>
      <c r="B330" s="60">
        <v>521114</v>
      </c>
      <c r="C330" s="41" t="s">
        <v>94</v>
      </c>
      <c r="D330" s="60"/>
      <c r="E330" s="60"/>
      <c r="F330" s="42"/>
      <c r="G330" s="42">
        <f>G331</f>
        <v>30000000</v>
      </c>
      <c r="H330" s="210" t="b">
        <f>_xlfn.ISFORMULA(G330)</f>
        <v>1</v>
      </c>
      <c r="I330" s="210"/>
      <c r="J330" s="210"/>
    </row>
    <row r="331" spans="1:10" ht="13.8" x14ac:dyDescent="0.25">
      <c r="A331" s="7" t="s">
        <v>2211</v>
      </c>
      <c r="B331" s="152"/>
      <c r="C331" s="151" t="s">
        <v>4197</v>
      </c>
      <c r="D331" s="152">
        <v>12</v>
      </c>
      <c r="E331" s="152" t="s">
        <v>78</v>
      </c>
      <c r="F331" s="153">
        <v>2500000</v>
      </c>
      <c r="G331" s="153">
        <f>ROUNDDOWN(D331*F331,-3)</f>
        <v>30000000</v>
      </c>
      <c r="H331" s="210" t="b">
        <f t="shared" si="7"/>
        <v>1</v>
      </c>
      <c r="I331" s="210"/>
      <c r="J331" s="210"/>
    </row>
    <row r="332" spans="1:10" ht="13.8" x14ac:dyDescent="0.25">
      <c r="A332" s="7" t="s">
        <v>2213</v>
      </c>
      <c r="B332" s="60">
        <v>522141</v>
      </c>
      <c r="C332" s="41" t="s">
        <v>95</v>
      </c>
      <c r="D332" s="60"/>
      <c r="E332" s="60"/>
      <c r="F332" s="42"/>
      <c r="G332" s="42">
        <f>SUM(G333:G334)</f>
        <v>118852000</v>
      </c>
      <c r="H332" s="210" t="b">
        <f t="shared" si="7"/>
        <v>1</v>
      </c>
      <c r="I332" s="210"/>
      <c r="J332" s="210"/>
    </row>
    <row r="333" spans="1:10" ht="13.8" x14ac:dyDescent="0.25">
      <c r="A333" s="7" t="s">
        <v>2214</v>
      </c>
      <c r="B333" s="152"/>
      <c r="C333" s="151" t="s">
        <v>4198</v>
      </c>
      <c r="D333" s="152">
        <v>12</v>
      </c>
      <c r="E333" s="152" t="s">
        <v>78</v>
      </c>
      <c r="F333" s="153">
        <v>5000000</v>
      </c>
      <c r="G333" s="153">
        <f>ROUNDDOWN(D333*F333,-3)</f>
        <v>60000000</v>
      </c>
      <c r="H333" s="210" t="b">
        <f t="shared" si="7"/>
        <v>1</v>
      </c>
      <c r="I333" s="210"/>
      <c r="J333" s="210"/>
    </row>
    <row r="334" spans="1:10" ht="13.8" x14ac:dyDescent="0.25">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3.8" x14ac:dyDescent="0.25">
      <c r="A335" s="7" t="s">
        <v>2218</v>
      </c>
      <c r="B335" s="59" t="s">
        <v>2219</v>
      </c>
      <c r="C335" s="38" t="s">
        <v>2220</v>
      </c>
      <c r="D335" s="59"/>
      <c r="E335" s="59"/>
      <c r="F335" s="39"/>
      <c r="G335" s="39">
        <f>SUM(G336,G346)</f>
        <v>533050000</v>
      </c>
      <c r="H335" s="210" t="b">
        <f t="shared" si="10"/>
        <v>1</v>
      </c>
      <c r="I335" s="210"/>
      <c r="J335" s="210"/>
    </row>
    <row r="336" spans="1:10" ht="13.8" x14ac:dyDescent="0.25">
      <c r="A336" s="7" t="s">
        <v>2221</v>
      </c>
      <c r="B336" s="60">
        <v>523121</v>
      </c>
      <c r="C336" s="41" t="s">
        <v>99</v>
      </c>
      <c r="D336" s="60"/>
      <c r="E336" s="60"/>
      <c r="F336" s="42"/>
      <c r="G336" s="42">
        <f>SUM(G337:G345)</f>
        <v>497050000</v>
      </c>
      <c r="H336" s="210" t="b">
        <f t="shared" si="10"/>
        <v>1</v>
      </c>
      <c r="I336" s="210"/>
      <c r="J336" s="210"/>
    </row>
    <row r="337" spans="1:10" ht="13.8" x14ac:dyDescent="0.25">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3.8" x14ac:dyDescent="0.25">
      <c r="A338" s="7" t="s">
        <v>2224</v>
      </c>
      <c r="B338" s="152"/>
      <c r="C338" s="151" t="s">
        <v>4201</v>
      </c>
      <c r="D338" s="152">
        <v>9</v>
      </c>
      <c r="E338" s="152" t="s">
        <v>4202</v>
      </c>
      <c r="F338" s="153">
        <v>32850000</v>
      </c>
      <c r="G338" s="153">
        <f t="shared" si="11"/>
        <v>295650000</v>
      </c>
      <c r="H338" s="210" t="b">
        <f t="shared" si="10"/>
        <v>1</v>
      </c>
      <c r="I338" s="210"/>
      <c r="J338" s="210"/>
    </row>
    <row r="339" spans="1:10" ht="13.8" x14ac:dyDescent="0.25">
      <c r="A339" s="7" t="s">
        <v>2226</v>
      </c>
      <c r="B339" s="152"/>
      <c r="C339" s="151" t="s">
        <v>4203</v>
      </c>
      <c r="D339" s="152">
        <v>5</v>
      </c>
      <c r="E339" s="152" t="s">
        <v>42</v>
      </c>
      <c r="F339" s="153">
        <v>3640000</v>
      </c>
      <c r="G339" s="153">
        <f t="shared" si="11"/>
        <v>18200000</v>
      </c>
      <c r="H339" s="210" t="b">
        <f t="shared" si="10"/>
        <v>1</v>
      </c>
      <c r="I339" s="210"/>
      <c r="J339" s="210"/>
    </row>
    <row r="340" spans="1:10" ht="13.8" x14ac:dyDescent="0.25">
      <c r="A340" s="7" t="s">
        <v>2228</v>
      </c>
      <c r="B340" s="152"/>
      <c r="C340" s="151" t="s">
        <v>4204</v>
      </c>
      <c r="D340" s="152">
        <v>40</v>
      </c>
      <c r="E340" s="152" t="s">
        <v>42</v>
      </c>
      <c r="F340" s="153">
        <v>730000</v>
      </c>
      <c r="G340" s="153">
        <f t="shared" si="11"/>
        <v>29200000</v>
      </c>
      <c r="H340" s="210" t="b">
        <f t="shared" si="10"/>
        <v>1</v>
      </c>
      <c r="I340" s="210"/>
      <c r="J340" s="210"/>
    </row>
    <row r="341" spans="1:10" ht="13.8" x14ac:dyDescent="0.25">
      <c r="A341" s="7" t="s">
        <v>2229</v>
      </c>
      <c r="B341" s="152"/>
      <c r="C341" s="151" t="s">
        <v>4205</v>
      </c>
      <c r="D341" s="152">
        <v>35</v>
      </c>
      <c r="E341" s="152" t="s">
        <v>44</v>
      </c>
      <c r="F341" s="153">
        <v>730000</v>
      </c>
      <c r="G341" s="153">
        <f t="shared" si="11"/>
        <v>25550000</v>
      </c>
      <c r="H341" s="210" t="b">
        <f t="shared" si="10"/>
        <v>1</v>
      </c>
      <c r="I341" s="210"/>
      <c r="J341" s="210"/>
    </row>
    <row r="342" spans="1:10" ht="13.8" x14ac:dyDescent="0.25">
      <c r="A342" s="7" t="s">
        <v>2230</v>
      </c>
      <c r="B342" s="152"/>
      <c r="C342" s="151" t="s">
        <v>4206</v>
      </c>
      <c r="D342" s="152">
        <v>35</v>
      </c>
      <c r="E342" s="152" t="s">
        <v>44</v>
      </c>
      <c r="F342" s="153">
        <v>690000</v>
      </c>
      <c r="G342" s="153">
        <f t="shared" si="11"/>
        <v>24150000</v>
      </c>
      <c r="H342" s="210" t="b">
        <f t="shared" si="10"/>
        <v>1</v>
      </c>
      <c r="I342" s="210"/>
      <c r="J342" s="210"/>
    </row>
    <row r="343" spans="1:10" ht="13.8" x14ac:dyDescent="0.25">
      <c r="A343" s="7" t="s">
        <v>2231</v>
      </c>
      <c r="B343" s="152"/>
      <c r="C343" s="151" t="s">
        <v>4207</v>
      </c>
      <c r="D343" s="152">
        <v>3</v>
      </c>
      <c r="E343" s="152" t="s">
        <v>44</v>
      </c>
      <c r="F343" s="153">
        <v>3500000</v>
      </c>
      <c r="G343" s="153">
        <f t="shared" si="11"/>
        <v>10500000</v>
      </c>
      <c r="H343" s="210" t="b">
        <f t="shared" si="10"/>
        <v>1</v>
      </c>
      <c r="I343" s="210"/>
      <c r="J343" s="210"/>
    </row>
    <row r="344" spans="1:10" ht="13.8" x14ac:dyDescent="0.25">
      <c r="A344" s="7" t="s">
        <v>2232</v>
      </c>
      <c r="B344" s="152"/>
      <c r="C344" s="151" t="s">
        <v>4208</v>
      </c>
      <c r="D344" s="152">
        <v>6</v>
      </c>
      <c r="E344" s="152" t="s">
        <v>44</v>
      </c>
      <c r="F344" s="153">
        <v>470000</v>
      </c>
      <c r="G344" s="153">
        <f t="shared" si="11"/>
        <v>2820000</v>
      </c>
      <c r="H344" s="210" t="b">
        <f t="shared" si="10"/>
        <v>1</v>
      </c>
      <c r="I344" s="210"/>
      <c r="J344" s="210"/>
    </row>
    <row r="345" spans="1:10" ht="13.8" x14ac:dyDescent="0.25">
      <c r="A345" s="7" t="s">
        <v>2234</v>
      </c>
      <c r="B345" s="152"/>
      <c r="C345" s="151" t="s">
        <v>4209</v>
      </c>
      <c r="D345" s="152">
        <v>1</v>
      </c>
      <c r="E345" s="152" t="s">
        <v>60</v>
      </c>
      <c r="F345" s="153">
        <v>52250000</v>
      </c>
      <c r="G345" s="153">
        <f t="shared" si="11"/>
        <v>52250000</v>
      </c>
      <c r="H345" s="210" t="b">
        <f t="shared" si="10"/>
        <v>1</v>
      </c>
      <c r="I345" s="210"/>
      <c r="J345" s="210"/>
    </row>
    <row r="346" spans="1:10" ht="13.8" x14ac:dyDescent="0.25">
      <c r="A346" s="7" t="s">
        <v>2235</v>
      </c>
      <c r="B346" s="60">
        <v>523199</v>
      </c>
      <c r="C346" s="41" t="s">
        <v>102</v>
      </c>
      <c r="D346" s="60"/>
      <c r="E346" s="60"/>
      <c r="F346" s="42"/>
      <c r="G346" s="42">
        <f>G347</f>
        <v>36000000</v>
      </c>
      <c r="H346" s="210" t="b">
        <f t="shared" si="10"/>
        <v>1</v>
      </c>
      <c r="I346" s="210"/>
      <c r="J346" s="210"/>
    </row>
    <row r="347" spans="1:10" ht="13.8" x14ac:dyDescent="0.25">
      <c r="A347" s="7" t="s">
        <v>2236</v>
      </c>
      <c r="B347" s="152"/>
      <c r="C347" s="151" t="s">
        <v>4210</v>
      </c>
      <c r="D347" s="152">
        <v>24</v>
      </c>
      <c r="E347" s="152" t="s">
        <v>96</v>
      </c>
      <c r="F347" s="153">
        <v>1500000</v>
      </c>
      <c r="G347" s="153">
        <f>ROUNDDOWN(D347*F347,-3)</f>
        <v>36000000</v>
      </c>
      <c r="H347" s="210" t="b">
        <f t="shared" si="10"/>
        <v>1</v>
      </c>
      <c r="I347" s="210"/>
      <c r="J347" s="210"/>
    </row>
    <row r="348" spans="1:10" ht="13.8" x14ac:dyDescent="0.25">
      <c r="A348" s="7" t="s">
        <v>2238</v>
      </c>
      <c r="B348" s="59" t="s">
        <v>2239</v>
      </c>
      <c r="C348" s="38" t="s">
        <v>2240</v>
      </c>
      <c r="D348" s="59"/>
      <c r="E348" s="59"/>
      <c r="F348" s="39"/>
      <c r="G348" s="39">
        <f>SUM(G349,G352)</f>
        <v>159376000</v>
      </c>
      <c r="H348" s="210" t="b">
        <f t="shared" si="10"/>
        <v>1</v>
      </c>
      <c r="I348" s="210"/>
      <c r="J348" s="210"/>
    </row>
    <row r="349" spans="1:10" ht="13.8" x14ac:dyDescent="0.25">
      <c r="A349" s="7" t="s">
        <v>2241</v>
      </c>
      <c r="B349" s="60">
        <v>521111</v>
      </c>
      <c r="C349" s="41" t="s">
        <v>90</v>
      </c>
      <c r="D349" s="60"/>
      <c r="E349" s="60"/>
      <c r="F349" s="42"/>
      <c r="G349" s="42">
        <f>SUM(G350:G351)</f>
        <v>101040000</v>
      </c>
      <c r="H349" s="210" t="b">
        <f t="shared" si="10"/>
        <v>1</v>
      </c>
      <c r="I349" s="210"/>
      <c r="J349" s="210"/>
    </row>
    <row r="350" spans="1:10" s="212" customFormat="1" ht="13.8" x14ac:dyDescent="0.25">
      <c r="A350" s="211" t="s">
        <v>2242</v>
      </c>
      <c r="B350" s="152"/>
      <c r="C350" s="151" t="s">
        <v>4211</v>
      </c>
      <c r="D350" s="152">
        <v>100</v>
      </c>
      <c r="E350" s="152" t="s">
        <v>2244</v>
      </c>
      <c r="F350" s="153">
        <v>857000</v>
      </c>
      <c r="G350" s="153">
        <f>ROUNDDOWN(D350*F350,-3)</f>
        <v>85700000</v>
      </c>
      <c r="H350" s="210" t="b">
        <f t="shared" si="10"/>
        <v>1</v>
      </c>
      <c r="I350" s="210"/>
      <c r="J350" s="210"/>
    </row>
    <row r="351" spans="1:10" ht="13.8" x14ac:dyDescent="0.25">
      <c r="A351" s="7" t="s">
        <v>2245</v>
      </c>
      <c r="B351" s="152"/>
      <c r="C351" s="151" t="s">
        <v>4212</v>
      </c>
      <c r="D351" s="152">
        <v>26</v>
      </c>
      <c r="E351" s="152" t="s">
        <v>121</v>
      </c>
      <c r="F351" s="153">
        <v>590000</v>
      </c>
      <c r="G351" s="153">
        <f>ROUNDDOWN(D351*F351,-3)</f>
        <v>15340000</v>
      </c>
      <c r="H351" s="210" t="b">
        <f t="shared" si="10"/>
        <v>1</v>
      </c>
      <c r="I351" s="210"/>
      <c r="J351" s="210"/>
    </row>
    <row r="352" spans="1:10" ht="13.8" x14ac:dyDescent="0.25">
      <c r="A352" s="7" t="s">
        <v>2247</v>
      </c>
      <c r="B352" s="60">
        <v>521115</v>
      </c>
      <c r="C352" s="41" t="s">
        <v>104</v>
      </c>
      <c r="D352" s="60"/>
      <c r="E352" s="60"/>
      <c r="F352" s="42"/>
      <c r="G352" s="42">
        <f>SUM(G353:G362)</f>
        <v>58336000</v>
      </c>
      <c r="H352" s="210" t="b">
        <f t="shared" si="10"/>
        <v>1</v>
      </c>
      <c r="I352" s="210"/>
      <c r="J352" s="210"/>
    </row>
    <row r="353" spans="1:10" ht="13.8" x14ac:dyDescent="0.25">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3.8" x14ac:dyDescent="0.25">
      <c r="A354" s="7" t="s">
        <v>2250</v>
      </c>
      <c r="B354" s="152"/>
      <c r="C354" s="151" t="s">
        <v>4214</v>
      </c>
      <c r="D354" s="152">
        <v>12</v>
      </c>
      <c r="E354" s="152" t="s">
        <v>32</v>
      </c>
      <c r="F354" s="153">
        <v>324000</v>
      </c>
      <c r="G354" s="153">
        <f t="shared" si="12"/>
        <v>3888000</v>
      </c>
      <c r="H354" s="210" t="b">
        <f t="shared" si="10"/>
        <v>1</v>
      </c>
      <c r="I354" s="210"/>
      <c r="J354" s="210"/>
    </row>
    <row r="355" spans="1:10" ht="13.8" x14ac:dyDescent="0.25">
      <c r="A355" s="7" t="s">
        <v>2252</v>
      </c>
      <c r="B355" s="152"/>
      <c r="C355" s="151" t="s">
        <v>4215</v>
      </c>
      <c r="D355" s="152">
        <v>12</v>
      </c>
      <c r="E355" s="152" t="s">
        <v>32</v>
      </c>
      <c r="F355" s="153">
        <v>324000</v>
      </c>
      <c r="G355" s="153">
        <f t="shared" si="12"/>
        <v>3888000</v>
      </c>
      <c r="H355" s="210" t="b">
        <f t="shared" si="10"/>
        <v>1</v>
      </c>
      <c r="I355" s="210"/>
      <c r="J355" s="210"/>
    </row>
    <row r="356" spans="1:10" s="212" customFormat="1" ht="13.8" x14ac:dyDescent="0.25">
      <c r="A356" s="211" t="s">
        <v>2254</v>
      </c>
      <c r="B356" s="152"/>
      <c r="C356" s="151" t="s">
        <v>4216</v>
      </c>
      <c r="D356" s="152">
        <v>12</v>
      </c>
      <c r="E356" s="152" t="s">
        <v>32</v>
      </c>
      <c r="F356" s="153">
        <v>680000</v>
      </c>
      <c r="G356" s="153">
        <f t="shared" si="12"/>
        <v>8160000</v>
      </c>
      <c r="H356" s="210" t="b">
        <f t="shared" si="10"/>
        <v>1</v>
      </c>
      <c r="I356" s="210"/>
      <c r="J356" s="210"/>
    </row>
    <row r="357" spans="1:10" ht="13.8" x14ac:dyDescent="0.25">
      <c r="A357" s="7" t="s">
        <v>2256</v>
      </c>
      <c r="B357" s="152"/>
      <c r="C357" s="151" t="s">
        <v>4217</v>
      </c>
      <c r="D357" s="152">
        <v>12</v>
      </c>
      <c r="E357" s="152" t="s">
        <v>32</v>
      </c>
      <c r="F357" s="153">
        <v>200000</v>
      </c>
      <c r="G357" s="153">
        <f t="shared" si="12"/>
        <v>2400000</v>
      </c>
      <c r="H357" s="210" t="b">
        <f t="shared" si="10"/>
        <v>1</v>
      </c>
      <c r="I357" s="210"/>
      <c r="J357" s="210"/>
    </row>
    <row r="358" spans="1:10" ht="13.8" x14ac:dyDescent="0.25">
      <c r="A358" s="7" t="s">
        <v>2258</v>
      </c>
      <c r="B358" s="152"/>
      <c r="C358" s="151" t="s">
        <v>4218</v>
      </c>
      <c r="D358" s="152">
        <v>12</v>
      </c>
      <c r="E358" s="152" t="s">
        <v>32</v>
      </c>
      <c r="F358" s="153">
        <v>80000</v>
      </c>
      <c r="G358" s="153">
        <f t="shared" si="12"/>
        <v>960000</v>
      </c>
      <c r="H358" s="210" t="b">
        <f t="shared" si="10"/>
        <v>1</v>
      </c>
      <c r="I358" s="210"/>
      <c r="J358" s="210"/>
    </row>
    <row r="359" spans="1:10" ht="13.8" x14ac:dyDescent="0.25">
      <c r="A359" s="7" t="s">
        <v>2260</v>
      </c>
      <c r="B359" s="152"/>
      <c r="C359" s="151" t="s">
        <v>4219</v>
      </c>
      <c r="D359" s="152">
        <v>12</v>
      </c>
      <c r="E359" s="152" t="s">
        <v>32</v>
      </c>
      <c r="F359" s="153">
        <v>200000</v>
      </c>
      <c r="G359" s="153">
        <f t="shared" si="12"/>
        <v>2400000</v>
      </c>
      <c r="H359" s="210" t="b">
        <f t="shared" si="10"/>
        <v>1</v>
      </c>
      <c r="I359" s="210"/>
      <c r="J359" s="210"/>
    </row>
    <row r="360" spans="1:10" ht="13.8" x14ac:dyDescent="0.25">
      <c r="A360" s="7" t="s">
        <v>2262</v>
      </c>
      <c r="B360" s="152"/>
      <c r="C360" s="151" t="s">
        <v>4220</v>
      </c>
      <c r="D360" s="152">
        <v>1</v>
      </c>
      <c r="E360" s="152" t="s">
        <v>776</v>
      </c>
      <c r="F360" s="153">
        <v>400000</v>
      </c>
      <c r="G360" s="153">
        <f t="shared" si="12"/>
        <v>400000</v>
      </c>
      <c r="H360" s="210" t="b">
        <f t="shared" si="10"/>
        <v>1</v>
      </c>
      <c r="I360" s="210"/>
      <c r="J360" s="210"/>
    </row>
    <row r="361" spans="1:10" s="212" customFormat="1" ht="13.8" x14ac:dyDescent="0.25">
      <c r="A361" s="211" t="s">
        <v>2264</v>
      </c>
      <c r="B361" s="152"/>
      <c r="C361" s="151" t="s">
        <v>4221</v>
      </c>
      <c r="D361" s="152">
        <v>1</v>
      </c>
      <c r="E361" s="152" t="s">
        <v>25</v>
      </c>
      <c r="F361" s="153">
        <v>300000</v>
      </c>
      <c r="G361" s="153">
        <f t="shared" si="12"/>
        <v>300000</v>
      </c>
      <c r="H361" s="210" t="b">
        <f t="shared" si="10"/>
        <v>1</v>
      </c>
      <c r="I361" s="210"/>
      <c r="J361" s="210"/>
    </row>
    <row r="362" spans="1:10" ht="13.8" x14ac:dyDescent="0.25">
      <c r="A362" s="7" t="s">
        <v>2266</v>
      </c>
      <c r="B362" s="152"/>
      <c r="C362" s="151" t="s">
        <v>4222</v>
      </c>
      <c r="D362" s="152">
        <v>3</v>
      </c>
      <c r="E362" s="152" t="s">
        <v>25</v>
      </c>
      <c r="F362" s="153">
        <v>300000</v>
      </c>
      <c r="G362" s="153">
        <f t="shared" si="12"/>
        <v>900000</v>
      </c>
      <c r="H362" s="210" t="b">
        <f t="shared" si="10"/>
        <v>1</v>
      </c>
      <c r="I362" s="210"/>
      <c r="J362" s="210"/>
    </row>
    <row r="363" spans="1:10" ht="13.8" x14ac:dyDescent="0.25">
      <c r="A363" s="7" t="s">
        <v>4223</v>
      </c>
      <c r="B363" s="59" t="s">
        <v>4224</v>
      </c>
      <c r="C363" s="38" t="s">
        <v>4225</v>
      </c>
      <c r="D363" s="59"/>
      <c r="E363" s="59"/>
      <c r="F363" s="39"/>
      <c r="G363" s="39">
        <f>SUM(G364,G369,G374)</f>
        <v>100000000</v>
      </c>
      <c r="H363" s="210" t="b">
        <f t="shared" si="10"/>
        <v>1</v>
      </c>
      <c r="I363" s="210"/>
      <c r="J363" s="210"/>
    </row>
    <row r="364" spans="1:10" ht="13.8" x14ac:dyDescent="0.25">
      <c r="A364" s="7" t="s">
        <v>4226</v>
      </c>
      <c r="B364" s="60">
        <v>521111</v>
      </c>
      <c r="C364" s="41" t="s">
        <v>90</v>
      </c>
      <c r="D364" s="60"/>
      <c r="E364" s="60"/>
      <c r="F364" s="42"/>
      <c r="G364" s="42">
        <f>SUM(G365:G368)</f>
        <v>45000000</v>
      </c>
      <c r="H364" s="210" t="b">
        <f t="shared" si="10"/>
        <v>1</v>
      </c>
      <c r="I364" s="210"/>
      <c r="J364" s="210"/>
    </row>
    <row r="365" spans="1:10" ht="13.8" x14ac:dyDescent="0.25">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3.8" x14ac:dyDescent="0.25">
      <c r="A366" s="211" t="s">
        <v>4229</v>
      </c>
      <c r="B366" s="152"/>
      <c r="C366" s="151" t="s">
        <v>4230</v>
      </c>
      <c r="D366" s="152">
        <v>48</v>
      </c>
      <c r="E366" s="152" t="s">
        <v>58</v>
      </c>
      <c r="F366" s="153">
        <v>500000</v>
      </c>
      <c r="G366" s="153">
        <f>ROUNDDOWN(D366*F366,-3)</f>
        <v>24000000</v>
      </c>
      <c r="H366" s="210" t="b">
        <f t="shared" si="10"/>
        <v>1</v>
      </c>
      <c r="I366" s="210"/>
      <c r="J366" s="210"/>
    </row>
    <row r="367" spans="1:10" ht="13.8" x14ac:dyDescent="0.25">
      <c r="A367" s="7" t="s">
        <v>4231</v>
      </c>
      <c r="B367" s="152"/>
      <c r="C367" s="151" t="s">
        <v>4232</v>
      </c>
      <c r="D367" s="152">
        <v>12</v>
      </c>
      <c r="E367" s="152" t="s">
        <v>78</v>
      </c>
      <c r="F367" s="153">
        <v>500000</v>
      </c>
      <c r="G367" s="153">
        <f>ROUNDDOWN(D367*F367,-3)</f>
        <v>6000000</v>
      </c>
      <c r="H367" s="210" t="b">
        <f t="shared" si="10"/>
        <v>1</v>
      </c>
      <c r="I367" s="210"/>
      <c r="J367" s="210"/>
    </row>
    <row r="368" spans="1:10" ht="13.8" x14ac:dyDescent="0.25">
      <c r="A368" s="7" t="s">
        <v>4233</v>
      </c>
      <c r="B368" s="152"/>
      <c r="C368" s="151" t="s">
        <v>4234</v>
      </c>
      <c r="D368" s="152">
        <v>60</v>
      </c>
      <c r="E368" s="152" t="s">
        <v>116</v>
      </c>
      <c r="F368" s="153">
        <v>200000</v>
      </c>
      <c r="G368" s="153">
        <f>ROUNDDOWN(D368*F368,-3)</f>
        <v>12000000</v>
      </c>
      <c r="H368" s="210" t="b">
        <f t="shared" si="10"/>
        <v>1</v>
      </c>
      <c r="I368" s="210"/>
      <c r="J368" s="210"/>
    </row>
    <row r="369" spans="1:10" ht="13.8" x14ac:dyDescent="0.25">
      <c r="A369" s="7" t="s">
        <v>4235</v>
      </c>
      <c r="B369" s="60">
        <v>521811</v>
      </c>
      <c r="C369" s="41" t="s">
        <v>64</v>
      </c>
      <c r="D369" s="60"/>
      <c r="E369" s="60"/>
      <c r="F369" s="42"/>
      <c r="G369" s="42">
        <f>SUM(G370:G373)</f>
        <v>26000000</v>
      </c>
      <c r="H369" s="210" t="b">
        <f t="shared" si="10"/>
        <v>1</v>
      </c>
      <c r="I369" s="210"/>
      <c r="J369" s="210"/>
    </row>
    <row r="370" spans="1:10" ht="13.8" x14ac:dyDescent="0.25">
      <c r="A370" s="7" t="s">
        <v>4236</v>
      </c>
      <c r="B370" s="152"/>
      <c r="C370" s="151" t="s">
        <v>3625</v>
      </c>
      <c r="D370" s="152">
        <v>8</v>
      </c>
      <c r="E370" s="152" t="s">
        <v>9</v>
      </c>
      <c r="F370" s="153">
        <v>1000000</v>
      </c>
      <c r="G370" s="153">
        <f>ROUNDDOWN(D370*F370,-3)</f>
        <v>8000000</v>
      </c>
      <c r="H370" s="210" t="b">
        <f t="shared" si="10"/>
        <v>1</v>
      </c>
      <c r="I370" s="210"/>
      <c r="J370" s="210"/>
    </row>
    <row r="371" spans="1:10" ht="13.8" x14ac:dyDescent="0.25">
      <c r="A371" s="7" t="s">
        <v>4237</v>
      </c>
      <c r="B371" s="152"/>
      <c r="C371" s="151" t="s">
        <v>3626</v>
      </c>
      <c r="D371" s="152">
        <v>8</v>
      </c>
      <c r="E371" s="152" t="s">
        <v>9</v>
      </c>
      <c r="F371" s="153">
        <v>1500000</v>
      </c>
      <c r="G371" s="153">
        <f>ROUNDDOWN(D371*F371,-3)</f>
        <v>12000000</v>
      </c>
      <c r="H371" s="210" t="b">
        <f t="shared" si="10"/>
        <v>1</v>
      </c>
      <c r="I371" s="210"/>
      <c r="J371" s="210"/>
    </row>
    <row r="372" spans="1:10" ht="13.8" x14ac:dyDescent="0.25">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3.8" x14ac:dyDescent="0.25">
      <c r="A373" s="211" t="s">
        <v>4240</v>
      </c>
      <c r="B373" s="152"/>
      <c r="C373" s="151" t="s">
        <v>4241</v>
      </c>
      <c r="D373" s="152">
        <v>200</v>
      </c>
      <c r="E373" s="152" t="s">
        <v>120</v>
      </c>
      <c r="F373" s="153">
        <v>25000</v>
      </c>
      <c r="G373" s="153">
        <f>ROUNDDOWN(D373*F373,-3)</f>
        <v>5000000</v>
      </c>
      <c r="H373" s="210" t="b">
        <f t="shared" si="10"/>
        <v>1</v>
      </c>
      <c r="I373" s="210"/>
      <c r="J373" s="210"/>
    </row>
    <row r="374" spans="1:10" ht="13.8" x14ac:dyDescent="0.25">
      <c r="A374" s="7" t="s">
        <v>4242</v>
      </c>
      <c r="B374" s="60">
        <v>523121</v>
      </c>
      <c r="C374" s="41" t="s">
        <v>99</v>
      </c>
      <c r="D374" s="60"/>
      <c r="E374" s="60"/>
      <c r="F374" s="42"/>
      <c r="G374" s="42">
        <f>SUM(G375:G379)</f>
        <v>29000000</v>
      </c>
      <c r="H374" s="210" t="b">
        <f t="shared" si="10"/>
        <v>1</v>
      </c>
      <c r="I374" s="210"/>
      <c r="J374" s="210"/>
    </row>
    <row r="375" spans="1:10" s="212" customFormat="1" ht="13.8" x14ac:dyDescent="0.25">
      <c r="A375" s="211" t="s">
        <v>4243</v>
      </c>
      <c r="B375" s="152"/>
      <c r="C375" s="151" t="s">
        <v>4244</v>
      </c>
      <c r="D375" s="152">
        <v>1</v>
      </c>
      <c r="E375" s="152" t="s">
        <v>42</v>
      </c>
      <c r="F375" s="153">
        <v>7200000</v>
      </c>
      <c r="G375" s="153">
        <f>ROUNDDOWN(D375*F375,-3)</f>
        <v>7200000</v>
      </c>
      <c r="H375" s="210" t="b">
        <f t="shared" si="10"/>
        <v>1</v>
      </c>
      <c r="I375" s="210"/>
      <c r="J375" s="210"/>
    </row>
    <row r="376" spans="1:10" ht="13.8" x14ac:dyDescent="0.25">
      <c r="A376" s="7" t="s">
        <v>4245</v>
      </c>
      <c r="B376" s="152"/>
      <c r="C376" s="151" t="s">
        <v>4246</v>
      </c>
      <c r="D376" s="152">
        <v>10</v>
      </c>
      <c r="E376" s="152" t="s">
        <v>42</v>
      </c>
      <c r="F376" s="153">
        <v>730000</v>
      </c>
      <c r="G376" s="153">
        <f>ROUNDDOWN(D376*F376,-3)</f>
        <v>7300000</v>
      </c>
      <c r="H376" s="210" t="b">
        <f t="shared" si="10"/>
        <v>1</v>
      </c>
      <c r="I376" s="210"/>
      <c r="J376" s="210"/>
    </row>
    <row r="377" spans="1:10" ht="13.8" x14ac:dyDescent="0.25">
      <c r="A377" s="7" t="s">
        <v>4247</v>
      </c>
      <c r="B377" s="152"/>
      <c r="C377" s="151" t="s">
        <v>4248</v>
      </c>
      <c r="D377" s="152">
        <v>10</v>
      </c>
      <c r="E377" s="152" t="s">
        <v>44</v>
      </c>
      <c r="F377" s="153">
        <v>730000</v>
      </c>
      <c r="G377" s="153">
        <f>ROUNDDOWN(D377*F377,-3)</f>
        <v>7300000</v>
      </c>
      <c r="H377" s="210" t="b">
        <f t="shared" si="10"/>
        <v>1</v>
      </c>
      <c r="I377" s="210"/>
      <c r="J377" s="210"/>
    </row>
    <row r="378" spans="1:10" ht="13.8" x14ac:dyDescent="0.25">
      <c r="A378" s="7" t="s">
        <v>4249</v>
      </c>
      <c r="B378" s="152"/>
      <c r="C378" s="151" t="s">
        <v>4250</v>
      </c>
      <c r="D378" s="152">
        <v>10</v>
      </c>
      <c r="E378" s="152" t="s">
        <v>44</v>
      </c>
      <c r="F378" s="153">
        <v>690000</v>
      </c>
      <c r="G378" s="153">
        <f>ROUNDDOWN(D378*F378,-3)</f>
        <v>6900000</v>
      </c>
      <c r="H378" s="210" t="b">
        <f t="shared" si="10"/>
        <v>1</v>
      </c>
      <c r="I378" s="210"/>
      <c r="J378" s="210"/>
    </row>
    <row r="379" spans="1:10" ht="13.8" x14ac:dyDescent="0.25">
      <c r="A379" s="7" t="s">
        <v>4251</v>
      </c>
      <c r="B379" s="152"/>
      <c r="C379" s="151" t="s">
        <v>4252</v>
      </c>
      <c r="D379" s="152">
        <v>1</v>
      </c>
      <c r="E379" s="152" t="s">
        <v>60</v>
      </c>
      <c r="F379" s="153">
        <v>300000</v>
      </c>
      <c r="G379" s="153">
        <f>ROUNDDOWN(D379*F379,-3)</f>
        <v>300000</v>
      </c>
      <c r="H379" s="210" t="b">
        <f t="shared" si="10"/>
        <v>1</v>
      </c>
      <c r="I379" s="210"/>
      <c r="J379" s="210"/>
    </row>
    <row r="380" spans="1:10" ht="13.8" x14ac:dyDescent="0.25">
      <c r="A380" s="7" t="s">
        <v>2268</v>
      </c>
      <c r="B380" s="135" t="s">
        <v>2269</v>
      </c>
      <c r="C380" s="133" t="s">
        <v>2270</v>
      </c>
      <c r="D380" s="135">
        <v>2</v>
      </c>
      <c r="E380" s="135" t="s">
        <v>42</v>
      </c>
      <c r="F380" s="136"/>
      <c r="G380" s="136">
        <f>G381</f>
        <v>540934000</v>
      </c>
      <c r="H380" s="210" t="b">
        <f t="shared" si="10"/>
        <v>1</v>
      </c>
      <c r="I380" s="210"/>
      <c r="J380" s="210"/>
    </row>
    <row r="381" spans="1:10" ht="13.8" x14ac:dyDescent="0.25">
      <c r="A381" s="7" t="s">
        <v>2271</v>
      </c>
      <c r="B381" s="138" t="s">
        <v>4253</v>
      </c>
      <c r="C381" s="137" t="s">
        <v>2273</v>
      </c>
      <c r="D381" s="138">
        <v>1</v>
      </c>
      <c r="E381" s="138" t="s">
        <v>42</v>
      </c>
      <c r="F381" s="139"/>
      <c r="G381" s="139">
        <f>G382</f>
        <v>540934000</v>
      </c>
      <c r="H381" s="210" t="b">
        <f t="shared" si="10"/>
        <v>1</v>
      </c>
      <c r="I381" s="210"/>
      <c r="J381" s="210"/>
    </row>
    <row r="382" spans="1:10" ht="13.8" x14ac:dyDescent="0.25">
      <c r="A382" s="7" t="s">
        <v>2289</v>
      </c>
      <c r="B382" s="58">
        <v>301</v>
      </c>
      <c r="C382" s="35" t="s">
        <v>2290</v>
      </c>
      <c r="D382" s="58"/>
      <c r="E382" s="58"/>
      <c r="F382" s="36"/>
      <c r="G382" s="36">
        <f>G383</f>
        <v>540934000</v>
      </c>
      <c r="H382" s="210" t="b">
        <f t="shared" si="10"/>
        <v>1</v>
      </c>
      <c r="I382" s="210"/>
      <c r="J382" s="210"/>
    </row>
    <row r="383" spans="1:10" ht="13.8" x14ac:dyDescent="0.25">
      <c r="A383" s="7" t="s">
        <v>2291</v>
      </c>
      <c r="B383" s="59" t="s">
        <v>8</v>
      </c>
      <c r="C383" s="38" t="s">
        <v>2292</v>
      </c>
      <c r="D383" s="59"/>
      <c r="E383" s="59"/>
      <c r="F383" s="39"/>
      <c r="G383" s="39">
        <f>G384</f>
        <v>540934000</v>
      </c>
      <c r="H383" s="210" t="b">
        <f t="shared" si="10"/>
        <v>1</v>
      </c>
      <c r="I383" s="210"/>
      <c r="J383" s="210"/>
    </row>
    <row r="384" spans="1:10" ht="13.8" x14ac:dyDescent="0.25">
      <c r="A384" s="7" t="s">
        <v>2293</v>
      </c>
      <c r="B384" s="60">
        <v>532111</v>
      </c>
      <c r="C384" s="41" t="s">
        <v>43</v>
      </c>
      <c r="D384" s="60"/>
      <c r="E384" s="60"/>
      <c r="F384" s="42"/>
      <c r="G384" s="42">
        <f>G385</f>
        <v>540934000</v>
      </c>
      <c r="H384" s="210" t="b">
        <f t="shared" si="10"/>
        <v>1</v>
      </c>
      <c r="I384" s="210"/>
      <c r="J384" s="210"/>
    </row>
    <row r="385" spans="1:10" ht="13.8" x14ac:dyDescent="0.25">
      <c r="A385" s="7" t="s">
        <v>2294</v>
      </c>
      <c r="B385" s="152"/>
      <c r="C385" s="151" t="s">
        <v>4258</v>
      </c>
      <c r="D385" s="152">
        <v>1</v>
      </c>
      <c r="E385" s="152" t="s">
        <v>42</v>
      </c>
      <c r="F385" s="153">
        <v>540934000</v>
      </c>
      <c r="G385" s="153">
        <f>ROUNDDOWN(D385*F385,-3)</f>
        <v>540934000</v>
      </c>
      <c r="H385" s="210" t="b">
        <f t="shared" si="10"/>
        <v>1</v>
      </c>
      <c r="I385" s="210"/>
      <c r="J385" s="210"/>
    </row>
    <row r="386" spans="1:10" ht="13.8" x14ac:dyDescent="0.25">
      <c r="A386" s="7" t="s">
        <v>2465</v>
      </c>
      <c r="B386" s="135" t="s">
        <v>2466</v>
      </c>
      <c r="C386" s="133" t="s">
        <v>2467</v>
      </c>
      <c r="D386" s="135">
        <v>5</v>
      </c>
      <c r="E386" s="135" t="s">
        <v>4315</v>
      </c>
      <c r="F386" s="136"/>
      <c r="G386" s="136">
        <f>SUM(G387,G427,G469)</f>
        <v>1538790000</v>
      </c>
      <c r="H386" s="210" t="b">
        <f t="shared" si="10"/>
        <v>1</v>
      </c>
      <c r="I386" s="210"/>
      <c r="J386" s="210"/>
    </row>
    <row r="387" spans="1:10" ht="13.8" x14ac:dyDescent="0.25">
      <c r="A387" s="7" t="s">
        <v>2468</v>
      </c>
      <c r="B387" s="138" t="s">
        <v>4316</v>
      </c>
      <c r="C387" s="137" t="s">
        <v>2470</v>
      </c>
      <c r="D387" s="138">
        <v>1</v>
      </c>
      <c r="E387" s="138" t="s">
        <v>4315</v>
      </c>
      <c r="F387" s="139"/>
      <c r="G387" s="139">
        <f>G388</f>
        <v>615138000</v>
      </c>
      <c r="H387" s="210" t="b">
        <f t="shared" si="10"/>
        <v>1</v>
      </c>
      <c r="I387" s="210"/>
      <c r="J387" s="210"/>
    </row>
    <row r="388" spans="1:10" ht="13.8" x14ac:dyDescent="0.25">
      <c r="A388" s="7" t="s">
        <v>2739</v>
      </c>
      <c r="B388" s="58">
        <v>301</v>
      </c>
      <c r="C388" s="35" t="s">
        <v>2740</v>
      </c>
      <c r="D388" s="58"/>
      <c r="E388" s="58"/>
      <c r="F388" s="36"/>
      <c r="G388" s="36">
        <f>SUM(G389,G401,G415)</f>
        <v>615138000</v>
      </c>
      <c r="H388" s="210" t="b">
        <f t="shared" si="10"/>
        <v>1</v>
      </c>
      <c r="I388" s="210"/>
      <c r="J388" s="210"/>
    </row>
    <row r="389" spans="1:10" ht="13.8" x14ac:dyDescent="0.25">
      <c r="A389" s="7" t="s">
        <v>2741</v>
      </c>
      <c r="B389" s="59" t="s">
        <v>8</v>
      </c>
      <c r="C389" s="38" t="s">
        <v>129</v>
      </c>
      <c r="D389" s="59"/>
      <c r="E389" s="59"/>
      <c r="F389" s="39"/>
      <c r="G389" s="39">
        <f>SUM(G390,G394,G396,G399)</f>
        <v>101050000</v>
      </c>
      <c r="H389" s="210" t="b">
        <f t="shared" si="10"/>
        <v>1</v>
      </c>
      <c r="I389" s="210"/>
      <c r="J389" s="210"/>
    </row>
    <row r="390" spans="1:10" ht="13.8" x14ac:dyDescent="0.25">
      <c r="A390" s="7" t="s">
        <v>2742</v>
      </c>
      <c r="B390" s="60">
        <v>521211</v>
      </c>
      <c r="C390" s="41" t="s">
        <v>7</v>
      </c>
      <c r="D390" s="60"/>
      <c r="E390" s="60"/>
      <c r="F390" s="42"/>
      <c r="G390" s="42">
        <f>SUM(G391:G393)</f>
        <v>22650000</v>
      </c>
      <c r="H390" s="210" t="b">
        <f t="shared" si="10"/>
        <v>1</v>
      </c>
      <c r="I390" s="210"/>
      <c r="J390" s="210"/>
    </row>
    <row r="391" spans="1:10" ht="13.8" x14ac:dyDescent="0.25">
      <c r="A391" s="7" t="s">
        <v>2743</v>
      </c>
      <c r="B391" s="152"/>
      <c r="C391" s="151" t="s">
        <v>3598</v>
      </c>
      <c r="D391" s="152">
        <v>6</v>
      </c>
      <c r="E391" s="152" t="s">
        <v>9</v>
      </c>
      <c r="F391" s="153">
        <v>1500000</v>
      </c>
      <c r="G391" s="153">
        <f>ROUNDDOWN(D391*F391,-3)</f>
        <v>9000000</v>
      </c>
      <c r="H391" s="210" t="b">
        <f t="shared" si="10"/>
        <v>1</v>
      </c>
      <c r="I391" s="210"/>
      <c r="J391" s="210"/>
    </row>
    <row r="392" spans="1:10" ht="13.8" x14ac:dyDescent="0.25">
      <c r="A392" s="7" t="s">
        <v>2744</v>
      </c>
      <c r="B392" s="152"/>
      <c r="C392" s="151" t="s">
        <v>4420</v>
      </c>
      <c r="D392" s="152">
        <v>70</v>
      </c>
      <c r="E392" s="152" t="s">
        <v>10</v>
      </c>
      <c r="F392" s="153">
        <v>70000</v>
      </c>
      <c r="G392" s="153">
        <f>ROUNDDOWN(D392*F392,-3)</f>
        <v>4900000</v>
      </c>
      <c r="H392" s="210" t="b">
        <f t="shared" si="10"/>
        <v>1</v>
      </c>
      <c r="I392" s="210"/>
      <c r="J392" s="210"/>
    </row>
    <row r="393" spans="1:10" ht="13.8" x14ac:dyDescent="0.25">
      <c r="A393" s="7" t="s">
        <v>2746</v>
      </c>
      <c r="B393" s="152"/>
      <c r="C393" s="151" t="s">
        <v>4421</v>
      </c>
      <c r="D393" s="152">
        <v>25</v>
      </c>
      <c r="E393" s="152" t="s">
        <v>176</v>
      </c>
      <c r="F393" s="153">
        <v>350000</v>
      </c>
      <c r="G393" s="153">
        <f>ROUNDDOWN(D393*F393,-3)</f>
        <v>8750000</v>
      </c>
      <c r="H393" s="210" t="b">
        <f t="shared" si="10"/>
        <v>1</v>
      </c>
      <c r="I393" s="210"/>
      <c r="J393" s="210"/>
    </row>
    <row r="394" spans="1:10" ht="13.8" x14ac:dyDescent="0.25">
      <c r="A394" s="7" t="s">
        <v>2747</v>
      </c>
      <c r="B394" s="60">
        <v>521219</v>
      </c>
      <c r="C394" s="41" t="s">
        <v>53</v>
      </c>
      <c r="D394" s="60"/>
      <c r="E394" s="60"/>
      <c r="F394" s="42"/>
      <c r="G394" s="42">
        <f>G395</f>
        <v>1000000</v>
      </c>
      <c r="H394" s="210" t="b">
        <f t="shared" si="10"/>
        <v>1</v>
      </c>
      <c r="I394" s="210"/>
      <c r="J394" s="210"/>
    </row>
    <row r="395" spans="1:10" ht="13.8" x14ac:dyDescent="0.25">
      <c r="A395" s="7" t="s">
        <v>2748</v>
      </c>
      <c r="B395" s="152"/>
      <c r="C395" s="151" t="s">
        <v>3722</v>
      </c>
      <c r="D395" s="152">
        <v>4</v>
      </c>
      <c r="E395" s="152" t="s">
        <v>2749</v>
      </c>
      <c r="F395" s="153">
        <v>250000</v>
      </c>
      <c r="G395" s="153">
        <f>ROUNDDOWN(D395*F395,-3)</f>
        <v>1000000</v>
      </c>
      <c r="H395" s="210" t="b">
        <f t="shared" si="10"/>
        <v>1</v>
      </c>
      <c r="I395" s="210"/>
      <c r="J395" s="210"/>
    </row>
    <row r="396" spans="1:10" ht="13.8" x14ac:dyDescent="0.25">
      <c r="A396" s="7" t="s">
        <v>2750</v>
      </c>
      <c r="B396" s="60">
        <v>521811</v>
      </c>
      <c r="C396" s="41" t="s">
        <v>64</v>
      </c>
      <c r="D396" s="60"/>
      <c r="E396" s="60"/>
      <c r="F396" s="42"/>
      <c r="G396" s="42">
        <f>SUM(G397:G398)</f>
        <v>15000000</v>
      </c>
      <c r="H396" s="210" t="b">
        <f t="shared" si="10"/>
        <v>1</v>
      </c>
      <c r="I396" s="210"/>
      <c r="J396" s="210"/>
    </row>
    <row r="397" spans="1:10" ht="13.8" x14ac:dyDescent="0.25">
      <c r="A397" s="7" t="s">
        <v>2751</v>
      </c>
      <c r="B397" s="152"/>
      <c r="C397" s="151" t="s">
        <v>3625</v>
      </c>
      <c r="D397" s="152">
        <v>6</v>
      </c>
      <c r="E397" s="152" t="s">
        <v>106</v>
      </c>
      <c r="F397" s="153">
        <v>1000000</v>
      </c>
      <c r="G397" s="153">
        <f>ROUNDDOWN(D397*F397,-3)</f>
        <v>6000000</v>
      </c>
      <c r="H397" s="210" t="b">
        <f t="shared" si="10"/>
        <v>1</v>
      </c>
      <c r="I397" s="210"/>
      <c r="J397" s="210"/>
    </row>
    <row r="398" spans="1:10" ht="13.8" x14ac:dyDescent="0.25">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3.8" x14ac:dyDescent="0.25">
      <c r="A399" s="7" t="s">
        <v>2753</v>
      </c>
      <c r="B399" s="60">
        <v>524111</v>
      </c>
      <c r="C399" s="41" t="s">
        <v>19</v>
      </c>
      <c r="D399" s="60"/>
      <c r="E399" s="60"/>
      <c r="F399" s="42"/>
      <c r="G399" s="42">
        <f>G400</f>
        <v>62400000</v>
      </c>
      <c r="H399" s="210" t="b">
        <f t="shared" si="13"/>
        <v>1</v>
      </c>
      <c r="I399" s="210"/>
      <c r="J399" s="210"/>
    </row>
    <row r="400" spans="1:10" ht="13.8" x14ac:dyDescent="0.25">
      <c r="A400" s="7" t="s">
        <v>2754</v>
      </c>
      <c r="B400" s="152"/>
      <c r="C400" s="151" t="s">
        <v>4422</v>
      </c>
      <c r="D400" s="152">
        <v>12</v>
      </c>
      <c r="E400" s="152" t="s">
        <v>10</v>
      </c>
      <c r="F400" s="153">
        <v>5200000</v>
      </c>
      <c r="G400" s="153">
        <f>ROUNDDOWN(D400*F400,-3)</f>
        <v>62400000</v>
      </c>
      <c r="H400" s="210" t="b">
        <f t="shared" si="13"/>
        <v>1</v>
      </c>
      <c r="I400" s="210"/>
      <c r="J400" s="210"/>
    </row>
    <row r="401" spans="1:10" ht="13.8" x14ac:dyDescent="0.25">
      <c r="A401" s="7" t="s">
        <v>2756</v>
      </c>
      <c r="B401" s="59" t="s">
        <v>511</v>
      </c>
      <c r="C401" s="38" t="s">
        <v>130</v>
      </c>
      <c r="D401" s="59"/>
      <c r="E401" s="59"/>
      <c r="F401" s="39"/>
      <c r="G401" s="39">
        <f>SUM(G402,G406,G408,G411,G413)</f>
        <v>345988000</v>
      </c>
      <c r="H401" s="210" t="b">
        <f t="shared" si="13"/>
        <v>1</v>
      </c>
      <c r="I401" s="210"/>
      <c r="J401" s="210"/>
    </row>
    <row r="402" spans="1:10" ht="13.8" x14ac:dyDescent="0.25">
      <c r="A402" s="7" t="s">
        <v>2757</v>
      </c>
      <c r="B402" s="60">
        <v>521211</v>
      </c>
      <c r="C402" s="41" t="s">
        <v>7</v>
      </c>
      <c r="D402" s="60"/>
      <c r="E402" s="60"/>
      <c r="F402" s="42"/>
      <c r="G402" s="42">
        <f>SUM(G403:G405)</f>
        <v>49300000</v>
      </c>
      <c r="H402" s="210" t="b">
        <f t="shared" si="13"/>
        <v>1</v>
      </c>
      <c r="I402" s="210"/>
      <c r="J402" s="210"/>
    </row>
    <row r="403" spans="1:10" ht="13.8" x14ac:dyDescent="0.25">
      <c r="A403" s="7" t="s">
        <v>2758</v>
      </c>
      <c r="B403" s="152"/>
      <c r="C403" s="151" t="s">
        <v>3598</v>
      </c>
      <c r="D403" s="152">
        <v>10</v>
      </c>
      <c r="E403" s="152" t="s">
        <v>9</v>
      </c>
      <c r="F403" s="153">
        <v>1500000</v>
      </c>
      <c r="G403" s="153">
        <f>ROUNDDOWN(D403*F403,-3)</f>
        <v>15000000</v>
      </c>
      <c r="H403" s="210" t="b">
        <f t="shared" si="13"/>
        <v>1</v>
      </c>
      <c r="I403" s="210"/>
      <c r="J403" s="210"/>
    </row>
    <row r="404" spans="1:10" ht="13.8" x14ac:dyDescent="0.25">
      <c r="A404" s="7" t="s">
        <v>2759</v>
      </c>
      <c r="B404" s="152"/>
      <c r="C404" s="151" t="s">
        <v>4420</v>
      </c>
      <c r="D404" s="152">
        <v>290</v>
      </c>
      <c r="E404" s="152" t="s">
        <v>10</v>
      </c>
      <c r="F404" s="153">
        <v>70000</v>
      </c>
      <c r="G404" s="153">
        <f>ROUNDDOWN(D404*F404,-3)</f>
        <v>20300000</v>
      </c>
      <c r="H404" s="210" t="b">
        <f t="shared" si="13"/>
        <v>1</v>
      </c>
      <c r="I404" s="210"/>
      <c r="J404" s="210"/>
    </row>
    <row r="405" spans="1:10" ht="13.8" x14ac:dyDescent="0.25">
      <c r="A405" s="7" t="s">
        <v>2760</v>
      </c>
      <c r="B405" s="152"/>
      <c r="C405" s="151" t="s">
        <v>4421</v>
      </c>
      <c r="D405" s="152">
        <v>40</v>
      </c>
      <c r="E405" s="152" t="s">
        <v>176</v>
      </c>
      <c r="F405" s="153">
        <v>350000</v>
      </c>
      <c r="G405" s="153">
        <f>ROUNDDOWN(D405*F405,-3)</f>
        <v>14000000</v>
      </c>
      <c r="H405" s="210" t="b">
        <f t="shared" si="13"/>
        <v>1</v>
      </c>
      <c r="I405" s="210"/>
      <c r="J405" s="210"/>
    </row>
    <row r="406" spans="1:10" ht="13.8" x14ac:dyDescent="0.25">
      <c r="A406" s="7" t="s">
        <v>2761</v>
      </c>
      <c r="B406" s="60">
        <v>521219</v>
      </c>
      <c r="C406" s="41" t="s">
        <v>53</v>
      </c>
      <c r="D406" s="60"/>
      <c r="E406" s="60"/>
      <c r="F406" s="42"/>
      <c r="G406" s="42">
        <f>G407</f>
        <v>1000000</v>
      </c>
      <c r="H406" s="210" t="b">
        <f t="shared" si="13"/>
        <v>1</v>
      </c>
      <c r="I406" s="210"/>
      <c r="J406" s="210"/>
    </row>
    <row r="407" spans="1:10" ht="13.8" x14ac:dyDescent="0.25">
      <c r="A407" s="7" t="s">
        <v>2762</v>
      </c>
      <c r="B407" s="152"/>
      <c r="C407" s="151" t="s">
        <v>3722</v>
      </c>
      <c r="D407" s="152">
        <v>4</v>
      </c>
      <c r="E407" s="152" t="s">
        <v>9</v>
      </c>
      <c r="F407" s="153">
        <v>250000</v>
      </c>
      <c r="G407" s="153">
        <f>ROUNDDOWN(D407*F407,-3)</f>
        <v>1000000</v>
      </c>
      <c r="H407" s="210" t="b">
        <f t="shared" si="13"/>
        <v>1</v>
      </c>
      <c r="I407" s="210"/>
      <c r="J407" s="210"/>
    </row>
    <row r="408" spans="1:10" ht="13.8" x14ac:dyDescent="0.25">
      <c r="A408" s="7" t="s">
        <v>2763</v>
      </c>
      <c r="B408" s="60">
        <v>521811</v>
      </c>
      <c r="C408" s="41" t="s">
        <v>64</v>
      </c>
      <c r="D408" s="60"/>
      <c r="E408" s="60"/>
      <c r="F408" s="42"/>
      <c r="G408" s="42">
        <f>SUM(G409:G410)</f>
        <v>25000000</v>
      </c>
      <c r="H408" s="210" t="b">
        <f t="shared" si="13"/>
        <v>1</v>
      </c>
      <c r="I408" s="210"/>
      <c r="J408" s="210"/>
    </row>
    <row r="409" spans="1:10" ht="13.8" x14ac:dyDescent="0.25">
      <c r="A409" s="7" t="s">
        <v>2764</v>
      </c>
      <c r="B409" s="152"/>
      <c r="C409" s="151" t="s">
        <v>3625</v>
      </c>
      <c r="D409" s="152">
        <v>10</v>
      </c>
      <c r="E409" s="152" t="s">
        <v>106</v>
      </c>
      <c r="F409" s="153">
        <v>1000000</v>
      </c>
      <c r="G409" s="153">
        <f>ROUNDDOWN(D409*F409,-3)</f>
        <v>10000000</v>
      </c>
      <c r="H409" s="210" t="b">
        <f t="shared" si="13"/>
        <v>1</v>
      </c>
      <c r="I409" s="210"/>
      <c r="J409" s="210"/>
    </row>
    <row r="410" spans="1:10" ht="13.8" x14ac:dyDescent="0.25">
      <c r="A410" s="7" t="s">
        <v>2765</v>
      </c>
      <c r="B410" s="152"/>
      <c r="C410" s="151" t="s">
        <v>3626</v>
      </c>
      <c r="D410" s="152">
        <v>10</v>
      </c>
      <c r="E410" s="152" t="s">
        <v>106</v>
      </c>
      <c r="F410" s="153">
        <v>1500000</v>
      </c>
      <c r="G410" s="153">
        <f>ROUNDDOWN(D410*F410,-3)</f>
        <v>15000000</v>
      </c>
      <c r="H410" s="210" t="b">
        <f t="shared" si="13"/>
        <v>1</v>
      </c>
      <c r="I410" s="210"/>
      <c r="J410" s="210"/>
    </row>
    <row r="411" spans="1:10" ht="13.8" x14ac:dyDescent="0.25">
      <c r="A411" s="7" t="s">
        <v>2766</v>
      </c>
      <c r="B411" s="60">
        <v>522151</v>
      </c>
      <c r="C411" s="41" t="s">
        <v>11</v>
      </c>
      <c r="D411" s="60"/>
      <c r="E411" s="60"/>
      <c r="F411" s="42"/>
      <c r="G411" s="42">
        <f>G412</f>
        <v>12000000</v>
      </c>
      <c r="H411" s="210" t="b">
        <f t="shared" si="13"/>
        <v>1</v>
      </c>
      <c r="I411" s="210"/>
      <c r="J411" s="210"/>
    </row>
    <row r="412" spans="1:10" ht="13.8" x14ac:dyDescent="0.25">
      <c r="A412" s="7" t="s">
        <v>2767</v>
      </c>
      <c r="B412" s="152"/>
      <c r="C412" s="151" t="s">
        <v>3715</v>
      </c>
      <c r="D412" s="152">
        <v>12</v>
      </c>
      <c r="E412" s="152" t="s">
        <v>54</v>
      </c>
      <c r="F412" s="153">
        <v>1000000</v>
      </c>
      <c r="G412" s="153">
        <f>ROUNDDOWN(D412*F412,-3)</f>
        <v>12000000</v>
      </c>
      <c r="H412" s="210" t="b">
        <f t="shared" si="13"/>
        <v>1</v>
      </c>
      <c r="I412" s="210"/>
      <c r="J412" s="210"/>
    </row>
    <row r="413" spans="1:10" ht="13.8" x14ac:dyDescent="0.25">
      <c r="A413" s="7" t="s">
        <v>2768</v>
      </c>
      <c r="B413" s="60">
        <v>524111</v>
      </c>
      <c r="C413" s="41" t="s">
        <v>19</v>
      </c>
      <c r="D413" s="60"/>
      <c r="E413" s="60"/>
      <c r="F413" s="42"/>
      <c r="G413" s="42">
        <f>G414</f>
        <v>258688000</v>
      </c>
      <c r="H413" s="210" t="b">
        <f t="shared" si="13"/>
        <v>1</v>
      </c>
      <c r="I413" s="210"/>
      <c r="J413" s="210"/>
    </row>
    <row r="414" spans="1:10" ht="13.8" x14ac:dyDescent="0.25">
      <c r="A414" s="7" t="s">
        <v>2769</v>
      </c>
      <c r="B414" s="152"/>
      <c r="C414" s="151" t="s">
        <v>4423</v>
      </c>
      <c r="D414" s="152">
        <v>40</v>
      </c>
      <c r="E414" s="152" t="s">
        <v>10</v>
      </c>
      <c r="F414" s="153">
        <v>6467200</v>
      </c>
      <c r="G414" s="153">
        <f>ROUNDDOWN(D414*F414,-3)</f>
        <v>258688000</v>
      </c>
      <c r="H414" s="210" t="b">
        <f t="shared" si="13"/>
        <v>1</v>
      </c>
      <c r="I414" s="210"/>
      <c r="J414" s="210"/>
    </row>
    <row r="415" spans="1:10" ht="13.8" x14ac:dyDescent="0.25">
      <c r="A415" s="7" t="s">
        <v>2771</v>
      </c>
      <c r="B415" s="59" t="s">
        <v>512</v>
      </c>
      <c r="C415" s="38" t="s">
        <v>131</v>
      </c>
      <c r="D415" s="59"/>
      <c r="E415" s="59"/>
      <c r="F415" s="39"/>
      <c r="G415" s="39">
        <f>SUM(G416,G420,G423,G425)</f>
        <v>168100000</v>
      </c>
      <c r="H415" s="210" t="b">
        <f t="shared" si="13"/>
        <v>1</v>
      </c>
      <c r="I415" s="210"/>
      <c r="J415" s="210"/>
    </row>
    <row r="416" spans="1:10" ht="13.8" x14ac:dyDescent="0.25">
      <c r="A416" s="7" t="s">
        <v>2772</v>
      </c>
      <c r="B416" s="60">
        <v>521211</v>
      </c>
      <c r="C416" s="41" t="s">
        <v>7</v>
      </c>
      <c r="D416" s="60"/>
      <c r="E416" s="60"/>
      <c r="F416" s="42"/>
      <c r="G416" s="42">
        <f>SUM(G417:G419)</f>
        <v>39500000</v>
      </c>
      <c r="H416" s="210" t="b">
        <f t="shared" si="13"/>
        <v>1</v>
      </c>
      <c r="I416" s="210"/>
      <c r="J416" s="210"/>
    </row>
    <row r="417" spans="1:10" ht="13.8" x14ac:dyDescent="0.25">
      <c r="A417" s="7" t="s">
        <v>2773</v>
      </c>
      <c r="B417" s="152"/>
      <c r="C417" s="151" t="s">
        <v>3598</v>
      </c>
      <c r="D417" s="152">
        <v>10</v>
      </c>
      <c r="E417" s="152" t="s">
        <v>9</v>
      </c>
      <c r="F417" s="153">
        <v>1500000</v>
      </c>
      <c r="G417" s="153">
        <f>ROUNDDOWN(D417*F417,-3)</f>
        <v>15000000</v>
      </c>
      <c r="H417" s="210" t="b">
        <f t="shared" si="13"/>
        <v>1</v>
      </c>
      <c r="I417" s="210"/>
      <c r="J417" s="210"/>
    </row>
    <row r="418" spans="1:10" ht="13.8" x14ac:dyDescent="0.25">
      <c r="A418" s="7" t="s">
        <v>2774</v>
      </c>
      <c r="B418" s="152"/>
      <c r="C418" s="151" t="s">
        <v>4420</v>
      </c>
      <c r="D418" s="152">
        <v>150</v>
      </c>
      <c r="E418" s="152" t="s">
        <v>10</v>
      </c>
      <c r="F418" s="153">
        <v>70000</v>
      </c>
      <c r="G418" s="153">
        <f>ROUNDDOWN(D418*F418,-3)</f>
        <v>10500000</v>
      </c>
      <c r="H418" s="210" t="b">
        <f t="shared" si="13"/>
        <v>1</v>
      </c>
      <c r="I418" s="210"/>
      <c r="J418" s="210"/>
    </row>
    <row r="419" spans="1:10" ht="13.8" x14ac:dyDescent="0.25">
      <c r="A419" s="7" t="s">
        <v>2775</v>
      </c>
      <c r="B419" s="152"/>
      <c r="C419" s="151" t="s">
        <v>4421</v>
      </c>
      <c r="D419" s="152">
        <v>40</v>
      </c>
      <c r="E419" s="152" t="s">
        <v>176</v>
      </c>
      <c r="F419" s="153">
        <v>350000</v>
      </c>
      <c r="G419" s="153">
        <f>ROUNDDOWN(D419*F419,-3)</f>
        <v>14000000</v>
      </c>
      <c r="H419" s="210" t="b">
        <f t="shared" si="13"/>
        <v>1</v>
      </c>
      <c r="I419" s="210"/>
      <c r="J419" s="210"/>
    </row>
    <row r="420" spans="1:10" ht="13.8" x14ac:dyDescent="0.25">
      <c r="A420" s="7" t="s">
        <v>2776</v>
      </c>
      <c r="B420" s="60">
        <v>521811</v>
      </c>
      <c r="C420" s="41" t="s">
        <v>64</v>
      </c>
      <c r="D420" s="60"/>
      <c r="E420" s="60"/>
      <c r="F420" s="42"/>
      <c r="G420" s="42">
        <f>SUM(G421:G422)</f>
        <v>25000000</v>
      </c>
      <c r="H420" s="210" t="b">
        <f t="shared" si="13"/>
        <v>1</v>
      </c>
      <c r="I420" s="210"/>
      <c r="J420" s="210"/>
    </row>
    <row r="421" spans="1:10" ht="13.8" x14ac:dyDescent="0.25">
      <c r="A421" s="7" t="s">
        <v>2777</v>
      </c>
      <c r="B421" s="152"/>
      <c r="C421" s="151" t="s">
        <v>3625</v>
      </c>
      <c r="D421" s="152">
        <v>10</v>
      </c>
      <c r="E421" s="152" t="s">
        <v>106</v>
      </c>
      <c r="F421" s="153">
        <v>1000000</v>
      </c>
      <c r="G421" s="153">
        <f>ROUNDDOWN(D421*F421,-3)</f>
        <v>10000000</v>
      </c>
      <c r="H421" s="210" t="b">
        <f t="shared" si="13"/>
        <v>1</v>
      </c>
      <c r="I421" s="210"/>
      <c r="J421" s="210"/>
    </row>
    <row r="422" spans="1:10" ht="13.8" x14ac:dyDescent="0.25">
      <c r="A422" s="7" t="s">
        <v>2778</v>
      </c>
      <c r="B422" s="152"/>
      <c r="C422" s="151" t="s">
        <v>3626</v>
      </c>
      <c r="D422" s="152">
        <v>10</v>
      </c>
      <c r="E422" s="152" t="s">
        <v>106</v>
      </c>
      <c r="F422" s="153">
        <v>1500000</v>
      </c>
      <c r="G422" s="153">
        <f>ROUNDDOWN(D422*F422,-3)</f>
        <v>15000000</v>
      </c>
      <c r="H422" s="210" t="b">
        <f t="shared" si="13"/>
        <v>1</v>
      </c>
      <c r="I422" s="210"/>
      <c r="J422" s="210"/>
    </row>
    <row r="423" spans="1:10" ht="13.8" x14ac:dyDescent="0.25">
      <c r="A423" s="7" t="s">
        <v>2779</v>
      </c>
      <c r="B423" s="60">
        <v>522151</v>
      </c>
      <c r="C423" s="41" t="s">
        <v>11</v>
      </c>
      <c r="D423" s="60"/>
      <c r="E423" s="60"/>
      <c r="F423" s="42"/>
      <c r="G423" s="42">
        <f>G424</f>
        <v>10000000</v>
      </c>
      <c r="H423" s="210" t="b">
        <f t="shared" si="13"/>
        <v>1</v>
      </c>
      <c r="I423" s="210"/>
      <c r="J423" s="210"/>
    </row>
    <row r="424" spans="1:10" ht="13.8" x14ac:dyDescent="0.25">
      <c r="A424" s="7" t="s">
        <v>2780</v>
      </c>
      <c r="B424" s="152"/>
      <c r="C424" s="151" t="s">
        <v>3715</v>
      </c>
      <c r="D424" s="152">
        <v>10</v>
      </c>
      <c r="E424" s="152" t="s">
        <v>54</v>
      </c>
      <c r="F424" s="153">
        <v>1000000</v>
      </c>
      <c r="G424" s="153">
        <f>ROUNDDOWN(D424*F424,-3)</f>
        <v>10000000</v>
      </c>
      <c r="H424" s="210" t="b">
        <f t="shared" si="13"/>
        <v>1</v>
      </c>
      <c r="I424" s="210"/>
      <c r="J424" s="210"/>
    </row>
    <row r="425" spans="1:10" ht="13.8" x14ac:dyDescent="0.25">
      <c r="A425" s="7" t="s">
        <v>2781</v>
      </c>
      <c r="B425" s="60">
        <v>524111</v>
      </c>
      <c r="C425" s="41" t="s">
        <v>19</v>
      </c>
      <c r="D425" s="60"/>
      <c r="E425" s="60"/>
      <c r="F425" s="42"/>
      <c r="G425" s="42">
        <f>G426</f>
        <v>93600000</v>
      </c>
      <c r="H425" s="210" t="b">
        <f t="shared" si="13"/>
        <v>1</v>
      </c>
      <c r="I425" s="210"/>
      <c r="J425" s="210"/>
    </row>
    <row r="426" spans="1:10" ht="13.8" x14ac:dyDescent="0.25">
      <c r="A426" s="7" t="s">
        <v>2782</v>
      </c>
      <c r="B426" s="152"/>
      <c r="C426" s="151" t="s">
        <v>4424</v>
      </c>
      <c r="D426" s="152">
        <v>18</v>
      </c>
      <c r="E426" s="152" t="s">
        <v>10</v>
      </c>
      <c r="F426" s="153">
        <v>5200000</v>
      </c>
      <c r="G426" s="153">
        <f>ROUNDDOWN(D426*F426,-3)</f>
        <v>93600000</v>
      </c>
      <c r="H426" s="210" t="b">
        <f t="shared" si="13"/>
        <v>1</v>
      </c>
      <c r="I426" s="210"/>
      <c r="J426" s="210"/>
    </row>
    <row r="427" spans="1:10" ht="13.8" x14ac:dyDescent="0.25">
      <c r="A427" s="7" t="s">
        <v>2784</v>
      </c>
      <c r="B427" s="138" t="s">
        <v>4425</v>
      </c>
      <c r="C427" s="137" t="s">
        <v>2786</v>
      </c>
      <c r="D427" s="138">
        <v>2</v>
      </c>
      <c r="E427" s="138" t="s">
        <v>4315</v>
      </c>
      <c r="F427" s="139"/>
      <c r="G427" s="139">
        <f>SUM(G428,G457)</f>
        <v>633732000</v>
      </c>
      <c r="H427" s="210" t="b">
        <f t="shared" si="13"/>
        <v>1</v>
      </c>
      <c r="I427" s="210"/>
      <c r="J427" s="210"/>
    </row>
    <row r="428" spans="1:10" ht="13.8" x14ac:dyDescent="0.25">
      <c r="A428" s="7" t="s">
        <v>3052</v>
      </c>
      <c r="B428" s="58">
        <v>301</v>
      </c>
      <c r="C428" s="35" t="s">
        <v>3053</v>
      </c>
      <c r="D428" s="58"/>
      <c r="E428" s="58"/>
      <c r="F428" s="36"/>
      <c r="G428" s="36">
        <f>SUM(G429,G440)</f>
        <v>507200000</v>
      </c>
      <c r="H428" s="210" t="b">
        <f t="shared" si="13"/>
        <v>1</v>
      </c>
      <c r="I428" s="210"/>
      <c r="J428" s="210"/>
    </row>
    <row r="429" spans="1:10" ht="13.8" x14ac:dyDescent="0.25">
      <c r="A429" s="7" t="s">
        <v>3054</v>
      </c>
      <c r="B429" s="59" t="s">
        <v>8</v>
      </c>
      <c r="C429" s="38" t="s">
        <v>174</v>
      </c>
      <c r="D429" s="59"/>
      <c r="E429" s="59"/>
      <c r="F429" s="39"/>
      <c r="G429" s="39">
        <f>SUM(G430,G436,G438)</f>
        <v>295200000</v>
      </c>
      <c r="H429" s="210" t="b">
        <f t="shared" si="13"/>
        <v>1</v>
      </c>
      <c r="I429" s="210"/>
      <c r="J429" s="210"/>
    </row>
    <row r="430" spans="1:10" ht="13.8" x14ac:dyDescent="0.25">
      <c r="A430" s="7" t="s">
        <v>3055</v>
      </c>
      <c r="B430" s="60">
        <v>521211</v>
      </c>
      <c r="C430" s="41" t="s">
        <v>7</v>
      </c>
      <c r="D430" s="60"/>
      <c r="E430" s="60"/>
      <c r="F430" s="42"/>
      <c r="G430" s="42">
        <f>SUM(G431:G435)</f>
        <v>46000000</v>
      </c>
      <c r="H430" s="210" t="b">
        <f t="shared" si="13"/>
        <v>1</v>
      </c>
      <c r="I430" s="210"/>
      <c r="J430" s="210"/>
    </row>
    <row r="431" spans="1:10" ht="13.8" x14ac:dyDescent="0.25">
      <c r="A431" s="7" t="s">
        <v>3056</v>
      </c>
      <c r="B431" s="152"/>
      <c r="C431" s="151" t="s">
        <v>3598</v>
      </c>
      <c r="D431" s="152">
        <v>5</v>
      </c>
      <c r="E431" s="152" t="s">
        <v>9</v>
      </c>
      <c r="F431" s="153">
        <v>1500000</v>
      </c>
      <c r="G431" s="153">
        <f>ROUNDDOWN(D431*F431,-3)</f>
        <v>7500000</v>
      </c>
      <c r="H431" s="210" t="b">
        <f t="shared" si="13"/>
        <v>1</v>
      </c>
      <c r="I431" s="210"/>
      <c r="J431" s="210"/>
    </row>
    <row r="432" spans="1:10" ht="13.8" x14ac:dyDescent="0.25">
      <c r="A432" s="7" t="s">
        <v>3057</v>
      </c>
      <c r="B432" s="152"/>
      <c r="C432" s="151" t="s">
        <v>4420</v>
      </c>
      <c r="D432" s="152">
        <v>280</v>
      </c>
      <c r="E432" s="152" t="s">
        <v>10</v>
      </c>
      <c r="F432" s="153">
        <v>75000</v>
      </c>
      <c r="G432" s="153">
        <f>ROUNDDOWN(D432*F432,-3)</f>
        <v>21000000</v>
      </c>
      <c r="H432" s="210" t="b">
        <f t="shared" si="13"/>
        <v>1</v>
      </c>
      <c r="I432" s="210"/>
      <c r="J432" s="210"/>
    </row>
    <row r="433" spans="1:10" ht="13.8" x14ac:dyDescent="0.25">
      <c r="A433" s="7" t="s">
        <v>3058</v>
      </c>
      <c r="B433" s="152"/>
      <c r="C433" s="151" t="s">
        <v>4421</v>
      </c>
      <c r="D433" s="152">
        <v>30</v>
      </c>
      <c r="E433" s="152" t="s">
        <v>176</v>
      </c>
      <c r="F433" s="153">
        <v>250000</v>
      </c>
      <c r="G433" s="153">
        <f>ROUNDDOWN(D433*F433,-3)</f>
        <v>7500000</v>
      </c>
      <c r="H433" s="210" t="b">
        <f t="shared" si="13"/>
        <v>1</v>
      </c>
      <c r="I433" s="210"/>
      <c r="J433" s="210"/>
    </row>
    <row r="434" spans="1:10" ht="13.8" x14ac:dyDescent="0.25">
      <c r="A434" s="7" t="s">
        <v>3059</v>
      </c>
      <c r="B434" s="152"/>
      <c r="C434" s="151" t="s">
        <v>3610</v>
      </c>
      <c r="D434" s="152">
        <v>4</v>
      </c>
      <c r="E434" s="152" t="s">
        <v>106</v>
      </c>
      <c r="F434" s="153">
        <v>1000000</v>
      </c>
      <c r="G434" s="153">
        <f>ROUNDDOWN(D434*F434,-3)</f>
        <v>4000000</v>
      </c>
      <c r="H434" s="210" t="b">
        <f t="shared" si="13"/>
        <v>1</v>
      </c>
      <c r="I434" s="210"/>
      <c r="J434" s="210"/>
    </row>
    <row r="435" spans="1:10" ht="13.8" x14ac:dyDescent="0.25">
      <c r="A435" s="7" t="s">
        <v>3060</v>
      </c>
      <c r="B435" s="152"/>
      <c r="C435" s="151" t="s">
        <v>3611</v>
      </c>
      <c r="D435" s="152">
        <v>4</v>
      </c>
      <c r="E435" s="152" t="s">
        <v>106</v>
      </c>
      <c r="F435" s="153">
        <v>1500000</v>
      </c>
      <c r="G435" s="153">
        <f>ROUNDDOWN(D435*F435,-3)</f>
        <v>6000000</v>
      </c>
      <c r="H435" s="210" t="b">
        <f t="shared" si="13"/>
        <v>1</v>
      </c>
      <c r="I435" s="210"/>
      <c r="J435" s="210"/>
    </row>
    <row r="436" spans="1:10" ht="13.8" x14ac:dyDescent="0.25">
      <c r="A436" s="7" t="s">
        <v>3061</v>
      </c>
      <c r="B436" s="60">
        <v>521219</v>
      </c>
      <c r="C436" s="41" t="s">
        <v>53</v>
      </c>
      <c r="D436" s="60"/>
      <c r="E436" s="60"/>
      <c r="F436" s="42"/>
      <c r="G436" s="42">
        <f>G437</f>
        <v>2000000</v>
      </c>
      <c r="H436" s="210" t="b">
        <f t="shared" si="13"/>
        <v>1</v>
      </c>
      <c r="I436" s="210"/>
      <c r="J436" s="210"/>
    </row>
    <row r="437" spans="1:10" ht="13.8" x14ac:dyDescent="0.25">
      <c r="A437" s="7" t="s">
        <v>3062</v>
      </c>
      <c r="B437" s="152"/>
      <c r="C437" s="151" t="s">
        <v>4508</v>
      </c>
      <c r="D437" s="152">
        <v>1</v>
      </c>
      <c r="E437" s="152" t="s">
        <v>153</v>
      </c>
      <c r="F437" s="153">
        <v>2000000</v>
      </c>
      <c r="G437" s="153">
        <f>ROUNDDOWN(D437*F437,-3)</f>
        <v>2000000</v>
      </c>
      <c r="H437" s="210" t="b">
        <f t="shared" si="13"/>
        <v>1</v>
      </c>
      <c r="I437" s="210"/>
      <c r="J437" s="210"/>
    </row>
    <row r="438" spans="1:10" ht="13.8" x14ac:dyDescent="0.25">
      <c r="A438" s="7" t="s">
        <v>3064</v>
      </c>
      <c r="B438" s="60">
        <v>524111</v>
      </c>
      <c r="C438" s="41" t="s">
        <v>19</v>
      </c>
      <c r="D438" s="60"/>
      <c r="E438" s="60"/>
      <c r="F438" s="42"/>
      <c r="G438" s="42">
        <f>G439</f>
        <v>247200000</v>
      </c>
      <c r="H438" s="210" t="b">
        <f t="shared" si="13"/>
        <v>1</v>
      </c>
      <c r="I438" s="210"/>
      <c r="J438" s="210"/>
    </row>
    <row r="439" spans="1:10" ht="13.8" x14ac:dyDescent="0.25">
      <c r="A439" s="7" t="s">
        <v>3065</v>
      </c>
      <c r="B439" s="152"/>
      <c r="C439" s="151" t="s">
        <v>4509</v>
      </c>
      <c r="D439" s="152">
        <v>40</v>
      </c>
      <c r="E439" s="152" t="s">
        <v>10</v>
      </c>
      <c r="F439" s="153">
        <v>6180000</v>
      </c>
      <c r="G439" s="153">
        <f>ROUNDDOWN(D439*F439,-3)</f>
        <v>247200000</v>
      </c>
      <c r="H439" s="210" t="b">
        <f t="shared" si="13"/>
        <v>1</v>
      </c>
      <c r="I439" s="210"/>
      <c r="J439" s="210"/>
    </row>
    <row r="440" spans="1:10" ht="13.8" x14ac:dyDescent="0.25">
      <c r="A440" s="7" t="s">
        <v>3067</v>
      </c>
      <c r="B440" s="59" t="s">
        <v>511</v>
      </c>
      <c r="C440" s="38" t="s">
        <v>175</v>
      </c>
      <c r="D440" s="59"/>
      <c r="E440" s="59"/>
      <c r="F440" s="39"/>
      <c r="G440" s="39">
        <f>SUM(G441,G448,G451,G453,G455)</f>
        <v>212000000</v>
      </c>
      <c r="H440" s="210" t="b">
        <f t="shared" si="13"/>
        <v>1</v>
      </c>
      <c r="I440" s="210"/>
      <c r="J440" s="210"/>
    </row>
    <row r="441" spans="1:10" ht="13.8" x14ac:dyDescent="0.25">
      <c r="A441" s="7" t="s">
        <v>3068</v>
      </c>
      <c r="B441" s="60">
        <v>521211</v>
      </c>
      <c r="C441" s="41" t="s">
        <v>7</v>
      </c>
      <c r="D441" s="60"/>
      <c r="E441" s="60"/>
      <c r="F441" s="42"/>
      <c r="G441" s="42">
        <f>SUM(G442:G447)</f>
        <v>41000000</v>
      </c>
      <c r="H441" s="210" t="b">
        <f t="shared" si="13"/>
        <v>1</v>
      </c>
      <c r="I441" s="210"/>
      <c r="J441" s="210"/>
    </row>
    <row r="442" spans="1:10" ht="13.8" x14ac:dyDescent="0.25">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3.8" x14ac:dyDescent="0.25">
      <c r="A443" s="7" t="s">
        <v>3070</v>
      </c>
      <c r="B443" s="152"/>
      <c r="C443" s="151" t="s">
        <v>4420</v>
      </c>
      <c r="D443" s="152">
        <v>180</v>
      </c>
      <c r="E443" s="152" t="s">
        <v>10</v>
      </c>
      <c r="F443" s="153">
        <v>75000</v>
      </c>
      <c r="G443" s="153">
        <f t="shared" si="14"/>
        <v>13500000</v>
      </c>
      <c r="H443" s="210" t="b">
        <f t="shared" si="13"/>
        <v>1</v>
      </c>
      <c r="I443" s="210"/>
      <c r="J443" s="210"/>
    </row>
    <row r="444" spans="1:10" ht="13.8" x14ac:dyDescent="0.25">
      <c r="A444" s="7" t="s">
        <v>3071</v>
      </c>
      <c r="B444" s="152"/>
      <c r="C444" s="151" t="s">
        <v>4510</v>
      </c>
      <c r="D444" s="152">
        <v>15</v>
      </c>
      <c r="E444" s="152" t="s">
        <v>176</v>
      </c>
      <c r="F444" s="153">
        <v>500000</v>
      </c>
      <c r="G444" s="153">
        <f t="shared" si="14"/>
        <v>7500000</v>
      </c>
      <c r="H444" s="210" t="b">
        <f t="shared" si="13"/>
        <v>1</v>
      </c>
      <c r="I444" s="210"/>
      <c r="J444" s="210"/>
    </row>
    <row r="445" spans="1:10" ht="13.8" x14ac:dyDescent="0.25">
      <c r="A445" s="7" t="s">
        <v>3073</v>
      </c>
      <c r="B445" s="152"/>
      <c r="C445" s="151" t="s">
        <v>3610</v>
      </c>
      <c r="D445" s="152">
        <v>4</v>
      </c>
      <c r="E445" s="152" t="s">
        <v>106</v>
      </c>
      <c r="F445" s="153">
        <v>1000000</v>
      </c>
      <c r="G445" s="153">
        <f t="shared" si="14"/>
        <v>4000000</v>
      </c>
      <c r="H445" s="210" t="b">
        <f t="shared" si="13"/>
        <v>1</v>
      </c>
      <c r="I445" s="210"/>
      <c r="J445" s="210"/>
    </row>
    <row r="446" spans="1:10" ht="13.8" x14ac:dyDescent="0.25">
      <c r="A446" s="7" t="s">
        <v>3074</v>
      </c>
      <c r="B446" s="152"/>
      <c r="C446" s="151" t="s">
        <v>3611</v>
      </c>
      <c r="D446" s="152">
        <v>4</v>
      </c>
      <c r="E446" s="152" t="s">
        <v>106</v>
      </c>
      <c r="F446" s="153">
        <v>1500000</v>
      </c>
      <c r="G446" s="153">
        <f t="shared" si="14"/>
        <v>6000000</v>
      </c>
      <c r="H446" s="210" t="b">
        <f t="shared" si="13"/>
        <v>1</v>
      </c>
      <c r="I446" s="210"/>
      <c r="J446" s="210"/>
    </row>
    <row r="447" spans="1:10" ht="13.8" x14ac:dyDescent="0.25">
      <c r="A447" s="7" t="s">
        <v>3075</v>
      </c>
      <c r="B447" s="152"/>
      <c r="C447" s="151" t="s">
        <v>4511</v>
      </c>
      <c r="D447" s="152">
        <v>8</v>
      </c>
      <c r="E447" s="152" t="s">
        <v>58</v>
      </c>
      <c r="F447" s="153">
        <v>500000</v>
      </c>
      <c r="G447" s="153">
        <f t="shared" si="14"/>
        <v>4000000</v>
      </c>
      <c r="H447" s="210" t="b">
        <f t="shared" si="13"/>
        <v>1</v>
      </c>
      <c r="I447" s="210"/>
      <c r="J447" s="210"/>
    </row>
    <row r="448" spans="1:10" ht="13.8" x14ac:dyDescent="0.25">
      <c r="A448" s="7" t="s">
        <v>3077</v>
      </c>
      <c r="B448" s="60">
        <v>521219</v>
      </c>
      <c r="C448" s="41" t="s">
        <v>53</v>
      </c>
      <c r="D448" s="60"/>
      <c r="E448" s="60"/>
      <c r="F448" s="42"/>
      <c r="G448" s="42">
        <f>SUM(G449:G450)</f>
        <v>32000000</v>
      </c>
      <c r="H448" s="210" t="b">
        <f t="shared" si="13"/>
        <v>1</v>
      </c>
      <c r="I448" s="210"/>
      <c r="J448" s="210"/>
    </row>
    <row r="449" spans="1:10" ht="13.8" x14ac:dyDescent="0.25">
      <c r="A449" s="7" t="s">
        <v>3078</v>
      </c>
      <c r="B449" s="152"/>
      <c r="C449" s="151" t="s">
        <v>4512</v>
      </c>
      <c r="D449" s="152">
        <v>2</v>
      </c>
      <c r="E449" s="152" t="s">
        <v>177</v>
      </c>
      <c r="F449" s="153">
        <v>15000000</v>
      </c>
      <c r="G449" s="153">
        <f>ROUNDDOWN(D449*F449,-3)</f>
        <v>30000000</v>
      </c>
      <c r="H449" s="210" t="b">
        <f t="shared" si="13"/>
        <v>1</v>
      </c>
      <c r="I449" s="210"/>
      <c r="J449" s="210"/>
    </row>
    <row r="450" spans="1:10" ht="13.8" x14ac:dyDescent="0.25">
      <c r="A450" s="7" t="s">
        <v>3080</v>
      </c>
      <c r="B450" s="152"/>
      <c r="C450" s="151" t="s">
        <v>4513</v>
      </c>
      <c r="D450" s="152">
        <v>1</v>
      </c>
      <c r="E450" s="152" t="s">
        <v>60</v>
      </c>
      <c r="F450" s="153">
        <v>2000000</v>
      </c>
      <c r="G450" s="153">
        <f>ROUNDDOWN(D450*F450,-3)</f>
        <v>2000000</v>
      </c>
      <c r="H450" s="210" t="b">
        <f t="shared" si="13"/>
        <v>1</v>
      </c>
      <c r="I450" s="210"/>
      <c r="J450" s="210"/>
    </row>
    <row r="451" spans="1:10" ht="13.8" x14ac:dyDescent="0.25">
      <c r="A451" s="7" t="s">
        <v>3082</v>
      </c>
      <c r="B451" s="60">
        <v>522151</v>
      </c>
      <c r="C451" s="41" t="s">
        <v>11</v>
      </c>
      <c r="D451" s="60"/>
      <c r="E451" s="60"/>
      <c r="F451" s="42"/>
      <c r="G451" s="42">
        <f>G452</f>
        <v>10000000</v>
      </c>
      <c r="H451" s="210" t="b">
        <f t="shared" si="13"/>
        <v>1</v>
      </c>
      <c r="I451" s="210"/>
      <c r="J451" s="210"/>
    </row>
    <row r="452" spans="1:10" ht="13.8" x14ac:dyDescent="0.25">
      <c r="A452" s="7" t="s">
        <v>3083</v>
      </c>
      <c r="B452" s="152"/>
      <c r="C452" s="151" t="s">
        <v>3715</v>
      </c>
      <c r="D452" s="152">
        <v>10</v>
      </c>
      <c r="E452" s="152" t="s">
        <v>54</v>
      </c>
      <c r="F452" s="153">
        <v>1000000</v>
      </c>
      <c r="G452" s="153">
        <f>ROUNDDOWN(D452*F452,-3)</f>
        <v>10000000</v>
      </c>
      <c r="H452" s="210" t="b">
        <f t="shared" si="13"/>
        <v>1</v>
      </c>
      <c r="I452" s="210"/>
      <c r="J452" s="210"/>
    </row>
    <row r="453" spans="1:10" ht="13.8" x14ac:dyDescent="0.25">
      <c r="A453" s="7" t="s">
        <v>3084</v>
      </c>
      <c r="B453" s="60">
        <v>524111</v>
      </c>
      <c r="C453" s="41" t="s">
        <v>19</v>
      </c>
      <c r="D453" s="60"/>
      <c r="E453" s="60"/>
      <c r="F453" s="42"/>
      <c r="G453" s="42">
        <f>G454</f>
        <v>120000000</v>
      </c>
      <c r="H453" s="210" t="b">
        <f t="shared" si="13"/>
        <v>1</v>
      </c>
      <c r="I453" s="210"/>
      <c r="J453" s="210"/>
    </row>
    <row r="454" spans="1:10" ht="13.8" x14ac:dyDescent="0.25">
      <c r="A454" s="7" t="s">
        <v>3085</v>
      </c>
      <c r="B454" s="152"/>
      <c r="C454" s="151" t="s">
        <v>4514</v>
      </c>
      <c r="D454" s="152">
        <v>30</v>
      </c>
      <c r="E454" s="152" t="s">
        <v>10</v>
      </c>
      <c r="F454" s="153">
        <v>4000000</v>
      </c>
      <c r="G454" s="153">
        <f>ROUNDDOWN(D454*F454,-3)</f>
        <v>120000000</v>
      </c>
      <c r="H454" s="210" t="b">
        <f t="shared" si="13"/>
        <v>1</v>
      </c>
      <c r="I454" s="210"/>
      <c r="J454" s="210"/>
    </row>
    <row r="455" spans="1:10" ht="13.8" x14ac:dyDescent="0.25">
      <c r="A455" s="7" t="s">
        <v>3087</v>
      </c>
      <c r="B455" s="60">
        <v>524113</v>
      </c>
      <c r="C455" s="41" t="s">
        <v>13</v>
      </c>
      <c r="D455" s="60"/>
      <c r="E455" s="60"/>
      <c r="F455" s="42"/>
      <c r="G455" s="42">
        <f>G456</f>
        <v>9000000</v>
      </c>
      <c r="H455" s="210" t="b">
        <f t="shared" si="13"/>
        <v>1</v>
      </c>
      <c r="I455" s="210"/>
      <c r="J455" s="210"/>
    </row>
    <row r="456" spans="1:10" ht="13.8" x14ac:dyDescent="0.25">
      <c r="A456" s="7" t="s">
        <v>3088</v>
      </c>
      <c r="B456" s="152"/>
      <c r="C456" s="151" t="s">
        <v>3613</v>
      </c>
      <c r="D456" s="152">
        <v>60</v>
      </c>
      <c r="E456" s="152" t="s">
        <v>25</v>
      </c>
      <c r="F456" s="153">
        <v>150000</v>
      </c>
      <c r="G456" s="153">
        <f>ROUNDDOWN(D456*F456,-3)</f>
        <v>9000000</v>
      </c>
      <c r="H456" s="210" t="b">
        <f t="shared" si="13"/>
        <v>1</v>
      </c>
      <c r="I456" s="210"/>
      <c r="J456" s="210"/>
    </row>
    <row r="457" spans="1:10" ht="13.8" x14ac:dyDescent="0.25">
      <c r="A457" s="7" t="s">
        <v>3089</v>
      </c>
      <c r="B457" s="58">
        <v>302</v>
      </c>
      <c r="C457" s="35" t="s">
        <v>3091</v>
      </c>
      <c r="D457" s="58"/>
      <c r="E457" s="58"/>
      <c r="F457" s="36"/>
      <c r="G457" s="36">
        <f>G458</f>
        <v>126532000</v>
      </c>
      <c r="H457" s="210" t="b">
        <f t="shared" si="13"/>
        <v>1</v>
      </c>
      <c r="I457" s="210"/>
      <c r="J457" s="210"/>
    </row>
    <row r="458" spans="1:10" ht="13.8" x14ac:dyDescent="0.25">
      <c r="A458" s="7" t="s">
        <v>3092</v>
      </c>
      <c r="B458" s="59" t="s">
        <v>8</v>
      </c>
      <c r="C458" s="38" t="s">
        <v>178</v>
      </c>
      <c r="D458" s="59"/>
      <c r="E458" s="59"/>
      <c r="F458" s="39"/>
      <c r="G458" s="39">
        <f>SUM(G459,G465,G467)</f>
        <v>126532000</v>
      </c>
      <c r="H458" s="210" t="b">
        <f t="shared" si="13"/>
        <v>1</v>
      </c>
      <c r="I458" s="210"/>
      <c r="J458" s="210"/>
    </row>
    <row r="459" spans="1:10" ht="13.8" x14ac:dyDescent="0.25">
      <c r="A459" s="7" t="s">
        <v>3093</v>
      </c>
      <c r="B459" s="60">
        <v>521211</v>
      </c>
      <c r="C459" s="41" t="s">
        <v>7</v>
      </c>
      <c r="D459" s="60"/>
      <c r="E459" s="60"/>
      <c r="F459" s="42"/>
      <c r="G459" s="42">
        <f>SUM(G460:G464)</f>
        <v>35500000</v>
      </c>
      <c r="H459" s="210" t="b">
        <f t="shared" si="13"/>
        <v>1</v>
      </c>
      <c r="I459" s="210"/>
      <c r="J459" s="210"/>
    </row>
    <row r="460" spans="1:10" ht="13.8" x14ac:dyDescent="0.25">
      <c r="A460" s="7" t="s">
        <v>3094</v>
      </c>
      <c r="B460" s="152"/>
      <c r="C460" s="151" t="s">
        <v>3598</v>
      </c>
      <c r="D460" s="152">
        <v>4</v>
      </c>
      <c r="E460" s="152" t="s">
        <v>9</v>
      </c>
      <c r="F460" s="153">
        <v>1500000</v>
      </c>
      <c r="G460" s="153">
        <f>ROUNDDOWN(D460*F460,-3)</f>
        <v>6000000</v>
      </c>
      <c r="H460" s="210" t="b">
        <f t="shared" si="13"/>
        <v>1</v>
      </c>
      <c r="I460" s="210"/>
      <c r="J460" s="210"/>
    </row>
    <row r="461" spans="1:10" ht="13.8" x14ac:dyDescent="0.25">
      <c r="A461" s="7" t="s">
        <v>3095</v>
      </c>
      <c r="B461" s="152"/>
      <c r="C461" s="151" t="s">
        <v>4420</v>
      </c>
      <c r="D461" s="152">
        <v>180</v>
      </c>
      <c r="E461" s="152" t="s">
        <v>10</v>
      </c>
      <c r="F461" s="153">
        <v>75000</v>
      </c>
      <c r="G461" s="153">
        <f>ROUNDDOWN(D461*F461,-3)</f>
        <v>13500000</v>
      </c>
      <c r="H461" s="210" t="b">
        <f t="shared" si="13"/>
        <v>1</v>
      </c>
      <c r="I461" s="210"/>
      <c r="J461" s="210"/>
    </row>
    <row r="462" spans="1:10" ht="13.8" x14ac:dyDescent="0.25">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3.8" x14ac:dyDescent="0.25">
      <c r="A463" s="7" t="s">
        <v>3097</v>
      </c>
      <c r="B463" s="152"/>
      <c r="C463" s="151" t="s">
        <v>3601</v>
      </c>
      <c r="D463" s="152">
        <v>4</v>
      </c>
      <c r="E463" s="152" t="s">
        <v>106</v>
      </c>
      <c r="F463" s="153">
        <v>1500000</v>
      </c>
      <c r="G463" s="153">
        <f>ROUNDDOWN(D463*F463,-3)</f>
        <v>6000000</v>
      </c>
      <c r="H463" s="210" t="b">
        <f t="shared" si="15"/>
        <v>1</v>
      </c>
      <c r="I463" s="210"/>
      <c r="J463" s="210"/>
    </row>
    <row r="464" spans="1:10" ht="13.8" x14ac:dyDescent="0.25">
      <c r="A464" s="7" t="s">
        <v>3098</v>
      </c>
      <c r="B464" s="152"/>
      <c r="C464" s="151" t="s">
        <v>4515</v>
      </c>
      <c r="D464" s="152">
        <v>12</v>
      </c>
      <c r="E464" s="152" t="s">
        <v>176</v>
      </c>
      <c r="F464" s="153">
        <v>500000</v>
      </c>
      <c r="G464" s="153">
        <f>ROUNDDOWN(D464*F464,-3)</f>
        <v>6000000</v>
      </c>
      <c r="H464" s="210" t="b">
        <f t="shared" si="15"/>
        <v>1</v>
      </c>
      <c r="I464" s="210"/>
      <c r="J464" s="210"/>
    </row>
    <row r="465" spans="1:10" ht="13.8" x14ac:dyDescent="0.25">
      <c r="A465" s="7" t="s">
        <v>3100</v>
      </c>
      <c r="B465" s="60">
        <v>521219</v>
      </c>
      <c r="C465" s="41" t="s">
        <v>53</v>
      </c>
      <c r="D465" s="60"/>
      <c r="E465" s="60"/>
      <c r="F465" s="42"/>
      <c r="G465" s="42">
        <f>G466</f>
        <v>2000000</v>
      </c>
      <c r="H465" s="210" t="b">
        <f t="shared" si="15"/>
        <v>1</v>
      </c>
      <c r="I465" s="210"/>
      <c r="J465" s="210"/>
    </row>
    <row r="466" spans="1:10" ht="13.8" x14ac:dyDescent="0.25">
      <c r="A466" s="7" t="s">
        <v>3101</v>
      </c>
      <c r="B466" s="152"/>
      <c r="C466" s="151" t="s">
        <v>4508</v>
      </c>
      <c r="D466" s="152">
        <v>1</v>
      </c>
      <c r="E466" s="152" t="s">
        <v>153</v>
      </c>
      <c r="F466" s="153">
        <v>2000000</v>
      </c>
      <c r="G466" s="153">
        <f>ROUNDDOWN(D466*F466,-3)</f>
        <v>2000000</v>
      </c>
      <c r="H466" s="210" t="b">
        <f t="shared" si="15"/>
        <v>1</v>
      </c>
      <c r="I466" s="210"/>
      <c r="J466" s="210"/>
    </row>
    <row r="467" spans="1:10" ht="13.8" x14ac:dyDescent="0.25">
      <c r="A467" s="7" t="s">
        <v>3102</v>
      </c>
      <c r="B467" s="60">
        <v>524111</v>
      </c>
      <c r="C467" s="41" t="s">
        <v>19</v>
      </c>
      <c r="D467" s="60"/>
      <c r="E467" s="60"/>
      <c r="F467" s="42"/>
      <c r="G467" s="42">
        <f>G468</f>
        <v>89032000</v>
      </c>
      <c r="H467" s="210" t="b">
        <f t="shared" si="15"/>
        <v>1</v>
      </c>
      <c r="I467" s="210"/>
      <c r="J467" s="210"/>
    </row>
    <row r="468" spans="1:10" ht="13.8" x14ac:dyDescent="0.25">
      <c r="A468" s="7" t="s">
        <v>3103</v>
      </c>
      <c r="B468" s="152"/>
      <c r="C468" s="151" t="s">
        <v>4514</v>
      </c>
      <c r="D468" s="152">
        <v>22</v>
      </c>
      <c r="E468" s="152" t="s">
        <v>10</v>
      </c>
      <c r="F468" s="153">
        <v>4046950</v>
      </c>
      <c r="G468" s="153">
        <f>ROUNDDOWN(D468*F468,-3)</f>
        <v>89032000</v>
      </c>
      <c r="H468" s="210" t="b">
        <f t="shared" si="15"/>
        <v>1</v>
      </c>
      <c r="I468" s="210"/>
      <c r="J468" s="210"/>
    </row>
    <row r="469" spans="1:10" ht="13.8" x14ac:dyDescent="0.25">
      <c r="A469" s="7" t="s">
        <v>3104</v>
      </c>
      <c r="B469" s="138" t="s">
        <v>4516</v>
      </c>
      <c r="C469" s="137" t="s">
        <v>3106</v>
      </c>
      <c r="D469" s="138">
        <v>1</v>
      </c>
      <c r="E469" s="138" t="s">
        <v>4315</v>
      </c>
      <c r="F469" s="139"/>
      <c r="G469" s="139">
        <f>G470</f>
        <v>289920000</v>
      </c>
      <c r="H469" s="210" t="b">
        <f t="shared" si="15"/>
        <v>1</v>
      </c>
      <c r="I469" s="210"/>
      <c r="J469" s="210"/>
    </row>
    <row r="470" spans="1:10" ht="13.8" x14ac:dyDescent="0.25">
      <c r="A470" s="7" t="s">
        <v>3318</v>
      </c>
      <c r="B470" s="58">
        <v>301</v>
      </c>
      <c r="C470" s="35" t="s">
        <v>3319</v>
      </c>
      <c r="D470" s="58"/>
      <c r="E470" s="58"/>
      <c r="F470" s="36"/>
      <c r="G470" s="36">
        <f>SUM(G471,G481,G490,G498,G511,G519)</f>
        <v>289920000</v>
      </c>
      <c r="H470" s="210" t="b">
        <f t="shared" si="15"/>
        <v>1</v>
      </c>
      <c r="I470" s="210"/>
      <c r="J470" s="210"/>
    </row>
    <row r="471" spans="1:10" ht="13.8" x14ac:dyDescent="0.25">
      <c r="A471" s="7" t="s">
        <v>3320</v>
      </c>
      <c r="B471" s="59" t="s">
        <v>8</v>
      </c>
      <c r="C471" s="38" t="s">
        <v>143</v>
      </c>
      <c r="D471" s="59"/>
      <c r="E471" s="59"/>
      <c r="F471" s="39"/>
      <c r="G471" s="39">
        <f>SUM(G472,G477,G479)</f>
        <v>40700000</v>
      </c>
      <c r="H471" s="210" t="b">
        <f t="shared" si="15"/>
        <v>1</v>
      </c>
      <c r="I471" s="210"/>
      <c r="J471" s="210"/>
    </row>
    <row r="472" spans="1:10" ht="13.8" x14ac:dyDescent="0.25">
      <c r="A472" s="7" t="s">
        <v>3321</v>
      </c>
      <c r="B472" s="60">
        <v>521211</v>
      </c>
      <c r="C472" s="41" t="s">
        <v>7</v>
      </c>
      <c r="D472" s="60"/>
      <c r="E472" s="60"/>
      <c r="F472" s="42"/>
      <c r="G472" s="42">
        <f>SUM(G473:G476)</f>
        <v>23900000</v>
      </c>
      <c r="H472" s="210" t="b">
        <f t="shared" si="15"/>
        <v>1</v>
      </c>
      <c r="I472" s="210"/>
      <c r="J472" s="210"/>
    </row>
    <row r="473" spans="1:10" ht="13.8" x14ac:dyDescent="0.25">
      <c r="A473" s="7" t="s">
        <v>3322</v>
      </c>
      <c r="B473" s="152"/>
      <c r="C473" s="151" t="s">
        <v>3598</v>
      </c>
      <c r="D473" s="152">
        <v>5</v>
      </c>
      <c r="E473" s="152" t="s">
        <v>9</v>
      </c>
      <c r="F473" s="153">
        <v>1500000</v>
      </c>
      <c r="G473" s="153">
        <f>ROUNDDOWN(D473*F473,-3)</f>
        <v>7500000</v>
      </c>
      <c r="H473" s="210" t="b">
        <f t="shared" si="15"/>
        <v>1</v>
      </c>
      <c r="I473" s="210"/>
      <c r="J473" s="210"/>
    </row>
    <row r="474" spans="1:10" ht="13.8" x14ac:dyDescent="0.25">
      <c r="A474" s="7" t="s">
        <v>3323</v>
      </c>
      <c r="B474" s="152"/>
      <c r="C474" s="151" t="s">
        <v>4420</v>
      </c>
      <c r="D474" s="152">
        <v>20</v>
      </c>
      <c r="E474" s="152" t="s">
        <v>10</v>
      </c>
      <c r="F474" s="153">
        <v>70000</v>
      </c>
      <c r="G474" s="153">
        <f>ROUNDDOWN(D474*F474,-3)</f>
        <v>1400000</v>
      </c>
      <c r="H474" s="210" t="b">
        <f t="shared" si="15"/>
        <v>1</v>
      </c>
      <c r="I474" s="210"/>
      <c r="J474" s="210"/>
    </row>
    <row r="475" spans="1:10" ht="13.8" x14ac:dyDescent="0.25">
      <c r="A475" s="7" t="s">
        <v>3324</v>
      </c>
      <c r="B475" s="152"/>
      <c r="C475" s="151" t="s">
        <v>3600</v>
      </c>
      <c r="D475" s="152">
        <v>6</v>
      </c>
      <c r="E475" s="152" t="s">
        <v>106</v>
      </c>
      <c r="F475" s="153">
        <v>1000000</v>
      </c>
      <c r="G475" s="153">
        <f>ROUNDDOWN(D475*F475,-3)</f>
        <v>6000000</v>
      </c>
      <c r="H475" s="210" t="b">
        <f t="shared" si="15"/>
        <v>1</v>
      </c>
      <c r="I475" s="210"/>
      <c r="J475" s="210"/>
    </row>
    <row r="476" spans="1:10" ht="13.8" x14ac:dyDescent="0.25">
      <c r="A476" s="7" t="s">
        <v>3325</v>
      </c>
      <c r="B476" s="152"/>
      <c r="C476" s="151" t="s">
        <v>3601</v>
      </c>
      <c r="D476" s="152">
        <v>6</v>
      </c>
      <c r="E476" s="152" t="s">
        <v>106</v>
      </c>
      <c r="F476" s="153">
        <v>1500000</v>
      </c>
      <c r="G476" s="153">
        <f>ROUNDDOWN(D476*F476,-3)</f>
        <v>9000000</v>
      </c>
      <c r="H476" s="210" t="b">
        <f t="shared" si="15"/>
        <v>1</v>
      </c>
      <c r="I476" s="210"/>
      <c r="J476" s="210"/>
    </row>
    <row r="477" spans="1:10" ht="13.8" x14ac:dyDescent="0.25">
      <c r="A477" s="7" t="s">
        <v>3326</v>
      </c>
      <c r="B477" s="60">
        <v>524111</v>
      </c>
      <c r="C477" s="41" t="s">
        <v>19</v>
      </c>
      <c r="D477" s="60"/>
      <c r="E477" s="60"/>
      <c r="F477" s="42"/>
      <c r="G477" s="42">
        <f>G478</f>
        <v>15000000</v>
      </c>
      <c r="H477" s="210" t="b">
        <f t="shared" si="15"/>
        <v>1</v>
      </c>
      <c r="I477" s="210"/>
      <c r="J477" s="210"/>
    </row>
    <row r="478" spans="1:10" ht="13.8" x14ac:dyDescent="0.25">
      <c r="A478" s="7" t="s">
        <v>3327</v>
      </c>
      <c r="B478" s="152"/>
      <c r="C478" s="151" t="s">
        <v>4582</v>
      </c>
      <c r="D478" s="152">
        <v>5</v>
      </c>
      <c r="E478" s="152" t="s">
        <v>10</v>
      </c>
      <c r="F478" s="153">
        <v>3000000</v>
      </c>
      <c r="G478" s="153">
        <f>ROUNDDOWN(D478*F478,-3)</f>
        <v>15000000</v>
      </c>
      <c r="H478" s="210" t="b">
        <f t="shared" si="15"/>
        <v>1</v>
      </c>
      <c r="I478" s="210"/>
      <c r="J478" s="210"/>
    </row>
    <row r="479" spans="1:10" ht="13.8" x14ac:dyDescent="0.25">
      <c r="A479" s="7" t="s">
        <v>3329</v>
      </c>
      <c r="B479" s="60">
        <v>524113</v>
      </c>
      <c r="C479" s="41" t="s">
        <v>13</v>
      </c>
      <c r="D479" s="60"/>
      <c r="E479" s="60"/>
      <c r="F479" s="42"/>
      <c r="G479" s="42">
        <f>G480</f>
        <v>1800000</v>
      </c>
      <c r="H479" s="210" t="b">
        <f t="shared" si="15"/>
        <v>1</v>
      </c>
      <c r="I479" s="210"/>
      <c r="J479" s="210"/>
    </row>
    <row r="480" spans="1:10" ht="13.8" x14ac:dyDescent="0.25">
      <c r="A480" s="7" t="s">
        <v>3330</v>
      </c>
      <c r="B480" s="152"/>
      <c r="C480" s="151" t="s">
        <v>3603</v>
      </c>
      <c r="D480" s="152">
        <v>12</v>
      </c>
      <c r="E480" s="152" t="s">
        <v>10</v>
      </c>
      <c r="F480" s="153">
        <v>150000</v>
      </c>
      <c r="G480" s="153">
        <f>ROUNDDOWN(D480*F480,-3)</f>
        <v>1800000</v>
      </c>
      <c r="H480" s="210" t="b">
        <f t="shared" si="15"/>
        <v>1</v>
      </c>
      <c r="I480" s="210"/>
      <c r="J480" s="210"/>
    </row>
    <row r="481" spans="1:10" ht="13.8" x14ac:dyDescent="0.25">
      <c r="A481" s="7" t="s">
        <v>3331</v>
      </c>
      <c r="B481" s="59" t="s">
        <v>511</v>
      </c>
      <c r="C481" s="38" t="s">
        <v>144</v>
      </c>
      <c r="D481" s="59"/>
      <c r="E481" s="59"/>
      <c r="F481" s="39"/>
      <c r="G481" s="39">
        <f>SUM(G482,G486,G488)</f>
        <v>30900000</v>
      </c>
      <c r="H481" s="210" t="b">
        <f t="shared" si="15"/>
        <v>1</v>
      </c>
      <c r="I481" s="210"/>
      <c r="J481" s="210"/>
    </row>
    <row r="482" spans="1:10" ht="13.8" x14ac:dyDescent="0.25">
      <c r="A482" s="7" t="s">
        <v>3332</v>
      </c>
      <c r="B482" s="60">
        <v>521211</v>
      </c>
      <c r="C482" s="41" t="s">
        <v>7</v>
      </c>
      <c r="D482" s="60"/>
      <c r="E482" s="60"/>
      <c r="F482" s="42"/>
      <c r="G482" s="42">
        <f>SUM(G483:G485)</f>
        <v>11400000</v>
      </c>
      <c r="H482" s="210" t="b">
        <f t="shared" si="15"/>
        <v>1</v>
      </c>
      <c r="I482" s="210"/>
      <c r="J482" s="210"/>
    </row>
    <row r="483" spans="1:10" ht="13.8" x14ac:dyDescent="0.25">
      <c r="A483" s="7" t="s">
        <v>3333</v>
      </c>
      <c r="B483" s="152"/>
      <c r="C483" s="151" t="s">
        <v>4269</v>
      </c>
      <c r="D483" s="152">
        <v>4</v>
      </c>
      <c r="E483" s="152" t="s">
        <v>9</v>
      </c>
      <c r="F483" s="153">
        <v>1500000</v>
      </c>
      <c r="G483" s="153">
        <f>ROUNDDOWN(D483*F483,-3)</f>
        <v>6000000</v>
      </c>
      <c r="H483" s="210" t="b">
        <f t="shared" si="15"/>
        <v>1</v>
      </c>
      <c r="I483" s="210"/>
      <c r="J483" s="210"/>
    </row>
    <row r="484" spans="1:10" ht="13.8" x14ac:dyDescent="0.25">
      <c r="A484" s="7" t="s">
        <v>3334</v>
      </c>
      <c r="B484" s="152"/>
      <c r="C484" s="151" t="s">
        <v>4420</v>
      </c>
      <c r="D484" s="152">
        <v>20</v>
      </c>
      <c r="E484" s="152" t="s">
        <v>10</v>
      </c>
      <c r="F484" s="153">
        <v>70000</v>
      </c>
      <c r="G484" s="153">
        <f>ROUNDDOWN(D484*F484,-3)</f>
        <v>1400000</v>
      </c>
      <c r="H484" s="210" t="b">
        <f t="shared" si="15"/>
        <v>1</v>
      </c>
      <c r="I484" s="210"/>
      <c r="J484" s="210"/>
    </row>
    <row r="485" spans="1:10" ht="13.8" x14ac:dyDescent="0.25">
      <c r="A485" s="7" t="s">
        <v>3335</v>
      </c>
      <c r="B485" s="152"/>
      <c r="C485" s="151" t="s">
        <v>3600</v>
      </c>
      <c r="D485" s="152">
        <v>4</v>
      </c>
      <c r="E485" s="152" t="s">
        <v>106</v>
      </c>
      <c r="F485" s="153">
        <v>1000000</v>
      </c>
      <c r="G485" s="153">
        <f>ROUNDDOWN(D485*F485,-3)</f>
        <v>4000000</v>
      </c>
      <c r="H485" s="210" t="b">
        <f t="shared" si="15"/>
        <v>1</v>
      </c>
      <c r="I485" s="210"/>
      <c r="J485" s="210"/>
    </row>
    <row r="486" spans="1:10" ht="13.8" x14ac:dyDescent="0.25">
      <c r="A486" s="7" t="s">
        <v>3336</v>
      </c>
      <c r="B486" s="60">
        <v>524111</v>
      </c>
      <c r="C486" s="41" t="s">
        <v>19</v>
      </c>
      <c r="D486" s="60"/>
      <c r="E486" s="60"/>
      <c r="F486" s="42"/>
      <c r="G486" s="42">
        <f>G487</f>
        <v>18000000</v>
      </c>
      <c r="H486" s="210" t="b">
        <f t="shared" si="15"/>
        <v>1</v>
      </c>
      <c r="I486" s="210"/>
      <c r="J486" s="210"/>
    </row>
    <row r="487" spans="1:10" ht="13.8" x14ac:dyDescent="0.25">
      <c r="A487" s="7" t="s">
        <v>3337</v>
      </c>
      <c r="B487" s="152"/>
      <c r="C487" s="151" t="s">
        <v>4582</v>
      </c>
      <c r="D487" s="152">
        <v>6</v>
      </c>
      <c r="E487" s="152" t="s">
        <v>10</v>
      </c>
      <c r="F487" s="153">
        <v>3000000</v>
      </c>
      <c r="G487" s="153">
        <f>ROUNDDOWN(D487*F487,-3)</f>
        <v>18000000</v>
      </c>
      <c r="H487" s="210" t="b">
        <f t="shared" si="15"/>
        <v>1</v>
      </c>
      <c r="I487" s="210"/>
      <c r="J487" s="210"/>
    </row>
    <row r="488" spans="1:10" ht="13.8" x14ac:dyDescent="0.25">
      <c r="A488" s="7" t="s">
        <v>3338</v>
      </c>
      <c r="B488" s="60">
        <v>524113</v>
      </c>
      <c r="C488" s="41" t="s">
        <v>13</v>
      </c>
      <c r="D488" s="60"/>
      <c r="E488" s="60"/>
      <c r="F488" s="42"/>
      <c r="G488" s="42">
        <f>G489</f>
        <v>1500000</v>
      </c>
      <c r="H488" s="210" t="b">
        <f t="shared" si="15"/>
        <v>1</v>
      </c>
      <c r="I488" s="210"/>
      <c r="J488" s="210"/>
    </row>
    <row r="489" spans="1:10" ht="13.8" x14ac:dyDescent="0.25">
      <c r="A489" s="7" t="s">
        <v>3339</v>
      </c>
      <c r="B489" s="152"/>
      <c r="C489" s="151" t="s">
        <v>3613</v>
      </c>
      <c r="D489" s="152">
        <v>10</v>
      </c>
      <c r="E489" s="152" t="s">
        <v>10</v>
      </c>
      <c r="F489" s="153">
        <v>150000</v>
      </c>
      <c r="G489" s="153">
        <f>ROUNDDOWN(D489*F489,-3)</f>
        <v>1500000</v>
      </c>
      <c r="H489" s="210" t="b">
        <f t="shared" si="15"/>
        <v>1</v>
      </c>
      <c r="I489" s="210"/>
      <c r="J489" s="210"/>
    </row>
    <row r="490" spans="1:10" ht="13.8" x14ac:dyDescent="0.25">
      <c r="A490" s="7" t="s">
        <v>3340</v>
      </c>
      <c r="B490" s="59" t="s">
        <v>512</v>
      </c>
      <c r="C490" s="38" t="s">
        <v>145</v>
      </c>
      <c r="D490" s="59"/>
      <c r="E490" s="59"/>
      <c r="F490" s="39"/>
      <c r="G490" s="39">
        <f>SUM(G491,G494,G496)</f>
        <v>26500000</v>
      </c>
      <c r="H490" s="210" t="b">
        <f t="shared" si="15"/>
        <v>1</v>
      </c>
      <c r="I490" s="210"/>
      <c r="J490" s="210"/>
    </row>
    <row r="491" spans="1:10" ht="13.8" x14ac:dyDescent="0.25">
      <c r="A491" s="7" t="s">
        <v>3341</v>
      </c>
      <c r="B491" s="60">
        <v>521211</v>
      </c>
      <c r="C491" s="41" t="s">
        <v>7</v>
      </c>
      <c r="D491" s="60"/>
      <c r="E491" s="60"/>
      <c r="F491" s="42"/>
      <c r="G491" s="42">
        <f>SUM(G492:G493)</f>
        <v>10000000</v>
      </c>
      <c r="H491" s="210" t="b">
        <f t="shared" si="15"/>
        <v>1</v>
      </c>
      <c r="I491" s="210"/>
      <c r="J491" s="210"/>
    </row>
    <row r="492" spans="1:10" ht="13.8" x14ac:dyDescent="0.25">
      <c r="A492" s="7" t="s">
        <v>3342</v>
      </c>
      <c r="B492" s="152"/>
      <c r="C492" s="151" t="s">
        <v>4269</v>
      </c>
      <c r="D492" s="152">
        <v>4</v>
      </c>
      <c r="E492" s="152" t="s">
        <v>9</v>
      </c>
      <c r="F492" s="153">
        <v>1500000</v>
      </c>
      <c r="G492" s="153">
        <f>ROUNDDOWN(D492*F492,-3)</f>
        <v>6000000</v>
      </c>
      <c r="H492" s="210" t="b">
        <f t="shared" si="15"/>
        <v>1</v>
      </c>
      <c r="I492" s="210"/>
      <c r="J492" s="210"/>
    </row>
    <row r="493" spans="1:10" ht="13.8" x14ac:dyDescent="0.25">
      <c r="A493" s="7" t="s">
        <v>3343</v>
      </c>
      <c r="B493" s="152"/>
      <c r="C493" s="151" t="s">
        <v>3632</v>
      </c>
      <c r="D493" s="152">
        <v>4</v>
      </c>
      <c r="E493" s="152" t="s">
        <v>106</v>
      </c>
      <c r="F493" s="153">
        <v>1000000</v>
      </c>
      <c r="G493" s="153">
        <f>ROUNDDOWN(D493*F493,-3)</f>
        <v>4000000</v>
      </c>
      <c r="H493" s="210" t="b">
        <f t="shared" si="15"/>
        <v>1</v>
      </c>
      <c r="I493" s="210"/>
      <c r="J493" s="210"/>
    </row>
    <row r="494" spans="1:10" ht="13.8" x14ac:dyDescent="0.25">
      <c r="A494" s="7" t="s">
        <v>3344</v>
      </c>
      <c r="B494" s="60">
        <v>524111</v>
      </c>
      <c r="C494" s="41" t="s">
        <v>19</v>
      </c>
      <c r="D494" s="60"/>
      <c r="E494" s="60"/>
      <c r="F494" s="42"/>
      <c r="G494" s="42">
        <f>G495</f>
        <v>15000000</v>
      </c>
      <c r="H494" s="210" t="b">
        <f t="shared" si="15"/>
        <v>1</v>
      </c>
      <c r="I494" s="210"/>
      <c r="J494" s="210"/>
    </row>
    <row r="495" spans="1:10" ht="13.8" x14ac:dyDescent="0.25">
      <c r="A495" s="7" t="s">
        <v>3345</v>
      </c>
      <c r="B495" s="152"/>
      <c r="C495" s="151" t="s">
        <v>4583</v>
      </c>
      <c r="D495" s="152">
        <v>5</v>
      </c>
      <c r="E495" s="152" t="s">
        <v>10</v>
      </c>
      <c r="F495" s="153">
        <v>3000000</v>
      </c>
      <c r="G495" s="153">
        <f>ROUNDDOWN(D495*F495,-3)</f>
        <v>15000000</v>
      </c>
      <c r="H495" s="210" t="b">
        <f t="shared" si="15"/>
        <v>1</v>
      </c>
      <c r="I495" s="210"/>
      <c r="J495" s="210"/>
    </row>
    <row r="496" spans="1:10" ht="13.8" x14ac:dyDescent="0.25">
      <c r="A496" s="7" t="s">
        <v>3347</v>
      </c>
      <c r="B496" s="60">
        <v>524113</v>
      </c>
      <c r="C496" s="41" t="s">
        <v>13</v>
      </c>
      <c r="D496" s="60"/>
      <c r="E496" s="60"/>
      <c r="F496" s="42"/>
      <c r="G496" s="42">
        <f>G497</f>
        <v>1500000</v>
      </c>
      <c r="H496" s="210" t="b">
        <f t="shared" si="15"/>
        <v>1</v>
      </c>
      <c r="I496" s="210"/>
      <c r="J496" s="210"/>
    </row>
    <row r="497" spans="1:10" ht="13.8" x14ac:dyDescent="0.25">
      <c r="A497" s="7" t="s">
        <v>3348</v>
      </c>
      <c r="B497" s="152"/>
      <c r="C497" s="151" t="s">
        <v>3613</v>
      </c>
      <c r="D497" s="152">
        <v>10</v>
      </c>
      <c r="E497" s="152" t="s">
        <v>10</v>
      </c>
      <c r="F497" s="153">
        <v>150000</v>
      </c>
      <c r="G497" s="153">
        <f>ROUNDDOWN(D497*F497,-3)</f>
        <v>1500000</v>
      </c>
      <c r="H497" s="210" t="b">
        <f t="shared" si="15"/>
        <v>1</v>
      </c>
      <c r="I497" s="210"/>
      <c r="J497" s="210"/>
    </row>
    <row r="498" spans="1:10" ht="13.8" x14ac:dyDescent="0.25">
      <c r="A498" s="7" t="s">
        <v>3349</v>
      </c>
      <c r="B498" s="59" t="s">
        <v>514</v>
      </c>
      <c r="C498" s="38" t="s">
        <v>3350</v>
      </c>
      <c r="D498" s="59"/>
      <c r="E498" s="59"/>
      <c r="F498" s="39"/>
      <c r="G498" s="39">
        <f>SUM(G499,G505,G507,G509)</f>
        <v>86700000</v>
      </c>
      <c r="H498" s="210" t="b">
        <f t="shared" si="15"/>
        <v>1</v>
      </c>
      <c r="I498" s="210"/>
      <c r="J498" s="210"/>
    </row>
    <row r="499" spans="1:10" ht="13.8" x14ac:dyDescent="0.25">
      <c r="A499" s="7" t="s">
        <v>3351</v>
      </c>
      <c r="B499" s="60">
        <v>521211</v>
      </c>
      <c r="C499" s="41" t="s">
        <v>7</v>
      </c>
      <c r="D499" s="60"/>
      <c r="E499" s="60"/>
      <c r="F499" s="42"/>
      <c r="G499" s="42">
        <f>SUM(G500:G504)</f>
        <v>32400000</v>
      </c>
      <c r="H499" s="210" t="b">
        <f t="shared" si="15"/>
        <v>1</v>
      </c>
      <c r="I499" s="210"/>
      <c r="J499" s="210"/>
    </row>
    <row r="500" spans="1:10" ht="13.8" x14ac:dyDescent="0.25">
      <c r="A500" s="7" t="s">
        <v>3352</v>
      </c>
      <c r="B500" s="152"/>
      <c r="C500" s="151" t="s">
        <v>4269</v>
      </c>
      <c r="D500" s="152">
        <v>6</v>
      </c>
      <c r="E500" s="152" t="s">
        <v>9</v>
      </c>
      <c r="F500" s="153">
        <v>1500000</v>
      </c>
      <c r="G500" s="153">
        <f>ROUNDDOWN(D500*F500,-3)</f>
        <v>9000000</v>
      </c>
      <c r="H500" s="210" t="b">
        <f t="shared" si="15"/>
        <v>1</v>
      </c>
      <c r="I500" s="210"/>
      <c r="J500" s="210"/>
    </row>
    <row r="501" spans="1:10" ht="13.8" x14ac:dyDescent="0.25">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3.8" x14ac:dyDescent="0.25">
      <c r="A502" s="211" t="s">
        <v>3354</v>
      </c>
      <c r="B502" s="152"/>
      <c r="C502" s="151" t="s">
        <v>4584</v>
      </c>
      <c r="D502" s="152">
        <v>28</v>
      </c>
      <c r="E502" s="152" t="s">
        <v>176</v>
      </c>
      <c r="F502" s="153">
        <v>500000</v>
      </c>
      <c r="G502" s="153">
        <f>ROUNDDOWN(D502*F502,-3)</f>
        <v>14000000</v>
      </c>
      <c r="H502" s="210" t="b">
        <f t="shared" si="15"/>
        <v>1</v>
      </c>
      <c r="I502" s="210"/>
      <c r="J502" s="210"/>
    </row>
    <row r="503" spans="1:10" ht="13.8" x14ac:dyDescent="0.25">
      <c r="A503" s="7" t="s">
        <v>3356</v>
      </c>
      <c r="B503" s="152"/>
      <c r="C503" s="151" t="s">
        <v>4585</v>
      </c>
      <c r="D503" s="152">
        <v>4</v>
      </c>
      <c r="E503" s="152" t="s">
        <v>58</v>
      </c>
      <c r="F503" s="153">
        <v>500000</v>
      </c>
      <c r="G503" s="153">
        <f>ROUNDDOWN(D503*F503,-3)</f>
        <v>2000000</v>
      </c>
      <c r="H503" s="210" t="b">
        <f t="shared" si="15"/>
        <v>1</v>
      </c>
      <c r="I503" s="210"/>
      <c r="J503" s="210"/>
    </row>
    <row r="504" spans="1:10" ht="13.8" x14ac:dyDescent="0.25">
      <c r="A504" s="7" t="s">
        <v>3358</v>
      </c>
      <c r="B504" s="152"/>
      <c r="C504" s="151" t="s">
        <v>4521</v>
      </c>
      <c r="D504" s="152">
        <v>6</v>
      </c>
      <c r="E504" s="152" t="s">
        <v>106</v>
      </c>
      <c r="F504" s="153">
        <v>1000000</v>
      </c>
      <c r="G504" s="153">
        <f>ROUNDDOWN(D504*F504,-3)</f>
        <v>6000000</v>
      </c>
      <c r="H504" s="210" t="b">
        <f t="shared" si="15"/>
        <v>1</v>
      </c>
      <c r="I504" s="210"/>
      <c r="J504" s="210"/>
    </row>
    <row r="505" spans="1:10" ht="13.8" x14ac:dyDescent="0.25">
      <c r="A505" s="7" t="s">
        <v>3359</v>
      </c>
      <c r="B505" s="60">
        <v>522151</v>
      </c>
      <c r="C505" s="41" t="s">
        <v>11</v>
      </c>
      <c r="D505" s="60"/>
      <c r="E505" s="60"/>
      <c r="F505" s="42"/>
      <c r="G505" s="42">
        <f>G506</f>
        <v>9000000</v>
      </c>
      <c r="H505" s="210" t="b">
        <f t="shared" si="15"/>
        <v>1</v>
      </c>
      <c r="I505" s="210"/>
      <c r="J505" s="210"/>
    </row>
    <row r="506" spans="1:10" ht="13.8" x14ac:dyDescent="0.25">
      <c r="A506" s="7" t="s">
        <v>3360</v>
      </c>
      <c r="B506" s="152"/>
      <c r="C506" s="151" t="s">
        <v>3715</v>
      </c>
      <c r="D506" s="152">
        <v>10</v>
      </c>
      <c r="E506" s="152" t="s">
        <v>12</v>
      </c>
      <c r="F506" s="153">
        <v>900000</v>
      </c>
      <c r="G506" s="153">
        <f>ROUNDDOWN(D506*F506,-3)</f>
        <v>9000000</v>
      </c>
      <c r="H506" s="210" t="b">
        <f t="shared" si="15"/>
        <v>1</v>
      </c>
      <c r="I506" s="210"/>
      <c r="J506" s="210"/>
    </row>
    <row r="507" spans="1:10" ht="13.8" x14ac:dyDescent="0.25">
      <c r="A507" s="7" t="s">
        <v>3361</v>
      </c>
      <c r="B507" s="60">
        <v>524111</v>
      </c>
      <c r="C507" s="41" t="s">
        <v>19</v>
      </c>
      <c r="D507" s="60"/>
      <c r="E507" s="60"/>
      <c r="F507" s="42"/>
      <c r="G507" s="42">
        <f>G508</f>
        <v>42000000</v>
      </c>
      <c r="H507" s="210" t="b">
        <f t="shared" si="15"/>
        <v>1</v>
      </c>
      <c r="I507" s="210"/>
      <c r="J507" s="210"/>
    </row>
    <row r="508" spans="1:10" ht="13.8" x14ac:dyDescent="0.25">
      <c r="A508" s="7" t="s">
        <v>3362</v>
      </c>
      <c r="B508" s="152"/>
      <c r="C508" s="151" t="s">
        <v>4586</v>
      </c>
      <c r="D508" s="152">
        <v>14</v>
      </c>
      <c r="E508" s="152" t="s">
        <v>10</v>
      </c>
      <c r="F508" s="153">
        <v>3000000</v>
      </c>
      <c r="G508" s="153">
        <f>ROUNDDOWN(D508*F508,-3)</f>
        <v>42000000</v>
      </c>
      <c r="H508" s="210" t="b">
        <f t="shared" si="15"/>
        <v>1</v>
      </c>
      <c r="I508" s="210"/>
      <c r="J508" s="210"/>
    </row>
    <row r="509" spans="1:10" ht="13.8" x14ac:dyDescent="0.25">
      <c r="A509" s="7" t="s">
        <v>3364</v>
      </c>
      <c r="B509" s="60">
        <v>524113</v>
      </c>
      <c r="C509" s="41" t="s">
        <v>13</v>
      </c>
      <c r="D509" s="60"/>
      <c r="E509" s="60"/>
      <c r="F509" s="42"/>
      <c r="G509" s="42">
        <f>G510</f>
        <v>3300000</v>
      </c>
      <c r="H509" s="210" t="b">
        <f t="shared" si="15"/>
        <v>1</v>
      </c>
      <c r="I509" s="210"/>
      <c r="J509" s="210"/>
    </row>
    <row r="510" spans="1:10" ht="13.8" x14ac:dyDescent="0.25">
      <c r="A510" s="7" t="s">
        <v>3365</v>
      </c>
      <c r="B510" s="152"/>
      <c r="C510" s="151" t="s">
        <v>4587</v>
      </c>
      <c r="D510" s="152">
        <v>22</v>
      </c>
      <c r="E510" s="152" t="s">
        <v>10</v>
      </c>
      <c r="F510" s="153">
        <v>150000</v>
      </c>
      <c r="G510" s="153">
        <f>ROUNDDOWN(D510*F510,-3)</f>
        <v>3300000</v>
      </c>
      <c r="H510" s="210" t="b">
        <f t="shared" si="15"/>
        <v>1</v>
      </c>
      <c r="I510" s="210"/>
      <c r="J510" s="210"/>
    </row>
    <row r="511" spans="1:10" ht="13.8" x14ac:dyDescent="0.25">
      <c r="A511" s="7" t="s">
        <v>3367</v>
      </c>
      <c r="B511" s="59" t="s">
        <v>519</v>
      </c>
      <c r="C511" s="38" t="s">
        <v>146</v>
      </c>
      <c r="D511" s="59"/>
      <c r="E511" s="59"/>
      <c r="F511" s="39"/>
      <c r="G511" s="39">
        <f>SUM(G512,G515,G517)</f>
        <v>28800000</v>
      </c>
      <c r="H511" s="210" t="b">
        <f t="shared" si="15"/>
        <v>1</v>
      </c>
      <c r="I511" s="210"/>
      <c r="J511" s="210"/>
    </row>
    <row r="512" spans="1:10" ht="13.8" x14ac:dyDescent="0.25">
      <c r="A512" s="7" t="s">
        <v>3368</v>
      </c>
      <c r="B512" s="60">
        <v>521211</v>
      </c>
      <c r="C512" s="41" t="s">
        <v>7</v>
      </c>
      <c r="D512" s="60"/>
      <c r="E512" s="60"/>
      <c r="F512" s="42"/>
      <c r="G512" s="42">
        <f>SUM(G513:G514)</f>
        <v>15000000</v>
      </c>
      <c r="H512" s="210" t="b">
        <f t="shared" si="15"/>
        <v>1</v>
      </c>
      <c r="I512" s="210"/>
      <c r="J512" s="210"/>
    </row>
    <row r="513" spans="1:10" ht="13.8" x14ac:dyDescent="0.25">
      <c r="A513" s="7" t="s">
        <v>3369</v>
      </c>
      <c r="B513" s="152"/>
      <c r="C513" s="151" t="s">
        <v>4269</v>
      </c>
      <c r="D513" s="152">
        <v>6</v>
      </c>
      <c r="E513" s="152" t="s">
        <v>9</v>
      </c>
      <c r="F513" s="153">
        <v>1500000</v>
      </c>
      <c r="G513" s="153">
        <f>ROUNDDOWN(D513*F513,-3)</f>
        <v>9000000</v>
      </c>
      <c r="H513" s="210" t="b">
        <f t="shared" si="15"/>
        <v>1</v>
      </c>
      <c r="I513" s="210"/>
      <c r="J513" s="210"/>
    </row>
    <row r="514" spans="1:10" ht="13.8" x14ac:dyDescent="0.25">
      <c r="A514" s="7" t="s">
        <v>3370</v>
      </c>
      <c r="B514" s="152"/>
      <c r="C514" s="151" t="s">
        <v>3632</v>
      </c>
      <c r="D514" s="152">
        <v>6</v>
      </c>
      <c r="E514" s="152" t="s">
        <v>106</v>
      </c>
      <c r="F514" s="153">
        <v>1000000</v>
      </c>
      <c r="G514" s="153">
        <f>ROUNDDOWN(D514*F514,-3)</f>
        <v>6000000</v>
      </c>
      <c r="H514" s="210" t="b">
        <f t="shared" si="15"/>
        <v>1</v>
      </c>
      <c r="I514" s="210"/>
      <c r="J514" s="210"/>
    </row>
    <row r="515" spans="1:10" ht="13.8" x14ac:dyDescent="0.25">
      <c r="A515" s="7" t="s">
        <v>3371</v>
      </c>
      <c r="B515" s="60">
        <v>524111</v>
      </c>
      <c r="C515" s="41" t="s">
        <v>19</v>
      </c>
      <c r="D515" s="60"/>
      <c r="E515" s="60"/>
      <c r="F515" s="42"/>
      <c r="G515" s="42">
        <f>G516</f>
        <v>12000000</v>
      </c>
      <c r="H515" s="210" t="b">
        <f t="shared" si="15"/>
        <v>1</v>
      </c>
      <c r="I515" s="210"/>
      <c r="J515" s="210"/>
    </row>
    <row r="516" spans="1:10" ht="13.8" x14ac:dyDescent="0.25">
      <c r="A516" s="7" t="s">
        <v>3372</v>
      </c>
      <c r="B516" s="152"/>
      <c r="C516" s="151" t="s">
        <v>4588</v>
      </c>
      <c r="D516" s="152">
        <v>4</v>
      </c>
      <c r="E516" s="152" t="s">
        <v>10</v>
      </c>
      <c r="F516" s="153">
        <v>3000000</v>
      </c>
      <c r="G516" s="153">
        <f>ROUNDDOWN(D516*F516,-3)</f>
        <v>12000000</v>
      </c>
      <c r="H516" s="210" t="b">
        <f t="shared" si="15"/>
        <v>1</v>
      </c>
      <c r="I516" s="210"/>
      <c r="J516" s="210"/>
    </row>
    <row r="517" spans="1:10" ht="13.8" x14ac:dyDescent="0.25">
      <c r="A517" s="7" t="s">
        <v>3374</v>
      </c>
      <c r="B517" s="60">
        <v>524113</v>
      </c>
      <c r="C517" s="41" t="s">
        <v>13</v>
      </c>
      <c r="D517" s="60"/>
      <c r="E517" s="60"/>
      <c r="F517" s="42"/>
      <c r="G517" s="42">
        <f>G518</f>
        <v>1800000</v>
      </c>
      <c r="H517" s="210" t="b">
        <f t="shared" si="15"/>
        <v>1</v>
      </c>
      <c r="I517" s="210"/>
      <c r="J517" s="210"/>
    </row>
    <row r="518" spans="1:10" ht="13.8" x14ac:dyDescent="0.25">
      <c r="A518" s="7" t="s">
        <v>3375</v>
      </c>
      <c r="B518" s="152"/>
      <c r="C518" s="151" t="s">
        <v>4589</v>
      </c>
      <c r="D518" s="152">
        <v>12</v>
      </c>
      <c r="E518" s="152" t="s">
        <v>10</v>
      </c>
      <c r="F518" s="153">
        <v>150000</v>
      </c>
      <c r="G518" s="153">
        <f>ROUNDDOWN(D518*F518,-3)</f>
        <v>1800000</v>
      </c>
      <c r="H518" s="210" t="b">
        <f t="shared" si="15"/>
        <v>1</v>
      </c>
      <c r="I518" s="210"/>
      <c r="J518" s="210"/>
    </row>
    <row r="519" spans="1:10" ht="13.8" x14ac:dyDescent="0.25">
      <c r="A519" s="7" t="s">
        <v>3377</v>
      </c>
      <c r="B519" s="59" t="s">
        <v>578</v>
      </c>
      <c r="C519" s="38" t="s">
        <v>147</v>
      </c>
      <c r="D519" s="59"/>
      <c r="E519" s="59"/>
      <c r="F519" s="39"/>
      <c r="G519" s="39">
        <f>SUM(G520,G522,G525,G527)</f>
        <v>76320000</v>
      </c>
      <c r="H519" s="210" t="b">
        <f t="shared" si="15"/>
        <v>1</v>
      </c>
      <c r="I519" s="210"/>
      <c r="J519" s="210"/>
    </row>
    <row r="520" spans="1:10" ht="13.8" x14ac:dyDescent="0.25">
      <c r="A520" s="7" t="s">
        <v>3378</v>
      </c>
      <c r="B520" s="60">
        <v>521211</v>
      </c>
      <c r="C520" s="41" t="s">
        <v>7</v>
      </c>
      <c r="D520" s="60"/>
      <c r="E520" s="60"/>
      <c r="F520" s="42"/>
      <c r="G520" s="42">
        <f>G521</f>
        <v>4800000</v>
      </c>
      <c r="H520" s="210" t="b">
        <f t="shared" si="15"/>
        <v>1</v>
      </c>
      <c r="I520" s="210"/>
      <c r="J520" s="210"/>
    </row>
    <row r="521" spans="1:10" ht="13.8" x14ac:dyDescent="0.25">
      <c r="A521" s="7" t="s">
        <v>3379</v>
      </c>
      <c r="B521" s="152"/>
      <c r="C521" s="151" t="s">
        <v>4590</v>
      </c>
      <c r="D521" s="152">
        <v>24</v>
      </c>
      <c r="E521" s="152" t="s">
        <v>176</v>
      </c>
      <c r="F521" s="153">
        <v>200000</v>
      </c>
      <c r="G521" s="153">
        <f>ROUNDDOWN(D521*F521,-3)</f>
        <v>4800000</v>
      </c>
      <c r="H521" s="210" t="b">
        <f t="shared" si="15"/>
        <v>1</v>
      </c>
      <c r="I521" s="210"/>
      <c r="J521" s="210"/>
    </row>
    <row r="522" spans="1:10" ht="13.8" x14ac:dyDescent="0.25">
      <c r="A522" s="7" t="s">
        <v>3381</v>
      </c>
      <c r="B522" s="60">
        <v>521811</v>
      </c>
      <c r="C522" s="41" t="s">
        <v>64</v>
      </c>
      <c r="D522" s="60"/>
      <c r="E522" s="60"/>
      <c r="F522" s="42"/>
      <c r="G522" s="42">
        <f>SUM(G523:G524)</f>
        <v>25000000</v>
      </c>
      <c r="H522" s="210" t="b">
        <f t="shared" si="15"/>
        <v>1</v>
      </c>
      <c r="I522" s="210"/>
      <c r="J522" s="210"/>
    </row>
    <row r="523" spans="1:10" ht="13.8" x14ac:dyDescent="0.25">
      <c r="A523" s="7" t="s">
        <v>3382</v>
      </c>
      <c r="B523" s="152"/>
      <c r="C523" s="151" t="s">
        <v>4269</v>
      </c>
      <c r="D523" s="152">
        <v>10</v>
      </c>
      <c r="E523" s="152" t="s">
        <v>9</v>
      </c>
      <c r="F523" s="153">
        <v>1500000</v>
      </c>
      <c r="G523" s="153">
        <f>ROUNDDOWN(D523*F523,-3)</f>
        <v>15000000</v>
      </c>
      <c r="H523" s="210" t="b">
        <f t="shared" si="15"/>
        <v>1</v>
      </c>
      <c r="I523" s="210"/>
      <c r="J523" s="210"/>
    </row>
    <row r="524" spans="1:10" ht="13.8" x14ac:dyDescent="0.25">
      <c r="A524" s="7" t="s">
        <v>3383</v>
      </c>
      <c r="B524" s="152"/>
      <c r="C524" s="151" t="s">
        <v>3632</v>
      </c>
      <c r="D524" s="152">
        <v>10</v>
      </c>
      <c r="E524" s="152" t="s">
        <v>2749</v>
      </c>
      <c r="F524" s="153">
        <v>1000000</v>
      </c>
      <c r="G524" s="153">
        <f>ROUNDDOWN(D524*F524,-3)</f>
        <v>10000000</v>
      </c>
      <c r="H524" s="210" t="b">
        <f t="shared" si="15"/>
        <v>1</v>
      </c>
      <c r="I524" s="210"/>
      <c r="J524" s="210"/>
    </row>
    <row r="525" spans="1:10" ht="13.8" x14ac:dyDescent="0.25">
      <c r="A525" s="7" t="s">
        <v>3384</v>
      </c>
      <c r="B525" s="60">
        <v>524111</v>
      </c>
      <c r="C525" s="41" t="s">
        <v>19</v>
      </c>
      <c r="D525" s="60"/>
      <c r="E525" s="60"/>
      <c r="F525" s="42"/>
      <c r="G525" s="42">
        <f>G526</f>
        <v>42770000</v>
      </c>
      <c r="H525" s="210" t="b">
        <f t="shared" si="15"/>
        <v>1</v>
      </c>
      <c r="I525" s="210"/>
      <c r="J525" s="210"/>
    </row>
    <row r="526" spans="1:10" ht="13.8" x14ac:dyDescent="0.25">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3.8" x14ac:dyDescent="0.25">
      <c r="A527" s="7" t="s">
        <v>3387</v>
      </c>
      <c r="B527" s="60">
        <v>524113</v>
      </c>
      <c r="C527" s="41" t="s">
        <v>13</v>
      </c>
      <c r="D527" s="60"/>
      <c r="E527" s="60"/>
      <c r="F527" s="42"/>
      <c r="G527" s="42">
        <f>G528</f>
        <v>3750000</v>
      </c>
      <c r="H527" s="210" t="b">
        <f t="shared" si="16"/>
        <v>1</v>
      </c>
      <c r="I527" s="210"/>
      <c r="J527" s="210"/>
    </row>
    <row r="528" spans="1:10" ht="13.8" x14ac:dyDescent="0.25">
      <c r="A528" s="7" t="s">
        <v>3388</v>
      </c>
      <c r="B528" s="152"/>
      <c r="C528" s="151" t="s">
        <v>3618</v>
      </c>
      <c r="D528" s="152">
        <v>25</v>
      </c>
      <c r="E528" s="152" t="s">
        <v>10</v>
      </c>
      <c r="F528" s="153">
        <v>150000</v>
      </c>
      <c r="G528" s="153">
        <f>ROUNDDOWN(D528*F528,-3)</f>
        <v>3750000</v>
      </c>
      <c r="H528" s="210" t="b">
        <f t="shared" si="16"/>
        <v>1</v>
      </c>
      <c r="I528" s="210"/>
      <c r="J528" s="210"/>
    </row>
    <row r="529" spans="1:10" ht="13.8" x14ac:dyDescent="0.25">
      <c r="A529" s="7" t="s">
        <v>495</v>
      </c>
      <c r="B529" s="55">
        <v>4345</v>
      </c>
      <c r="C529" s="26" t="s">
        <v>188</v>
      </c>
      <c r="D529" s="55"/>
      <c r="E529" s="55"/>
      <c r="F529" s="27"/>
      <c r="G529" s="27">
        <f>G530</f>
        <v>8582500000</v>
      </c>
      <c r="H529" s="210" t="b">
        <f t="shared" si="16"/>
        <v>1</v>
      </c>
      <c r="I529" s="210"/>
      <c r="J529" s="210"/>
    </row>
    <row r="530" spans="1:10" ht="13.8" x14ac:dyDescent="0.25">
      <c r="A530" s="7" t="s">
        <v>3473</v>
      </c>
      <c r="B530" s="135" t="s">
        <v>3474</v>
      </c>
      <c r="C530" s="133" t="s">
        <v>2312</v>
      </c>
      <c r="D530" s="135">
        <v>4725</v>
      </c>
      <c r="E530" s="135" t="s">
        <v>155</v>
      </c>
      <c r="F530" s="136"/>
      <c r="G530" s="136">
        <f>G531</f>
        <v>8582500000</v>
      </c>
      <c r="H530" s="210" t="b">
        <f t="shared" si="16"/>
        <v>1</v>
      </c>
      <c r="I530" s="210"/>
      <c r="J530" s="210"/>
    </row>
    <row r="531" spans="1:10" ht="13.8" x14ac:dyDescent="0.25">
      <c r="A531" s="7" t="s">
        <v>3475</v>
      </c>
      <c r="B531" s="138" t="s">
        <v>4611</v>
      </c>
      <c r="C531" s="137" t="s">
        <v>3477</v>
      </c>
      <c r="D531" s="138">
        <v>4725</v>
      </c>
      <c r="E531" s="138" t="s">
        <v>155</v>
      </c>
      <c r="F531" s="139"/>
      <c r="G531" s="139">
        <f>SUM(G532,G580)</f>
        <v>8582500000</v>
      </c>
      <c r="H531" s="210" t="b">
        <f t="shared" si="16"/>
        <v>1</v>
      </c>
      <c r="I531" s="210"/>
      <c r="J531" s="210"/>
    </row>
    <row r="532" spans="1:10" ht="13.8" x14ac:dyDescent="0.25">
      <c r="A532" s="7" t="s">
        <v>3478</v>
      </c>
      <c r="B532" s="58">
        <v>301</v>
      </c>
      <c r="C532" s="35" t="s">
        <v>189</v>
      </c>
      <c r="D532" s="58"/>
      <c r="E532" s="58"/>
      <c r="F532" s="36"/>
      <c r="G532" s="36">
        <f>SUM(G533,G552,G568,G577)</f>
        <v>8473300000</v>
      </c>
      <c r="H532" s="210" t="b">
        <f t="shared" si="16"/>
        <v>1</v>
      </c>
      <c r="I532" s="210"/>
      <c r="J532" s="210"/>
    </row>
    <row r="533" spans="1:10" ht="13.8" x14ac:dyDescent="0.25">
      <c r="A533" s="7" t="s">
        <v>3479</v>
      </c>
      <c r="B533" s="59" t="s">
        <v>8</v>
      </c>
      <c r="C533" s="38" t="s">
        <v>190</v>
      </c>
      <c r="D533" s="59"/>
      <c r="E533" s="59"/>
      <c r="F533" s="39"/>
      <c r="G533" s="39">
        <f>SUM(G534,G539,G542,G545,G547,G549)</f>
        <v>1713564000</v>
      </c>
      <c r="H533" s="210" t="b">
        <f t="shared" si="16"/>
        <v>1</v>
      </c>
      <c r="I533" s="210"/>
      <c r="J533" s="210"/>
    </row>
    <row r="534" spans="1:10" ht="13.8" x14ac:dyDescent="0.25">
      <c r="A534" s="7" t="s">
        <v>3480</v>
      </c>
      <c r="B534" s="60">
        <v>521211</v>
      </c>
      <c r="C534" s="41" t="s">
        <v>7</v>
      </c>
      <c r="D534" s="60"/>
      <c r="E534" s="60"/>
      <c r="F534" s="42"/>
      <c r="G534" s="42">
        <f>SUM(G535:G538)</f>
        <v>99100000</v>
      </c>
      <c r="H534" s="210" t="b">
        <f t="shared" si="16"/>
        <v>1</v>
      </c>
      <c r="I534" s="210"/>
      <c r="J534" s="210"/>
    </row>
    <row r="535" spans="1:10" ht="13.8" x14ac:dyDescent="0.25">
      <c r="A535" s="7" t="s">
        <v>3481</v>
      </c>
      <c r="B535" s="152"/>
      <c r="C535" s="151" t="s">
        <v>4612</v>
      </c>
      <c r="D535" s="152">
        <v>400</v>
      </c>
      <c r="E535" s="152" t="s">
        <v>10</v>
      </c>
      <c r="F535" s="153">
        <v>70000</v>
      </c>
      <c r="G535" s="153">
        <f>ROUNDDOWN(D535*F535,-3)</f>
        <v>28000000</v>
      </c>
      <c r="H535" s="210" t="b">
        <f t="shared" si="16"/>
        <v>1</v>
      </c>
      <c r="I535" s="210"/>
      <c r="J535" s="210"/>
    </row>
    <row r="536" spans="1:10" ht="13.8" x14ac:dyDescent="0.25">
      <c r="A536" s="7" t="s">
        <v>3482</v>
      </c>
      <c r="B536" s="152"/>
      <c r="C536" s="151" t="s">
        <v>4613</v>
      </c>
      <c r="D536" s="152">
        <v>10</v>
      </c>
      <c r="E536" s="152" t="s">
        <v>9</v>
      </c>
      <c r="F536" s="153">
        <v>1500000</v>
      </c>
      <c r="G536" s="153">
        <f>ROUNDDOWN(D536*F536,-3)</f>
        <v>15000000</v>
      </c>
      <c r="H536" s="210" t="b">
        <f t="shared" si="16"/>
        <v>1</v>
      </c>
      <c r="I536" s="210"/>
      <c r="J536" s="210"/>
    </row>
    <row r="537" spans="1:10" ht="13.8" x14ac:dyDescent="0.25">
      <c r="A537" s="7" t="s">
        <v>3484</v>
      </c>
      <c r="B537" s="152"/>
      <c r="C537" s="151" t="s">
        <v>4614</v>
      </c>
      <c r="D537" s="152">
        <v>120</v>
      </c>
      <c r="E537" s="152" t="s">
        <v>25</v>
      </c>
      <c r="F537" s="153">
        <v>280000</v>
      </c>
      <c r="G537" s="153">
        <f>ROUNDDOWN(D537*F537,-3)</f>
        <v>33600000</v>
      </c>
      <c r="H537" s="210" t="b">
        <f t="shared" si="16"/>
        <v>1</v>
      </c>
      <c r="I537" s="210"/>
      <c r="J537" s="210"/>
    </row>
    <row r="538" spans="1:10" ht="13.8" x14ac:dyDescent="0.25">
      <c r="A538" s="7" t="s">
        <v>3486</v>
      </c>
      <c r="B538" s="152"/>
      <c r="C538" s="151" t="s">
        <v>4615</v>
      </c>
      <c r="D538" s="152">
        <v>150</v>
      </c>
      <c r="E538" s="152" t="s">
        <v>25</v>
      </c>
      <c r="F538" s="153">
        <v>150000</v>
      </c>
      <c r="G538" s="153">
        <f>ROUNDDOWN(D538*F538,-3)</f>
        <v>22500000</v>
      </c>
      <c r="H538" s="210" t="b">
        <f t="shared" si="16"/>
        <v>1</v>
      </c>
      <c r="I538" s="210"/>
      <c r="J538" s="210"/>
    </row>
    <row r="539" spans="1:10" ht="13.8" x14ac:dyDescent="0.25">
      <c r="A539" s="7" t="s">
        <v>3488</v>
      </c>
      <c r="B539" s="60">
        <v>521219</v>
      </c>
      <c r="C539" s="41" t="s">
        <v>53</v>
      </c>
      <c r="D539" s="60"/>
      <c r="E539" s="60"/>
      <c r="F539" s="42"/>
      <c r="G539" s="42">
        <f>SUM(G540:G541)</f>
        <v>1333864000</v>
      </c>
      <c r="H539" s="210" t="b">
        <f t="shared" si="16"/>
        <v>1</v>
      </c>
      <c r="I539" s="210"/>
      <c r="J539" s="210"/>
    </row>
    <row r="540" spans="1:10" ht="13.8" x14ac:dyDescent="0.25">
      <c r="A540" s="7" t="s">
        <v>3489</v>
      </c>
      <c r="B540" s="152"/>
      <c r="C540" s="151" t="s">
        <v>4616</v>
      </c>
      <c r="D540" s="152">
        <v>33</v>
      </c>
      <c r="E540" s="152" t="s">
        <v>155</v>
      </c>
      <c r="F540" s="153">
        <v>40412550</v>
      </c>
      <c r="G540" s="153">
        <f>ROUNDDOWN(D540*F540,-3)</f>
        <v>1333614000</v>
      </c>
      <c r="H540" s="210" t="b">
        <f t="shared" si="16"/>
        <v>1</v>
      </c>
      <c r="I540" s="210"/>
      <c r="J540" s="210"/>
    </row>
    <row r="541" spans="1:10" ht="13.8" x14ac:dyDescent="0.25">
      <c r="A541" s="7" t="s">
        <v>3491</v>
      </c>
      <c r="B541" s="152"/>
      <c r="C541" s="151" t="s">
        <v>4617</v>
      </c>
      <c r="D541" s="152">
        <v>1</v>
      </c>
      <c r="E541" s="152" t="s">
        <v>9</v>
      </c>
      <c r="F541" s="153">
        <v>250000</v>
      </c>
      <c r="G541" s="153">
        <f>ROUNDDOWN(D541*F541,-3)</f>
        <v>250000</v>
      </c>
      <c r="H541" s="210" t="b">
        <f t="shared" si="16"/>
        <v>1</v>
      </c>
      <c r="I541" s="210"/>
      <c r="J541" s="210"/>
    </row>
    <row r="542" spans="1:10" ht="13.8" x14ac:dyDescent="0.25">
      <c r="A542" s="7" t="s">
        <v>3492</v>
      </c>
      <c r="B542" s="60">
        <v>521811</v>
      </c>
      <c r="C542" s="41" t="s">
        <v>64</v>
      </c>
      <c r="D542" s="60"/>
      <c r="E542" s="60"/>
      <c r="F542" s="42"/>
      <c r="G542" s="42">
        <f>SUM(G543:G544)</f>
        <v>25000000</v>
      </c>
      <c r="H542" s="210" t="b">
        <f t="shared" si="16"/>
        <v>1</v>
      </c>
      <c r="I542" s="210"/>
      <c r="J542" s="210"/>
    </row>
    <row r="543" spans="1:10" ht="13.8" x14ac:dyDescent="0.25">
      <c r="A543" s="7" t="s">
        <v>3493</v>
      </c>
      <c r="B543" s="152"/>
      <c r="C543" s="151" t="s">
        <v>4269</v>
      </c>
      <c r="D543" s="152">
        <v>10</v>
      </c>
      <c r="E543" s="152" t="s">
        <v>9</v>
      </c>
      <c r="F543" s="153">
        <v>1000000</v>
      </c>
      <c r="G543" s="153">
        <f>ROUNDDOWN(D543*F543,-3)</f>
        <v>10000000</v>
      </c>
      <c r="H543" s="210" t="b">
        <f t="shared" si="16"/>
        <v>1</v>
      </c>
      <c r="I543" s="210"/>
      <c r="J543" s="210"/>
    </row>
    <row r="544" spans="1:10" ht="13.8" x14ac:dyDescent="0.25">
      <c r="A544" s="7" t="s">
        <v>3494</v>
      </c>
      <c r="B544" s="152"/>
      <c r="C544" s="151" t="s">
        <v>3632</v>
      </c>
      <c r="D544" s="152">
        <v>10</v>
      </c>
      <c r="E544" s="152" t="s">
        <v>9</v>
      </c>
      <c r="F544" s="153">
        <v>1500000</v>
      </c>
      <c r="G544" s="153">
        <f>ROUNDDOWN(D544*F544,-3)</f>
        <v>15000000</v>
      </c>
      <c r="H544" s="210" t="b">
        <f t="shared" si="16"/>
        <v>1</v>
      </c>
      <c r="I544" s="210"/>
      <c r="J544" s="210"/>
    </row>
    <row r="545" spans="1:10" ht="13.8" x14ac:dyDescent="0.25">
      <c r="A545" s="7" t="s">
        <v>3495</v>
      </c>
      <c r="B545" s="60">
        <v>522151</v>
      </c>
      <c r="C545" s="41" t="s">
        <v>11</v>
      </c>
      <c r="D545" s="60"/>
      <c r="E545" s="60"/>
      <c r="F545" s="42"/>
      <c r="G545" s="42">
        <f>G546</f>
        <v>15000000</v>
      </c>
      <c r="H545" s="210" t="b">
        <f t="shared" si="16"/>
        <v>1</v>
      </c>
      <c r="I545" s="210"/>
      <c r="J545" s="210"/>
    </row>
    <row r="546" spans="1:10" ht="13.8" x14ac:dyDescent="0.25">
      <c r="A546" s="7" t="s">
        <v>3496</v>
      </c>
      <c r="B546" s="152"/>
      <c r="C546" s="151" t="s">
        <v>3715</v>
      </c>
      <c r="D546" s="152">
        <v>15</v>
      </c>
      <c r="E546" s="152" t="s">
        <v>12</v>
      </c>
      <c r="F546" s="153">
        <v>1000000</v>
      </c>
      <c r="G546" s="153">
        <f>ROUNDDOWN(D546*F546,-3)</f>
        <v>15000000</v>
      </c>
      <c r="H546" s="210" t="b">
        <f t="shared" si="16"/>
        <v>1</v>
      </c>
      <c r="I546" s="210"/>
      <c r="J546" s="210"/>
    </row>
    <row r="547" spans="1:10" ht="13.8" x14ac:dyDescent="0.25">
      <c r="A547" s="7" t="s">
        <v>3497</v>
      </c>
      <c r="B547" s="60">
        <v>522191</v>
      </c>
      <c r="C547" s="41" t="s">
        <v>22</v>
      </c>
      <c r="D547" s="60"/>
      <c r="E547" s="60"/>
      <c r="F547" s="42"/>
      <c r="G547" s="42">
        <f>G548</f>
        <v>102600000</v>
      </c>
      <c r="H547" s="210" t="b">
        <f t="shared" si="16"/>
        <v>1</v>
      </c>
      <c r="I547" s="210"/>
      <c r="J547" s="210"/>
    </row>
    <row r="548" spans="1:10" ht="13.8" x14ac:dyDescent="0.25">
      <c r="A548" s="7" t="s">
        <v>3498</v>
      </c>
      <c r="B548" s="152"/>
      <c r="C548" s="151" t="s">
        <v>4618</v>
      </c>
      <c r="D548" s="152">
        <v>120</v>
      </c>
      <c r="E548" s="152" t="s">
        <v>155</v>
      </c>
      <c r="F548" s="153">
        <v>855000</v>
      </c>
      <c r="G548" s="153">
        <f>ROUNDDOWN(D548*F548,-3)</f>
        <v>102600000</v>
      </c>
      <c r="H548" s="210" t="b">
        <f t="shared" si="16"/>
        <v>1</v>
      </c>
      <c r="I548" s="210"/>
      <c r="J548" s="210"/>
    </row>
    <row r="549" spans="1:10" ht="13.8" x14ac:dyDescent="0.25">
      <c r="A549" s="7" t="s">
        <v>3500</v>
      </c>
      <c r="B549" s="60">
        <v>524111</v>
      </c>
      <c r="C549" s="41" t="s">
        <v>19</v>
      </c>
      <c r="D549" s="60"/>
      <c r="E549" s="60"/>
      <c r="F549" s="42"/>
      <c r="G549" s="42">
        <f>SUM(G550:G551)</f>
        <v>138000000</v>
      </c>
      <c r="H549" s="210" t="b">
        <f t="shared" si="16"/>
        <v>1</v>
      </c>
      <c r="I549" s="210"/>
      <c r="J549" s="210"/>
    </row>
    <row r="550" spans="1:10" ht="13.8" x14ac:dyDescent="0.25">
      <c r="A550" s="7" t="s">
        <v>3501</v>
      </c>
      <c r="B550" s="152"/>
      <c r="C550" s="151" t="s">
        <v>4619</v>
      </c>
      <c r="D550" s="152">
        <v>50</v>
      </c>
      <c r="E550" s="152" t="s">
        <v>10</v>
      </c>
      <c r="F550" s="153">
        <v>1200000</v>
      </c>
      <c r="G550" s="153">
        <f>ROUNDDOWN(D550*F550,-3)</f>
        <v>60000000</v>
      </c>
      <c r="H550" s="210" t="b">
        <f t="shared" si="16"/>
        <v>1</v>
      </c>
      <c r="I550" s="210"/>
      <c r="J550" s="210"/>
    </row>
    <row r="551" spans="1:10" ht="13.8" x14ac:dyDescent="0.25">
      <c r="A551" s="7" t="s">
        <v>3503</v>
      </c>
      <c r="B551" s="152"/>
      <c r="C551" s="151" t="s">
        <v>4620</v>
      </c>
      <c r="D551" s="152">
        <v>12</v>
      </c>
      <c r="E551" s="152" t="s">
        <v>10</v>
      </c>
      <c r="F551" s="153">
        <v>6500000</v>
      </c>
      <c r="G551" s="153">
        <f>ROUNDDOWN(D551*F551,-3)</f>
        <v>78000000</v>
      </c>
      <c r="H551" s="210" t="b">
        <f t="shared" si="16"/>
        <v>1</v>
      </c>
      <c r="I551" s="210"/>
      <c r="J551" s="210"/>
    </row>
    <row r="552" spans="1:10" ht="13.8" x14ac:dyDescent="0.25">
      <c r="A552" s="7" t="s">
        <v>3505</v>
      </c>
      <c r="B552" s="59" t="s">
        <v>511</v>
      </c>
      <c r="C552" s="38" t="s">
        <v>191</v>
      </c>
      <c r="D552" s="59"/>
      <c r="E552" s="59"/>
      <c r="F552" s="39"/>
      <c r="G552" s="39">
        <f>SUM(G553,G556,G560,G563,G565)</f>
        <v>6555695000</v>
      </c>
      <c r="H552" s="210" t="b">
        <f t="shared" si="16"/>
        <v>1</v>
      </c>
      <c r="I552" s="210"/>
      <c r="J552" s="210"/>
    </row>
    <row r="553" spans="1:10" ht="13.8" x14ac:dyDescent="0.25">
      <c r="A553" s="7" t="s">
        <v>3506</v>
      </c>
      <c r="B553" s="60">
        <v>521211</v>
      </c>
      <c r="C553" s="41" t="s">
        <v>7</v>
      </c>
      <c r="D553" s="60"/>
      <c r="E553" s="60"/>
      <c r="F553" s="42"/>
      <c r="G553" s="42">
        <f>SUM(G554:G555)</f>
        <v>25000000</v>
      </c>
      <c r="H553" s="210" t="b">
        <f t="shared" si="16"/>
        <v>1</v>
      </c>
      <c r="I553" s="210"/>
      <c r="J553" s="210"/>
    </row>
    <row r="554" spans="1:10" ht="13.8" x14ac:dyDescent="0.25">
      <c r="A554" s="7" t="s">
        <v>3507</v>
      </c>
      <c r="B554" s="152"/>
      <c r="C554" s="151" t="s">
        <v>4612</v>
      </c>
      <c r="D554" s="152">
        <v>100</v>
      </c>
      <c r="E554" s="152" t="s">
        <v>10</v>
      </c>
      <c r="F554" s="153">
        <v>70000</v>
      </c>
      <c r="G554" s="153">
        <f>ROUNDDOWN(D554*F554,-3)</f>
        <v>7000000</v>
      </c>
      <c r="H554" s="210" t="b">
        <f t="shared" si="16"/>
        <v>1</v>
      </c>
      <c r="I554" s="210"/>
      <c r="J554" s="210"/>
    </row>
    <row r="555" spans="1:10" ht="13.8" x14ac:dyDescent="0.25">
      <c r="A555" s="7" t="s">
        <v>3508</v>
      </c>
      <c r="B555" s="152"/>
      <c r="C555" s="151" t="s">
        <v>4613</v>
      </c>
      <c r="D555" s="152">
        <v>12</v>
      </c>
      <c r="E555" s="152" t="s">
        <v>9</v>
      </c>
      <c r="F555" s="153">
        <v>1500000</v>
      </c>
      <c r="G555" s="153">
        <f>ROUNDDOWN(D555*F555,-3)</f>
        <v>18000000</v>
      </c>
      <c r="H555" s="210" t="b">
        <f t="shared" si="16"/>
        <v>1</v>
      </c>
      <c r="I555" s="210"/>
      <c r="J555" s="210"/>
    </row>
    <row r="556" spans="1:10" ht="13.8" x14ac:dyDescent="0.25">
      <c r="A556" s="7" t="s">
        <v>3509</v>
      </c>
      <c r="B556" s="60">
        <v>521219</v>
      </c>
      <c r="C556" s="41" t="s">
        <v>53</v>
      </c>
      <c r="D556" s="60"/>
      <c r="E556" s="60"/>
      <c r="F556" s="42"/>
      <c r="G556" s="42">
        <f>SUM(G557:G559)</f>
        <v>6308695000</v>
      </c>
      <c r="H556" s="210" t="b">
        <f t="shared" si="16"/>
        <v>1</v>
      </c>
      <c r="I556" s="210"/>
      <c r="J556" s="210"/>
    </row>
    <row r="557" spans="1:10" ht="13.8" x14ac:dyDescent="0.25">
      <c r="A557" s="7" t="s">
        <v>3510</v>
      </c>
      <c r="B557" s="152"/>
      <c r="C557" s="151" t="s">
        <v>4616</v>
      </c>
      <c r="D557" s="152">
        <v>157</v>
      </c>
      <c r="E557" s="152" t="s">
        <v>155</v>
      </c>
      <c r="F557" s="153">
        <v>40130229</v>
      </c>
      <c r="G557" s="153">
        <f>ROUNDDOWN(D557*F557,-3)</f>
        <v>6300445000</v>
      </c>
      <c r="H557" s="210" t="b">
        <f t="shared" si="16"/>
        <v>1</v>
      </c>
      <c r="I557" s="210"/>
      <c r="J557" s="210"/>
    </row>
    <row r="558" spans="1:10" ht="13.8" x14ac:dyDescent="0.25">
      <c r="A558" s="7" t="s">
        <v>3511</v>
      </c>
      <c r="B558" s="152"/>
      <c r="C558" s="151" t="s">
        <v>4617</v>
      </c>
      <c r="D558" s="152">
        <v>3</v>
      </c>
      <c r="E558" s="152" t="s">
        <v>9</v>
      </c>
      <c r="F558" s="153">
        <v>250000</v>
      </c>
      <c r="G558" s="153">
        <f>ROUNDDOWN(D558*F558,-3)</f>
        <v>750000</v>
      </c>
      <c r="H558" s="210" t="b">
        <f t="shared" si="16"/>
        <v>1</v>
      </c>
      <c r="I558" s="210"/>
      <c r="J558" s="210"/>
    </row>
    <row r="559" spans="1:10" ht="13.8" x14ac:dyDescent="0.25">
      <c r="A559" s="7" t="s">
        <v>3512</v>
      </c>
      <c r="B559" s="152"/>
      <c r="C559" s="151" t="s">
        <v>4621</v>
      </c>
      <c r="D559" s="152">
        <v>15</v>
      </c>
      <c r="E559" s="152" t="s">
        <v>106</v>
      </c>
      <c r="F559" s="153">
        <v>500000</v>
      </c>
      <c r="G559" s="153">
        <f>ROUNDDOWN(D559*F559,-3)</f>
        <v>7500000</v>
      </c>
      <c r="H559" s="210" t="b">
        <f t="shared" si="16"/>
        <v>1</v>
      </c>
      <c r="I559" s="210"/>
      <c r="J559" s="210"/>
    </row>
    <row r="560" spans="1:10" ht="13.8" x14ac:dyDescent="0.25">
      <c r="A560" s="7" t="s">
        <v>3514</v>
      </c>
      <c r="B560" s="60">
        <v>521811</v>
      </c>
      <c r="C560" s="41" t="s">
        <v>64</v>
      </c>
      <c r="D560" s="60"/>
      <c r="E560" s="60"/>
      <c r="F560" s="42"/>
      <c r="G560" s="42">
        <f>SUM(G561:G562)</f>
        <v>30000000</v>
      </c>
      <c r="H560" s="210" t="b">
        <f t="shared" si="16"/>
        <v>1</v>
      </c>
      <c r="I560" s="210"/>
      <c r="J560" s="210"/>
    </row>
    <row r="561" spans="1:10" ht="13.8" x14ac:dyDescent="0.25">
      <c r="A561" s="7" t="s">
        <v>3515</v>
      </c>
      <c r="B561" s="152"/>
      <c r="C561" s="151" t="s">
        <v>4269</v>
      </c>
      <c r="D561" s="152">
        <v>12</v>
      </c>
      <c r="E561" s="152" t="s">
        <v>9</v>
      </c>
      <c r="F561" s="153">
        <v>1000000</v>
      </c>
      <c r="G561" s="153">
        <f>ROUNDDOWN(D561*F561,-3)</f>
        <v>12000000</v>
      </c>
      <c r="H561" s="210" t="b">
        <f t="shared" si="16"/>
        <v>1</v>
      </c>
      <c r="I561" s="210"/>
      <c r="J561" s="210"/>
    </row>
    <row r="562" spans="1:10" ht="13.8" x14ac:dyDescent="0.25">
      <c r="A562" s="7" t="s">
        <v>3516</v>
      </c>
      <c r="B562" s="152"/>
      <c r="C562" s="151" t="s">
        <v>3632</v>
      </c>
      <c r="D562" s="152">
        <v>12</v>
      </c>
      <c r="E562" s="152" t="s">
        <v>9</v>
      </c>
      <c r="F562" s="153">
        <v>1500000</v>
      </c>
      <c r="G562" s="153">
        <f>ROUNDDOWN(D562*F562,-3)</f>
        <v>18000000</v>
      </c>
      <c r="H562" s="210" t="b">
        <f t="shared" si="16"/>
        <v>1</v>
      </c>
      <c r="I562" s="210"/>
      <c r="J562" s="210"/>
    </row>
    <row r="563" spans="1:10" ht="13.8" x14ac:dyDescent="0.25">
      <c r="A563" s="7" t="s">
        <v>3517</v>
      </c>
      <c r="B563" s="60">
        <v>522151</v>
      </c>
      <c r="C563" s="41" t="s">
        <v>11</v>
      </c>
      <c r="D563" s="60"/>
      <c r="E563" s="60"/>
      <c r="F563" s="42"/>
      <c r="G563" s="42">
        <f>G564</f>
        <v>6000000</v>
      </c>
      <c r="H563" s="210" t="b">
        <f t="shared" si="16"/>
        <v>1</v>
      </c>
      <c r="I563" s="210"/>
      <c r="J563" s="210"/>
    </row>
    <row r="564" spans="1:10" ht="13.8" x14ac:dyDescent="0.25">
      <c r="A564" s="7" t="s">
        <v>3518</v>
      </c>
      <c r="B564" s="152"/>
      <c r="C564" s="151" t="s">
        <v>3715</v>
      </c>
      <c r="D564" s="152">
        <v>6</v>
      </c>
      <c r="E564" s="152" t="s">
        <v>12</v>
      </c>
      <c r="F564" s="153">
        <v>1000000</v>
      </c>
      <c r="G564" s="153">
        <f>ROUNDDOWN(D564*F564,-3)</f>
        <v>6000000</v>
      </c>
      <c r="H564" s="210" t="b">
        <f t="shared" si="16"/>
        <v>1</v>
      </c>
      <c r="I564" s="210"/>
      <c r="J564" s="210"/>
    </row>
    <row r="565" spans="1:10" ht="13.8" x14ac:dyDescent="0.25">
      <c r="A565" s="7" t="s">
        <v>3519</v>
      </c>
      <c r="B565" s="60">
        <v>524111</v>
      </c>
      <c r="C565" s="41" t="s">
        <v>19</v>
      </c>
      <c r="D565" s="60"/>
      <c r="E565" s="60"/>
      <c r="F565" s="42"/>
      <c r="G565" s="42">
        <f>SUM(G566:G567)</f>
        <v>186000000</v>
      </c>
      <c r="H565" s="210" t="b">
        <f t="shared" si="16"/>
        <v>1</v>
      </c>
      <c r="I565" s="210"/>
      <c r="J565" s="210"/>
    </row>
    <row r="566" spans="1:10" ht="13.8" x14ac:dyDescent="0.25">
      <c r="A566" s="7" t="s">
        <v>3520</v>
      </c>
      <c r="B566" s="152"/>
      <c r="C566" s="151" t="s">
        <v>4619</v>
      </c>
      <c r="D566" s="152">
        <v>20</v>
      </c>
      <c r="E566" s="152" t="s">
        <v>10</v>
      </c>
      <c r="F566" s="153">
        <v>1500000</v>
      </c>
      <c r="G566" s="153">
        <f>ROUNDDOWN(D566*F566,-3)</f>
        <v>30000000</v>
      </c>
      <c r="H566" s="210" t="b">
        <f t="shared" si="16"/>
        <v>1</v>
      </c>
      <c r="I566" s="210"/>
      <c r="J566" s="210"/>
    </row>
    <row r="567" spans="1:10" ht="13.8" x14ac:dyDescent="0.25">
      <c r="A567" s="7" t="s">
        <v>3521</v>
      </c>
      <c r="B567" s="152"/>
      <c r="C567" s="151" t="s">
        <v>4620</v>
      </c>
      <c r="D567" s="152">
        <v>24</v>
      </c>
      <c r="E567" s="152" t="s">
        <v>10</v>
      </c>
      <c r="F567" s="153">
        <v>6500000</v>
      </c>
      <c r="G567" s="153">
        <f>ROUNDDOWN(D567*F567,-3)</f>
        <v>156000000</v>
      </c>
      <c r="H567" s="210" t="b">
        <f t="shared" si="16"/>
        <v>1</v>
      </c>
      <c r="I567" s="210"/>
      <c r="J567" s="210"/>
    </row>
    <row r="568" spans="1:10" ht="13.8" x14ac:dyDescent="0.25">
      <c r="A568" s="7" t="s">
        <v>3522</v>
      </c>
      <c r="B568" s="59" t="s">
        <v>512</v>
      </c>
      <c r="C568" s="38" t="s">
        <v>192</v>
      </c>
      <c r="D568" s="59"/>
      <c r="E568" s="59"/>
      <c r="F568" s="39"/>
      <c r="G568" s="39">
        <f>SUM(G569,G573,G575)</f>
        <v>174041000</v>
      </c>
      <c r="H568" s="210" t="b">
        <f t="shared" si="16"/>
        <v>1</v>
      </c>
      <c r="I568" s="210"/>
      <c r="J568" s="210"/>
    </row>
    <row r="569" spans="1:10" ht="13.8" x14ac:dyDescent="0.25">
      <c r="A569" s="7" t="s">
        <v>3523</v>
      </c>
      <c r="B569" s="60">
        <v>521211</v>
      </c>
      <c r="C569" s="41" t="s">
        <v>7</v>
      </c>
      <c r="D569" s="60"/>
      <c r="E569" s="60"/>
      <c r="F569" s="42"/>
      <c r="G569" s="42">
        <f>SUM(G570:G572)</f>
        <v>12000000</v>
      </c>
      <c r="H569" s="210" t="b">
        <f t="shared" si="16"/>
        <v>1</v>
      </c>
      <c r="I569" s="210"/>
      <c r="J569" s="210"/>
    </row>
    <row r="570" spans="1:10" ht="13.8" x14ac:dyDescent="0.25">
      <c r="A570" s="7" t="s">
        <v>3524</v>
      </c>
      <c r="B570" s="152"/>
      <c r="C570" s="151" t="s">
        <v>4622</v>
      </c>
      <c r="D570" s="152">
        <v>3</v>
      </c>
      <c r="E570" s="152" t="s">
        <v>9</v>
      </c>
      <c r="F570" s="153">
        <v>1500000</v>
      </c>
      <c r="G570" s="153">
        <f>ROUNDDOWN(D570*F570,-3)</f>
        <v>4500000</v>
      </c>
      <c r="H570" s="210" t="b">
        <f t="shared" si="16"/>
        <v>1</v>
      </c>
      <c r="I570" s="210"/>
      <c r="J570" s="210"/>
    </row>
    <row r="571" spans="1:10" ht="13.8" x14ac:dyDescent="0.25">
      <c r="A571" s="7" t="s">
        <v>3525</v>
      </c>
      <c r="B571" s="152"/>
      <c r="C571" s="151" t="s">
        <v>3626</v>
      </c>
      <c r="D571" s="152">
        <v>3</v>
      </c>
      <c r="E571" s="152" t="s">
        <v>9</v>
      </c>
      <c r="F571" s="153">
        <v>1000000</v>
      </c>
      <c r="G571" s="153">
        <f>ROUNDDOWN(D571*F571,-3)</f>
        <v>3000000</v>
      </c>
      <c r="H571" s="210" t="b">
        <f t="shared" si="16"/>
        <v>1</v>
      </c>
      <c r="I571" s="210"/>
      <c r="J571" s="210"/>
    </row>
    <row r="572" spans="1:10" ht="13.8" x14ac:dyDescent="0.25">
      <c r="A572" s="7" t="s">
        <v>3526</v>
      </c>
      <c r="B572" s="152"/>
      <c r="C572" s="151" t="s">
        <v>3600</v>
      </c>
      <c r="D572" s="152">
        <v>3</v>
      </c>
      <c r="E572" s="152" t="s">
        <v>9</v>
      </c>
      <c r="F572" s="153">
        <v>1500000</v>
      </c>
      <c r="G572" s="153">
        <f>ROUNDDOWN(D572*F572,-3)</f>
        <v>4500000</v>
      </c>
      <c r="H572" s="210" t="b">
        <f t="shared" si="16"/>
        <v>1</v>
      </c>
      <c r="I572" s="210"/>
      <c r="J572" s="210"/>
    </row>
    <row r="573" spans="1:10" ht="13.8" x14ac:dyDescent="0.25">
      <c r="A573" s="7" t="s">
        <v>3527</v>
      </c>
      <c r="B573" s="60">
        <v>521219</v>
      </c>
      <c r="C573" s="41" t="s">
        <v>53</v>
      </c>
      <c r="D573" s="60"/>
      <c r="E573" s="60"/>
      <c r="F573" s="42"/>
      <c r="G573" s="42">
        <f>G574</f>
        <v>20000000</v>
      </c>
      <c r="H573" s="210" t="b">
        <f t="shared" si="16"/>
        <v>1</v>
      </c>
      <c r="I573" s="210"/>
      <c r="J573" s="210"/>
    </row>
    <row r="574" spans="1:10" ht="13.8" x14ac:dyDescent="0.25">
      <c r="A574" s="7" t="s">
        <v>3528</v>
      </c>
      <c r="B574" s="152"/>
      <c r="C574" s="151" t="s">
        <v>4623</v>
      </c>
      <c r="D574" s="152">
        <v>2</v>
      </c>
      <c r="E574" s="152" t="s">
        <v>155</v>
      </c>
      <c r="F574" s="153">
        <v>10000000</v>
      </c>
      <c r="G574" s="153">
        <f>ROUNDDOWN(D574*F574,-3)</f>
        <v>20000000</v>
      </c>
      <c r="H574" s="210" t="b">
        <f t="shared" si="16"/>
        <v>1</v>
      </c>
      <c r="I574" s="210"/>
      <c r="J574" s="210"/>
    </row>
    <row r="575" spans="1:10" ht="13.8" x14ac:dyDescent="0.25">
      <c r="A575" s="7" t="s">
        <v>3530</v>
      </c>
      <c r="B575" s="60">
        <v>524211</v>
      </c>
      <c r="C575" s="41" t="s">
        <v>1151</v>
      </c>
      <c r="D575" s="60"/>
      <c r="E575" s="60"/>
      <c r="F575" s="42"/>
      <c r="G575" s="42">
        <f>G576</f>
        <v>142041000</v>
      </c>
      <c r="H575" s="210" t="b">
        <f t="shared" si="16"/>
        <v>1</v>
      </c>
      <c r="I575" s="210"/>
      <c r="J575" s="210"/>
    </row>
    <row r="576" spans="1:10" ht="13.8" x14ac:dyDescent="0.25">
      <c r="A576" s="7" t="s">
        <v>3531</v>
      </c>
      <c r="B576" s="152"/>
      <c r="C576" s="151" t="s">
        <v>4624</v>
      </c>
      <c r="D576" s="152">
        <v>3</v>
      </c>
      <c r="E576" s="152" t="s">
        <v>10</v>
      </c>
      <c r="F576" s="153">
        <v>47347000</v>
      </c>
      <c r="G576" s="153">
        <f>ROUNDDOWN(D576*F576,-3)</f>
        <v>142041000</v>
      </c>
      <c r="H576" s="210" t="b">
        <f t="shared" si="16"/>
        <v>1</v>
      </c>
      <c r="I576" s="210"/>
      <c r="J576" s="210"/>
    </row>
    <row r="577" spans="1:10" ht="13.8" x14ac:dyDescent="0.25">
      <c r="A577" s="7" t="s">
        <v>3533</v>
      </c>
      <c r="B577" s="59" t="s">
        <v>514</v>
      </c>
      <c r="C577" s="38" t="s">
        <v>3534</v>
      </c>
      <c r="D577" s="59"/>
      <c r="E577" s="59"/>
      <c r="F577" s="39"/>
      <c r="G577" s="39">
        <f>G578</f>
        <v>30000000</v>
      </c>
      <c r="H577" s="210" t="b">
        <f t="shared" si="16"/>
        <v>1</v>
      </c>
      <c r="I577" s="210"/>
      <c r="J577" s="210"/>
    </row>
    <row r="578" spans="1:10" ht="13.8" x14ac:dyDescent="0.25">
      <c r="A578" s="7" t="s">
        <v>3535</v>
      </c>
      <c r="B578" s="60">
        <v>522192</v>
      </c>
      <c r="C578" s="41" t="s">
        <v>24</v>
      </c>
      <c r="D578" s="60"/>
      <c r="E578" s="60"/>
      <c r="F578" s="42"/>
      <c r="G578" s="42">
        <f>G579</f>
        <v>30000000</v>
      </c>
      <c r="H578" s="210" t="b">
        <f t="shared" si="16"/>
        <v>1</v>
      </c>
      <c r="I578" s="210"/>
      <c r="J578" s="210"/>
    </row>
    <row r="579" spans="1:10" ht="13.8" x14ac:dyDescent="0.25">
      <c r="A579" s="7" t="s">
        <v>3536</v>
      </c>
      <c r="B579" s="152"/>
      <c r="C579" s="151" t="s">
        <v>4625</v>
      </c>
      <c r="D579" s="152">
        <v>120</v>
      </c>
      <c r="E579" s="152" t="s">
        <v>776</v>
      </c>
      <c r="F579" s="153">
        <v>250000</v>
      </c>
      <c r="G579" s="153">
        <f>ROUNDDOWN(D579*F579,-3)</f>
        <v>30000000</v>
      </c>
      <c r="H579" s="210" t="b">
        <f t="shared" si="16"/>
        <v>1</v>
      </c>
      <c r="I579" s="210"/>
      <c r="J579" s="210"/>
    </row>
    <row r="580" spans="1:10" ht="13.8" x14ac:dyDescent="0.25">
      <c r="A580" s="7" t="s">
        <v>3538</v>
      </c>
      <c r="B580" s="58">
        <v>302</v>
      </c>
      <c r="C580" s="35" t="s">
        <v>193</v>
      </c>
      <c r="D580" s="58"/>
      <c r="E580" s="58"/>
      <c r="F580" s="36"/>
      <c r="G580" s="36">
        <f>G581</f>
        <v>109200000</v>
      </c>
      <c r="H580" s="210" t="b">
        <f t="shared" si="16"/>
        <v>1</v>
      </c>
      <c r="I580" s="210"/>
      <c r="J580" s="210"/>
    </row>
    <row r="581" spans="1:10" ht="13.8" x14ac:dyDescent="0.25">
      <c r="A581" s="7" t="s">
        <v>3539</v>
      </c>
      <c r="B581" s="59" t="s">
        <v>8</v>
      </c>
      <c r="C581" s="38" t="s">
        <v>193</v>
      </c>
      <c r="D581" s="59"/>
      <c r="E581" s="59"/>
      <c r="F581" s="39"/>
      <c r="G581" s="39">
        <f>SUM(G582,G585,G588)</f>
        <v>109200000</v>
      </c>
      <c r="H581" s="210" t="b">
        <f t="shared" si="16"/>
        <v>1</v>
      </c>
      <c r="I581" s="210"/>
      <c r="J581" s="210"/>
    </row>
    <row r="582" spans="1:10" ht="13.8" x14ac:dyDescent="0.25">
      <c r="A582" s="7" t="s">
        <v>3540</v>
      </c>
      <c r="B582" s="60">
        <v>521211</v>
      </c>
      <c r="C582" s="41" t="s">
        <v>7</v>
      </c>
      <c r="D582" s="60"/>
      <c r="E582" s="60"/>
      <c r="F582" s="42"/>
      <c r="G582" s="42">
        <f>SUM(G583:G584)</f>
        <v>25000000</v>
      </c>
      <c r="H582" s="210" t="b">
        <f t="shared" si="16"/>
        <v>1</v>
      </c>
      <c r="I582" s="210"/>
      <c r="J582" s="210"/>
    </row>
    <row r="583" spans="1:10" ht="13.8" x14ac:dyDescent="0.25">
      <c r="A583" s="7" t="s">
        <v>3541</v>
      </c>
      <c r="B583" s="152"/>
      <c r="C583" s="151" t="s">
        <v>4612</v>
      </c>
      <c r="D583" s="152">
        <v>100</v>
      </c>
      <c r="E583" s="152" t="s">
        <v>10</v>
      </c>
      <c r="F583" s="153">
        <v>70000</v>
      </c>
      <c r="G583" s="153">
        <f>ROUNDDOWN(D583*F583,-3)</f>
        <v>7000000</v>
      </c>
      <c r="H583" s="210" t="b">
        <f t="shared" si="16"/>
        <v>1</v>
      </c>
      <c r="I583" s="210"/>
      <c r="J583" s="210"/>
    </row>
    <row r="584" spans="1:10" ht="13.8" x14ac:dyDescent="0.25">
      <c r="A584" s="7" t="s">
        <v>3542</v>
      </c>
      <c r="B584" s="152"/>
      <c r="C584" s="151" t="s">
        <v>4613</v>
      </c>
      <c r="D584" s="152">
        <v>12</v>
      </c>
      <c r="E584" s="152" t="s">
        <v>9</v>
      </c>
      <c r="F584" s="153">
        <v>1500000</v>
      </c>
      <c r="G584" s="153">
        <f>ROUNDDOWN(D584*F584,-3)</f>
        <v>18000000</v>
      </c>
      <c r="H584" s="210" t="b">
        <f t="shared" si="16"/>
        <v>1</v>
      </c>
      <c r="I584" s="210"/>
      <c r="J584" s="210"/>
    </row>
    <row r="585" spans="1:10" ht="13.8" x14ac:dyDescent="0.25">
      <c r="A585" s="7" t="s">
        <v>3543</v>
      </c>
      <c r="B585" s="60">
        <v>521811</v>
      </c>
      <c r="C585" s="41" t="s">
        <v>64</v>
      </c>
      <c r="D585" s="60"/>
      <c r="E585" s="60"/>
      <c r="F585" s="42"/>
      <c r="G585" s="42">
        <f>SUM(G586:G587)</f>
        <v>30000000</v>
      </c>
      <c r="H585" s="210" t="b">
        <f t="shared" si="16"/>
        <v>1</v>
      </c>
      <c r="I585" s="210"/>
      <c r="J585" s="210"/>
    </row>
    <row r="586" spans="1:10" ht="13.8" x14ac:dyDescent="0.25">
      <c r="A586" s="7" t="s">
        <v>3544</v>
      </c>
      <c r="B586" s="152"/>
      <c r="C586" s="151" t="s">
        <v>4269</v>
      </c>
      <c r="D586" s="152">
        <v>12</v>
      </c>
      <c r="E586" s="152" t="s">
        <v>9</v>
      </c>
      <c r="F586" s="153">
        <v>1000000</v>
      </c>
      <c r="G586" s="153">
        <f>ROUNDDOWN(D586*F586,-3)</f>
        <v>12000000</v>
      </c>
      <c r="H586" s="210" t="b">
        <f t="shared" si="16"/>
        <v>1</v>
      </c>
      <c r="I586" s="210"/>
      <c r="J586" s="210"/>
    </row>
    <row r="587" spans="1:10" ht="13.8" x14ac:dyDescent="0.25">
      <c r="A587" s="7" t="s">
        <v>3545</v>
      </c>
      <c r="B587" s="152"/>
      <c r="C587" s="151" t="s">
        <v>3632</v>
      </c>
      <c r="D587" s="152">
        <v>12</v>
      </c>
      <c r="E587" s="152" t="s">
        <v>9</v>
      </c>
      <c r="F587" s="153">
        <v>1500000</v>
      </c>
      <c r="G587" s="153">
        <f>ROUNDDOWN(D587*F587,-3)</f>
        <v>18000000</v>
      </c>
      <c r="H587" s="210" t="b">
        <f t="shared" si="16"/>
        <v>1</v>
      </c>
      <c r="I587" s="210"/>
      <c r="J587" s="210"/>
    </row>
    <row r="588" spans="1:10" ht="13.8" x14ac:dyDescent="0.25">
      <c r="A588" s="7" t="s">
        <v>3546</v>
      </c>
      <c r="B588" s="60">
        <v>524111</v>
      </c>
      <c r="C588" s="41" t="s">
        <v>19</v>
      </c>
      <c r="D588" s="60"/>
      <c r="E588" s="60"/>
      <c r="F588" s="42"/>
      <c r="G588" s="42">
        <f>G589</f>
        <v>54200000</v>
      </c>
      <c r="H588" s="210" t="b">
        <f t="shared" si="16"/>
        <v>1</v>
      </c>
      <c r="I588" s="210"/>
      <c r="J588" s="210"/>
    </row>
    <row r="589" spans="1:10" ht="13.8" x14ac:dyDescent="0.25">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73" priority="14">
      <formula>NOT(_xlfn.ISFORMULA(G12))</formula>
    </cfRule>
  </conditionalFormatting>
  <conditionalFormatting sqref="B11:J12 H13:J589">
    <cfRule type="expression" dxfId="572" priority="15">
      <formula>AND(#REF!="Ya",#REF!=ROW())</formula>
    </cfRule>
  </conditionalFormatting>
  <conditionalFormatting sqref="B561:F561 G586:G587 G583:G584 G579 G576 G574 G570:G572 G566:G567 G564 G561:G562 B13:G560">
    <cfRule type="expression" dxfId="571" priority="13">
      <formula>AND($R$4="Ya",$Q$2=ROW())</formula>
    </cfRule>
  </conditionalFormatting>
  <conditionalFormatting sqref="G589">
    <cfRule type="expression" dxfId="570" priority="12">
      <formula>AND($R$4="Ya",$Q$2=ROW())</formula>
    </cfRule>
  </conditionalFormatting>
  <conditionalFormatting sqref="G589 G586:G587 G583:G584 G579 G576 G574 G570:G572 G566:G567 G564 G561:G562">
    <cfRule type="expression" dxfId="569" priority="11">
      <formula>NOT(_xlfn.ISFORMULA(G561))</formula>
    </cfRule>
  </conditionalFormatting>
  <conditionalFormatting sqref="G573">
    <cfRule type="expression" dxfId="568" priority="10">
      <formula>NOT(_xlfn.ISFORMULA(G573))</formula>
    </cfRule>
  </conditionalFormatting>
  <conditionalFormatting sqref="G573">
    <cfRule type="expression" dxfId="567" priority="9">
      <formula>AND($R$4="Ya",$Q$2=ROW())</formula>
    </cfRule>
  </conditionalFormatting>
  <conditionalFormatting sqref="G563">
    <cfRule type="expression" dxfId="566" priority="8">
      <formula>NOT(_xlfn.ISFORMULA(G563))</formula>
    </cfRule>
  </conditionalFormatting>
  <conditionalFormatting sqref="G563">
    <cfRule type="expression" dxfId="565" priority="7">
      <formula>AND($R$4="Ya",$Q$2=ROW())</formula>
    </cfRule>
  </conditionalFormatting>
  <conditionalFormatting sqref="G588">
    <cfRule type="expression" dxfId="564" priority="6">
      <formula>NOT(_xlfn.ISFORMULA(G588))</formula>
    </cfRule>
  </conditionalFormatting>
  <conditionalFormatting sqref="G588">
    <cfRule type="expression" dxfId="563" priority="5">
      <formula>AND($R$4="Ya",$Q$2=ROW())</formula>
    </cfRule>
  </conditionalFormatting>
  <conditionalFormatting sqref="G585">
    <cfRule type="expression" dxfId="562" priority="4">
      <formula>NOT(_xlfn.ISFORMULA(G585))</formula>
    </cfRule>
  </conditionalFormatting>
  <conditionalFormatting sqref="G585">
    <cfRule type="expression" dxfId="561" priority="3">
      <formula>AND($R$4="Ya",$Q$2=ROW())</formula>
    </cfRule>
  </conditionalFormatting>
  <conditionalFormatting sqref="G582">
    <cfRule type="expression" dxfId="560" priority="2">
      <formula>NOT(_xlfn.ISFORMULA(G582))</formula>
    </cfRule>
  </conditionalFormatting>
  <conditionalFormatting sqref="G582">
    <cfRule type="expression" dxfId="55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09375" defaultRowHeight="13.8" x14ac:dyDescent="0.25"/>
  <cols>
    <col min="1" max="1" width="37.6640625" style="7" bestFit="1" customWidth="1"/>
    <col min="2" max="2" width="16.44140625" style="11" bestFit="1" customWidth="1"/>
    <col min="3" max="3" width="53.6640625" style="12" customWidth="1"/>
    <col min="4" max="4" width="9.44140625" style="48" bestFit="1" customWidth="1"/>
    <col min="5" max="5" width="9.109375" style="48"/>
    <col min="6" max="6" width="15.33203125" style="13" bestFit="1" customWidth="1"/>
    <col min="7" max="7" width="17" style="13" bestFit="1" customWidth="1"/>
    <col min="8" max="8" width="19.6640625" style="168" customWidth="1"/>
    <col min="9" max="9" width="9.33203125" style="8" customWidth="1"/>
    <col min="10" max="10" width="17.109375" style="8" bestFit="1" customWidth="1"/>
    <col min="11" max="11" width="14.33203125" style="8" bestFit="1" customWidth="1"/>
    <col min="12" max="12" width="17.109375" style="8" bestFit="1" customWidth="1"/>
    <col min="13" max="13" width="27.6640625" style="8" customWidth="1"/>
    <col min="14" max="14" width="9.33203125" style="8" bestFit="1" customWidth="1"/>
    <col min="15" max="15" width="9.109375" style="8"/>
    <col min="16" max="16" width="17.109375" style="8" bestFit="1" customWidth="1"/>
    <col min="17" max="17" width="23.109375" style="8" bestFit="1" customWidth="1"/>
    <col min="18" max="18" width="28.5546875" style="8" bestFit="1" customWidth="1"/>
    <col min="19" max="19" width="16.44140625" style="8" bestFit="1" customWidth="1"/>
    <col min="20" max="20" width="42.6640625" style="8" bestFit="1" customWidth="1"/>
    <col min="21" max="21" width="9.109375" style="8"/>
    <col min="22" max="22" width="38.109375" style="117" bestFit="1" customWidth="1"/>
    <col min="23" max="23" width="31.5546875" style="118" bestFit="1" customWidth="1"/>
    <col min="24" max="24" width="14.88671875" style="118" bestFit="1" customWidth="1"/>
    <col min="25" max="16384" width="9.109375" style="8"/>
  </cols>
  <sheetData>
    <row r="1" spans="1:24" ht="15.6" x14ac:dyDescent="0.3">
      <c r="B1" s="424" t="s">
        <v>598</v>
      </c>
      <c r="C1" s="424"/>
      <c r="D1" s="424"/>
      <c r="E1" s="424"/>
      <c r="F1" s="424"/>
      <c r="G1" s="432"/>
      <c r="M1" s="9"/>
      <c r="P1" s="109" t="s">
        <v>3586</v>
      </c>
      <c r="Q1" s="110" t="s">
        <v>3587</v>
      </c>
      <c r="R1" s="110" t="s">
        <v>592</v>
      </c>
      <c r="S1" s="110" t="s">
        <v>3588</v>
      </c>
      <c r="T1" s="111" t="s">
        <v>497</v>
      </c>
      <c r="V1" s="115" t="s">
        <v>3589</v>
      </c>
      <c r="W1" s="116" t="s">
        <v>592</v>
      </c>
      <c r="X1" s="116" t="s">
        <v>3588</v>
      </c>
    </row>
    <row r="2" spans="1:24" ht="14.4" x14ac:dyDescent="0.3">
      <c r="B2" s="425" t="s">
        <v>614</v>
      </c>
      <c r="C2" s="425"/>
      <c r="D2" s="425"/>
      <c r="E2" s="425"/>
      <c r="F2" s="425"/>
      <c r="G2" s="442"/>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x14ac:dyDescent="0.25">
      <c r="B3" s="124"/>
      <c r="C3" s="124"/>
      <c r="D3" s="124"/>
      <c r="E3" s="124"/>
      <c r="F3" s="124"/>
      <c r="G3" s="141"/>
      <c r="M3" s="10"/>
      <c r="V3" s="118" t="str">
        <v>002 - Pusat Pendidikan KP</v>
      </c>
      <c r="W3" s="118" t="str">
        <v>PE - Perencanaan dan Evaluasi</v>
      </c>
      <c r="X3" s="118" t="str">
        <v>KU - Keuangan</v>
      </c>
    </row>
    <row r="4" spans="1:24" x14ac:dyDescent="0.25">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5">
      <c r="B5" s="49" t="s">
        <v>601</v>
      </c>
      <c r="C5" s="49" t="s">
        <v>602</v>
      </c>
      <c r="D5" s="53"/>
      <c r="E5" s="53"/>
      <c r="F5" s="50"/>
      <c r="G5" s="143"/>
      <c r="M5" s="10"/>
      <c r="W5" s="118" t="str">
        <v>KK - Kelembagaan dan Ketenagaan</v>
      </c>
    </row>
    <row r="6" spans="1:24" ht="15" x14ac:dyDescent="0.25">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5">
      <c r="B8" s="48"/>
      <c r="C8" s="48"/>
      <c r="F8" s="48"/>
      <c r="G8" s="144"/>
      <c r="M8" s="10"/>
    </row>
    <row r="9" spans="1:24" x14ac:dyDescent="0.25">
      <c r="B9" s="426" t="s">
        <v>606</v>
      </c>
      <c r="C9" s="428" t="s">
        <v>607</v>
      </c>
      <c r="D9" s="429" t="s">
        <v>608</v>
      </c>
      <c r="E9" s="426" t="s">
        <v>609</v>
      </c>
      <c r="F9" s="429" t="s">
        <v>610</v>
      </c>
      <c r="G9" s="443" t="s">
        <v>611</v>
      </c>
      <c r="I9" s="439" t="s">
        <v>3590</v>
      </c>
      <c r="J9" s="440"/>
      <c r="K9" s="441"/>
      <c r="M9" s="14"/>
      <c r="P9" s="163"/>
    </row>
    <row r="10" spans="1:24" s="16" customFormat="1" x14ac:dyDescent="0.25">
      <c r="A10" s="15" t="s">
        <v>499</v>
      </c>
      <c r="B10" s="427"/>
      <c r="C10" s="427"/>
      <c r="D10" s="430"/>
      <c r="E10" s="430"/>
      <c r="F10" s="427"/>
      <c r="G10" s="427"/>
      <c r="H10" s="169"/>
      <c r="I10" s="148" t="s">
        <v>3591</v>
      </c>
      <c r="J10" s="147" t="s">
        <v>3592</v>
      </c>
      <c r="K10" s="147" t="s">
        <v>3593</v>
      </c>
      <c r="L10" s="7"/>
      <c r="M10" s="17"/>
      <c r="P10" s="162"/>
      <c r="V10" s="123"/>
      <c r="W10" s="118"/>
      <c r="X10" s="118"/>
    </row>
    <row r="11" spans="1:24" s="16" customFormat="1"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x14ac:dyDescent="0.25">
      <c r="A12" s="15"/>
      <c r="B12" s="130" t="s">
        <v>612</v>
      </c>
      <c r="C12" s="128" t="s">
        <v>4627</v>
      </c>
      <c r="D12" s="129"/>
      <c r="E12" s="130"/>
      <c r="F12" s="129"/>
      <c r="G12" s="175"/>
      <c r="H12" s="166"/>
      <c r="I12" s="150"/>
      <c r="J12" s="149"/>
      <c r="K12" s="149"/>
      <c r="L12" s="125"/>
      <c r="M12" s="17"/>
      <c r="V12" s="123"/>
      <c r="W12" s="118"/>
      <c r="X12" s="118"/>
    </row>
    <row r="13" spans="1:24" x14ac:dyDescent="0.25">
      <c r="A13" s="7" t="s">
        <v>0</v>
      </c>
      <c r="B13" s="54" t="s">
        <v>0</v>
      </c>
      <c r="C13" s="23" t="s">
        <v>1</v>
      </c>
      <c r="D13" s="54"/>
      <c r="E13" s="54"/>
      <c r="F13" s="24"/>
      <c r="G13" s="24">
        <v>2500000000</v>
      </c>
      <c r="H13" s="165">
        <v>2500000000</v>
      </c>
      <c r="I13" s="150"/>
      <c r="J13" s="149"/>
      <c r="K13" s="149"/>
      <c r="L13" s="171">
        <f>G13-H13</f>
        <v>0</v>
      </c>
      <c r="M13" s="421" t="s">
        <v>596</v>
      </c>
      <c r="N13" s="422" t="s">
        <v>597</v>
      </c>
    </row>
    <row r="14" spans="1:24" x14ac:dyDescent="0.25">
      <c r="A14" s="7" t="s">
        <v>199</v>
      </c>
      <c r="B14" s="55">
        <v>2375</v>
      </c>
      <c r="C14" s="26" t="s">
        <v>2</v>
      </c>
      <c r="D14" s="55"/>
      <c r="E14" s="55"/>
      <c r="F14" s="27"/>
      <c r="G14" s="27">
        <v>1500000000</v>
      </c>
      <c r="H14" s="165">
        <v>1500000000</v>
      </c>
      <c r="I14" s="150" t="s">
        <v>3553</v>
      </c>
      <c r="J14" s="149"/>
      <c r="K14" s="149"/>
      <c r="L14" s="171">
        <f t="shared" ref="L14:L77" si="0">G14-H14</f>
        <v>0</v>
      </c>
      <c r="M14" s="421"/>
      <c r="N14" s="422"/>
    </row>
    <row r="15" spans="1:24" x14ac:dyDescent="0.25">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6.4" x14ac:dyDescent="0.25">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5">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6.4" x14ac:dyDescent="0.25">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5">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5">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5">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5">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23"/>
      <c r="N22" s="423"/>
    </row>
    <row r="23" spans="1:14" x14ac:dyDescent="0.25">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23"/>
      <c r="N23" s="423"/>
    </row>
    <row r="24" spans="1:14" x14ac:dyDescent="0.25">
      <c r="A24" s="7" t="s">
        <v>209</v>
      </c>
      <c r="B24" s="60">
        <v>522151</v>
      </c>
      <c r="C24" s="41" t="s">
        <v>11</v>
      </c>
      <c r="D24" s="60"/>
      <c r="E24" s="60"/>
      <c r="F24" s="42"/>
      <c r="G24" s="42">
        <v>9000000</v>
      </c>
      <c r="H24" s="165">
        <v>9000000</v>
      </c>
      <c r="I24" s="150" t="s">
        <v>3553</v>
      </c>
      <c r="J24" s="149" t="s">
        <v>3565</v>
      </c>
      <c r="K24" s="149" t="s">
        <v>3577</v>
      </c>
      <c r="L24" s="171">
        <f t="shared" si="0"/>
        <v>0</v>
      </c>
      <c r="M24" s="423"/>
      <c r="N24" s="423"/>
    </row>
    <row r="25" spans="1:14" x14ac:dyDescent="0.25">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5">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5">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5">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5">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5">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5">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5">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6.4" x14ac:dyDescent="0.25">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6.4" x14ac:dyDescent="0.25">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5">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5">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5">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5">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5">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5">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5">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5">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5">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5">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5">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5">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5">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5">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6.4" x14ac:dyDescent="0.25">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5">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5">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5">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5">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5">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5">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5">
      <c r="A56" s="7" t="s">
        <v>240</v>
      </c>
      <c r="B56" s="60">
        <v>524111</v>
      </c>
      <c r="C56" s="41" t="s">
        <v>19</v>
      </c>
      <c r="D56" s="71"/>
      <c r="E56" s="60"/>
      <c r="F56" s="42"/>
      <c r="G56" s="42">
        <v>40000000</v>
      </c>
      <c r="H56" s="165">
        <v>40000000</v>
      </c>
      <c r="I56" s="150" t="s">
        <v>3553</v>
      </c>
      <c r="J56" s="149" t="s">
        <v>3565</v>
      </c>
      <c r="K56" s="149" t="s">
        <v>3577</v>
      </c>
      <c r="L56" s="171">
        <f t="shared" si="0"/>
        <v>0</v>
      </c>
    </row>
    <row r="57" spans="1:12" ht="26.4" x14ac:dyDescent="0.25">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5">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5">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5">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5">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5">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5">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5">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5">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5">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5">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6.4" x14ac:dyDescent="0.25">
      <c r="A68" s="7" t="s">
        <v>248</v>
      </c>
      <c r="B68" s="60">
        <v>521241</v>
      </c>
      <c r="C68" s="41" t="s">
        <v>642</v>
      </c>
      <c r="D68" s="60"/>
      <c r="E68" s="60"/>
      <c r="F68" s="42"/>
      <c r="G68" s="42">
        <v>14400000</v>
      </c>
      <c r="H68" s="165">
        <v>14400000</v>
      </c>
      <c r="I68" s="150" t="s">
        <v>3553</v>
      </c>
      <c r="J68" s="149" t="s">
        <v>3565</v>
      </c>
      <c r="K68" s="149" t="s">
        <v>3577</v>
      </c>
      <c r="L68" s="171">
        <f t="shared" si="0"/>
        <v>0</v>
      </c>
    </row>
    <row r="69" spans="1:12" ht="26.4" x14ac:dyDescent="0.25">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5">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5">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5">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5">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5">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5">
      <c r="A75" s="7" t="s">
        <v>255</v>
      </c>
      <c r="B75" s="60">
        <v>524111</v>
      </c>
      <c r="C75" s="41" t="s">
        <v>19</v>
      </c>
      <c r="D75" s="60"/>
      <c r="E75" s="60"/>
      <c r="F75" s="42"/>
      <c r="G75" s="42">
        <v>53000000</v>
      </c>
      <c r="H75" s="165">
        <v>53000000</v>
      </c>
      <c r="I75" s="150" t="s">
        <v>3553</v>
      </c>
      <c r="J75" s="149" t="s">
        <v>3565</v>
      </c>
      <c r="K75" s="149" t="s">
        <v>3577</v>
      </c>
      <c r="L75" s="171">
        <f t="shared" si="0"/>
        <v>0</v>
      </c>
    </row>
    <row r="76" spans="1:12" ht="26.4" x14ac:dyDescent="0.25">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6.4" x14ac:dyDescent="0.25">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5">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5">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5">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5">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5">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5">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5">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5">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5">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5">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5">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5">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5">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5">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5">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5">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5">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5">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5">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5">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5">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5">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5">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5">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5">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5">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5">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6.4" x14ac:dyDescent="0.25">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6.4" x14ac:dyDescent="0.25">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5">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6.4" x14ac:dyDescent="0.25">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5">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5">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5">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6.4" x14ac:dyDescent="0.25">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6.4" x14ac:dyDescent="0.25">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5">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5">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5">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6.4" x14ac:dyDescent="0.25">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5">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5">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5">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5">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5">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5">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6.4" x14ac:dyDescent="0.25">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5">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6.4" x14ac:dyDescent="0.25">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6.4" x14ac:dyDescent="0.25">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5">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6.4" x14ac:dyDescent="0.25">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5">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5">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5">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6.4" x14ac:dyDescent="0.25">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6.4" x14ac:dyDescent="0.25">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5">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5">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5">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6.4" x14ac:dyDescent="0.25">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5">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5">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5">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5">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5">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5">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6.4" x14ac:dyDescent="0.25">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6.4" x14ac:dyDescent="0.25">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x14ac:dyDescent="0.25">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6.4" x14ac:dyDescent="0.25">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5">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5">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5">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5">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5">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5">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5">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5">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5">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6.4" x14ac:dyDescent="0.25">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6.4" x14ac:dyDescent="0.25">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5">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5">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5">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5">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5">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x14ac:dyDescent="0.25">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5">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6.4" x14ac:dyDescent="0.25">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6.4" x14ac:dyDescent="0.25">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6.4" x14ac:dyDescent="0.25">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5">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6.4" x14ac:dyDescent="0.25">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5">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5">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5">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6.4" x14ac:dyDescent="0.25">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5">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5">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5">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5">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6.4" x14ac:dyDescent="0.25">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6.4" x14ac:dyDescent="0.25">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6.4" x14ac:dyDescent="0.25">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5">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5">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5">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5">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5">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6.4" x14ac:dyDescent="0.25">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5">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6.4" x14ac:dyDescent="0.25">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5">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9.6" x14ac:dyDescent="0.25">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5">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5">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5">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5">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5">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6.4" x14ac:dyDescent="0.25">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6.4" x14ac:dyDescent="0.25">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5">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6.4" x14ac:dyDescent="0.25">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5">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9.6" x14ac:dyDescent="0.25">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5">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5">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5">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6.4" x14ac:dyDescent="0.25">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5">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5">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5">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5">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5">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6.4" x14ac:dyDescent="0.25">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5">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6.4" x14ac:dyDescent="0.25">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5">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5">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5">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5">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5">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6.4" x14ac:dyDescent="0.25">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5">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5">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5">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5">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5">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6.4" x14ac:dyDescent="0.25">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6.4" x14ac:dyDescent="0.25">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6.4" x14ac:dyDescent="0.25">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6.4" x14ac:dyDescent="0.25">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5">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x14ac:dyDescent="0.25">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5">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x14ac:dyDescent="0.25">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6.4" x14ac:dyDescent="0.25">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5">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5">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5">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5">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5">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5">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5">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5">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5">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5">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6.4" x14ac:dyDescent="0.25">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6.4" x14ac:dyDescent="0.25">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5">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6.4" x14ac:dyDescent="0.25">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5">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5">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5">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6.4" x14ac:dyDescent="0.25">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5">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5">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5">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5">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5">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5">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5">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6.4" x14ac:dyDescent="0.25">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5">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5">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5">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5">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5">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5">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5">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5">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5">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5">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6.4" x14ac:dyDescent="0.25">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5">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5">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6.4" x14ac:dyDescent="0.25">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5">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5">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5">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5">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5">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5">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5">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5">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5">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5">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6.4" x14ac:dyDescent="0.25">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5">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5">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5">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5">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5">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5">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5">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5">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5">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6.4" x14ac:dyDescent="0.25">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x14ac:dyDescent="0.25">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6.4" x14ac:dyDescent="0.25">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5">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5">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5">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5">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5">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5">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5">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5">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6.4" x14ac:dyDescent="0.25">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5">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5">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5">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5">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5">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5">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5">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5">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5">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5">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5">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5">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5">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5">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5">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5">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5">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6.4" x14ac:dyDescent="0.25">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5">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5">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5">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5">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5">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5">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5">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5">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5">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5">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5">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5">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5">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5">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5">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5">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5">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5">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5">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5">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5">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5">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5">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5">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5">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5">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5">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5">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5">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5">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6.4" x14ac:dyDescent="0.25">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5">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5">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5">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5">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5">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5">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5">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x14ac:dyDescent="0.25">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5">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6.4" x14ac:dyDescent="0.25">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5">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5">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5">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5">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5">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x14ac:dyDescent="0.25">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5">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6.4" x14ac:dyDescent="0.25">
      <c r="A374" s="21" t="s">
        <v>494</v>
      </c>
      <c r="B374" s="55">
        <v>2378</v>
      </c>
      <c r="C374" s="26" t="s">
        <v>71</v>
      </c>
      <c r="D374" s="68"/>
      <c r="E374" s="55"/>
      <c r="F374" s="27"/>
      <c r="G374" s="27">
        <v>82741282000</v>
      </c>
      <c r="H374" s="165">
        <v>90623782000</v>
      </c>
      <c r="I374" s="150"/>
      <c r="J374" s="149"/>
      <c r="K374" s="149"/>
      <c r="L374" s="171">
        <f t="shared" si="9"/>
        <v>-7882500000</v>
      </c>
    </row>
    <row r="375" spans="1:12" x14ac:dyDescent="0.25">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6.4" x14ac:dyDescent="0.25">
      <c r="A376" s="21" t="s">
        <v>822</v>
      </c>
      <c r="B376" s="138" t="s">
        <v>3737</v>
      </c>
      <c r="C376" s="137" t="s">
        <v>824</v>
      </c>
      <c r="D376" s="140">
        <v>1</v>
      </c>
      <c r="E376" s="138" t="s">
        <v>42</v>
      </c>
      <c r="F376" s="139"/>
      <c r="G376" s="139">
        <v>584676000</v>
      </c>
      <c r="H376" s="165">
        <v>584676000</v>
      </c>
      <c r="I376" s="150"/>
      <c r="J376" s="149"/>
      <c r="K376" s="149"/>
      <c r="L376" s="171">
        <f t="shared" si="9"/>
        <v>0</v>
      </c>
    </row>
    <row r="377" spans="1:12" ht="26.4" x14ac:dyDescent="0.25">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5">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5">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6.4" x14ac:dyDescent="0.25">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6.4" x14ac:dyDescent="0.25">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5">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5">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5">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5">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5">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26.4" x14ac:dyDescent="0.25">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6.4" x14ac:dyDescent="0.25">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5">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9.6" x14ac:dyDescent="0.25">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6.4" x14ac:dyDescent="0.25">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5">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5">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5">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5">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5">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5">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9.6" x14ac:dyDescent="0.25">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6.4" x14ac:dyDescent="0.25">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5">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5">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5">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5">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5">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5">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6.4" x14ac:dyDescent="0.25">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5">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5">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5">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39.6" x14ac:dyDescent="0.25">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5">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6.4" x14ac:dyDescent="0.25">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6.4" x14ac:dyDescent="0.25">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5">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5">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6.4" x14ac:dyDescent="0.25">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6.4" x14ac:dyDescent="0.25">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6.4" x14ac:dyDescent="0.25">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5">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5">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5">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5">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x14ac:dyDescent="0.25">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5">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5">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5">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9.6" x14ac:dyDescent="0.25">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6.4" x14ac:dyDescent="0.25">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5">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5">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5">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6.4" x14ac:dyDescent="0.25">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5">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5">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5">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5">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5">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5">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5">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5">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5">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6.4" x14ac:dyDescent="0.25">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6.4" x14ac:dyDescent="0.25">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5">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6.4" x14ac:dyDescent="0.25">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6.4" x14ac:dyDescent="0.25">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6.4" x14ac:dyDescent="0.25">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6.4" x14ac:dyDescent="0.25">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5">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5">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5">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5">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5">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5">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6.4" x14ac:dyDescent="0.25">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5">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5">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5">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9.6" x14ac:dyDescent="0.25">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6.4" x14ac:dyDescent="0.25">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5">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5">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5">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5">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5">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5">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5">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5">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5">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6.4" x14ac:dyDescent="0.25">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5">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6.4" x14ac:dyDescent="0.25">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5">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5">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5">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5">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5">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5">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5">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6.4" x14ac:dyDescent="0.25">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5">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5">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5">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6.4" x14ac:dyDescent="0.25">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5">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5">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5">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6.4" x14ac:dyDescent="0.25">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5">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5">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5">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5">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6.4" x14ac:dyDescent="0.25">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6.4" x14ac:dyDescent="0.25">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5">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5">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5">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5">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5">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5">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9.6" x14ac:dyDescent="0.25">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5">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5">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5">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5">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5">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6.4" x14ac:dyDescent="0.25">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5">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5">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5">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5">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x14ac:dyDescent="0.25">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5">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5">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6.4" x14ac:dyDescent="0.25">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5">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5">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5">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5">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6.4" x14ac:dyDescent="0.25">
      <c r="A520" s="21" t="s">
        <v>1038</v>
      </c>
      <c r="B520" s="58">
        <v>101</v>
      </c>
      <c r="C520" s="35" t="s">
        <v>1041</v>
      </c>
      <c r="D520" s="58">
        <v>0</v>
      </c>
      <c r="E520" s="58"/>
      <c r="F520" s="36"/>
      <c r="G520" s="36">
        <v>1900000000</v>
      </c>
      <c r="H520" s="165">
        <v>5353780000</v>
      </c>
      <c r="I520" s="150"/>
      <c r="J520" s="149"/>
      <c r="K520" s="149"/>
      <c r="L520" s="171">
        <f t="shared" si="11"/>
        <v>-3453780000</v>
      </c>
    </row>
    <row r="521" spans="1:12" ht="26.4" x14ac:dyDescent="0.25">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5">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5">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5">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5">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5">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5">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5">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5">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5">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5">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5">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6.4" x14ac:dyDescent="0.25">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5">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5">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5">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6.4" x14ac:dyDescent="0.25">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26.4" x14ac:dyDescent="0.25">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6.4" x14ac:dyDescent="0.25">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5">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5">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5">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5">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5">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5">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5">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5">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6.4" x14ac:dyDescent="0.25">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6.4" x14ac:dyDescent="0.25">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5">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6.4" x14ac:dyDescent="0.25">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6.4" x14ac:dyDescent="0.25">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5">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6.4" x14ac:dyDescent="0.25">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5">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5">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5">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5">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6.4" x14ac:dyDescent="0.25">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6.4" x14ac:dyDescent="0.25">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5">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5">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5">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5">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5">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5">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5">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5">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6.4" x14ac:dyDescent="0.25">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6.4" x14ac:dyDescent="0.25">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6.4" x14ac:dyDescent="0.25">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5">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5">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5">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5">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6.4" x14ac:dyDescent="0.25">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6.4" x14ac:dyDescent="0.25">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6.4" x14ac:dyDescent="0.25">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6.4" x14ac:dyDescent="0.25">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5">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6.4" x14ac:dyDescent="0.25">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5">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5">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5">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5">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6.4" x14ac:dyDescent="0.25">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5">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6.4" x14ac:dyDescent="0.25">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3">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3">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3">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3">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3">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6.4" x14ac:dyDescent="0.25">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6.4" x14ac:dyDescent="0.25">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5">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5">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5">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5">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5">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5">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5">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5">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5">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5">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5">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5">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6.4" x14ac:dyDescent="0.25">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5">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6.4" x14ac:dyDescent="0.25">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5">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x14ac:dyDescent="0.25">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5">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5">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5">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5">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5">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5">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5">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5">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5">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5">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5">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5">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5">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5">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5">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5">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5">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6.4" x14ac:dyDescent="0.25">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6.4" x14ac:dyDescent="0.25">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26.4" x14ac:dyDescent="0.25">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5">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5">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5">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5">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5">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5">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9.6" x14ac:dyDescent="0.25">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5">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5">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5">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5">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5">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6.4" x14ac:dyDescent="0.25">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5">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5">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5">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5">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5">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5">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5">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9.6" x14ac:dyDescent="0.25">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5">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5">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5">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6.4" x14ac:dyDescent="0.25">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5">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5">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6.4" x14ac:dyDescent="0.25">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5">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5">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5">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5">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9.6" x14ac:dyDescent="0.25">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6.4" x14ac:dyDescent="0.25">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5">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6.4" x14ac:dyDescent="0.25">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5">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5">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5">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5">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9.6" x14ac:dyDescent="0.25">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5">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5">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5">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6.4" x14ac:dyDescent="0.25">
      <c r="A677" s="7" t="s">
        <v>1271</v>
      </c>
      <c r="B677" s="58">
        <v>101</v>
      </c>
      <c r="C677" s="35" t="s">
        <v>1272</v>
      </c>
      <c r="D677" s="58">
        <v>0</v>
      </c>
      <c r="E677" s="58"/>
      <c r="F677" s="36"/>
      <c r="G677" s="36">
        <v>2000000000</v>
      </c>
      <c r="H677" s="165">
        <v>5596502000</v>
      </c>
      <c r="I677" s="150"/>
      <c r="J677" s="149"/>
      <c r="K677" s="149"/>
      <c r="L677" s="171">
        <f t="shared" si="14"/>
        <v>-3596502000</v>
      </c>
    </row>
    <row r="678" spans="1:12" x14ac:dyDescent="0.25">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5">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5">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5">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5">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5">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5">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6.4" x14ac:dyDescent="0.25">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6.4" x14ac:dyDescent="0.25">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5">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5">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9.6" x14ac:dyDescent="0.25">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6.4" x14ac:dyDescent="0.25">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6.4" x14ac:dyDescent="0.25">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5">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5">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5">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5">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5">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5">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6.4" x14ac:dyDescent="0.25">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5">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5">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5">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9.6" x14ac:dyDescent="0.25">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5">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5">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5">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5">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5">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6.4" x14ac:dyDescent="0.25">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x14ac:dyDescent="0.25">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5">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5">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5">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5">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5">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5">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5">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5">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5">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5">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5">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5">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5">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5">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5">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x14ac:dyDescent="0.25">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5">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6.4" x14ac:dyDescent="0.25">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6.4" x14ac:dyDescent="0.25">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5">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5">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5">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5">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5">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5">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x14ac:dyDescent="0.25">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5">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5">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5">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5">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5">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5">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5">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5">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5">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5">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5">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5">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5">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5">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5">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6.4" x14ac:dyDescent="0.25">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5">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5">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5">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5">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5">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5">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6.4" x14ac:dyDescent="0.25">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5">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5">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5">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5">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5">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5">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5">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5">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5">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5">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5">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5">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5">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5">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5">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5">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5">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5">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5">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5">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6.4" x14ac:dyDescent="0.25">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6.4" x14ac:dyDescent="0.25">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5">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5">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5">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5">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5">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5">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5">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5">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5">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6.4" x14ac:dyDescent="0.25">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5">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5">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x14ac:dyDescent="0.25">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5">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5">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5">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5">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5">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5">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6.4" x14ac:dyDescent="0.25">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5">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5">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5">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5">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5">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5">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5">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6.4" x14ac:dyDescent="0.25">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6.4" x14ac:dyDescent="0.25">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5">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6.4" x14ac:dyDescent="0.25">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5">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5">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5">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5">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5">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5">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5">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6.4" x14ac:dyDescent="0.25">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5">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5">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5">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5">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5">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5">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5">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6.4" x14ac:dyDescent="0.25">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5">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5">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5">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5">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5">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5">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6.4" x14ac:dyDescent="0.25">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5">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5">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5">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5">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5">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5">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5">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5">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5">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5">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5">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x14ac:dyDescent="0.25">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6.4" x14ac:dyDescent="0.25">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5">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5">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5">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5">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5">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5">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5">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5">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5">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5">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5">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5">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5">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5">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5">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5">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5">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5">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6.4" x14ac:dyDescent="0.25">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6.4" x14ac:dyDescent="0.25">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5">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5">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5">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5">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5">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5">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5">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5">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5">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5">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5">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5">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5">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6.4" x14ac:dyDescent="0.25">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5">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6.4" x14ac:dyDescent="0.25">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5">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5">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5">
      <c r="B886" s="192"/>
      <c r="C886" s="191" t="s">
        <v>3928</v>
      </c>
      <c r="D886" s="192"/>
      <c r="E886" s="192"/>
      <c r="F886" s="193"/>
      <c r="G886" s="193">
        <v>102000000</v>
      </c>
      <c r="H886" s="165">
        <v>102000000</v>
      </c>
      <c r="I886" s="150" t="s">
        <v>3552</v>
      </c>
      <c r="J886" s="149" t="s">
        <v>3563</v>
      </c>
      <c r="K886" s="149" t="s">
        <v>3583</v>
      </c>
      <c r="L886" s="171">
        <f t="shared" si="17"/>
        <v>0</v>
      </c>
    </row>
    <row r="887" spans="1:12" x14ac:dyDescent="0.25">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5">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5">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5">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5">
      <c r="B891" s="192"/>
      <c r="C891" s="191" t="s">
        <v>3932</v>
      </c>
      <c r="D891" s="192"/>
      <c r="E891" s="192"/>
      <c r="F891" s="193"/>
      <c r="G891" s="193">
        <v>13400000</v>
      </c>
      <c r="H891" s="165">
        <v>13400000</v>
      </c>
      <c r="I891" s="150" t="s">
        <v>3552</v>
      </c>
      <c r="J891" s="149" t="s">
        <v>3563</v>
      </c>
      <c r="K891" s="149" t="s">
        <v>3583</v>
      </c>
      <c r="L891" s="171">
        <f t="shared" si="17"/>
        <v>0</v>
      </c>
    </row>
    <row r="892" spans="1:12" x14ac:dyDescent="0.25">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5">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5">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6.4" x14ac:dyDescent="0.25">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6.4" x14ac:dyDescent="0.25">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5">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5">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5">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5">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5">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5">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5">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5">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5">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5">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5">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6.4" x14ac:dyDescent="0.25">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5">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5">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5">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5">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5">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5">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5">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5">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5">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5">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5">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5">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5">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5">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5">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5">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5">
      <c r="B925" s="61"/>
      <c r="C925" s="44" t="s">
        <v>3952</v>
      </c>
      <c r="D925" s="61"/>
      <c r="E925" s="61"/>
      <c r="F925" s="45"/>
      <c r="G925" s="45">
        <v>15000000</v>
      </c>
      <c r="H925" s="165">
        <v>1000000</v>
      </c>
      <c r="I925" s="150" t="s">
        <v>3552</v>
      </c>
      <c r="J925" s="149" t="s">
        <v>3563</v>
      </c>
      <c r="K925" s="149" t="s">
        <v>3583</v>
      </c>
      <c r="L925" s="171">
        <f t="shared" si="20"/>
        <v>14000000</v>
      </c>
    </row>
    <row r="926" spans="1:12" x14ac:dyDescent="0.25">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5">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5">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5">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5">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5">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5">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5">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5">
      <c r="B934" s="61"/>
      <c r="C934" s="44" t="s">
        <v>3959</v>
      </c>
      <c r="D934" s="61"/>
      <c r="E934" s="61"/>
      <c r="F934" s="45"/>
      <c r="G934" s="45">
        <v>9200000</v>
      </c>
      <c r="H934" s="165">
        <v>3600000</v>
      </c>
      <c r="I934" s="150" t="s">
        <v>3552</v>
      </c>
      <c r="J934" s="149" t="s">
        <v>3563</v>
      </c>
      <c r="K934" s="149" t="s">
        <v>3583</v>
      </c>
      <c r="L934" s="171">
        <f t="shared" si="20"/>
        <v>5600000</v>
      </c>
    </row>
    <row r="935" spans="1:12" x14ac:dyDescent="0.25">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5">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5">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6.4" x14ac:dyDescent="0.25">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5">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5">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5">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5">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5">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5">
      <c r="B944" s="61"/>
      <c r="C944" s="44" t="s">
        <v>3966</v>
      </c>
      <c r="D944" s="61"/>
      <c r="E944" s="61"/>
      <c r="F944" s="45"/>
      <c r="G944" s="45">
        <v>72900000</v>
      </c>
      <c r="H944" s="165">
        <v>22500000</v>
      </c>
      <c r="I944" s="150" t="s">
        <v>3552</v>
      </c>
      <c r="J944" s="149" t="s">
        <v>3563</v>
      </c>
      <c r="K944" s="149" t="s">
        <v>3583</v>
      </c>
      <c r="L944" s="171">
        <f t="shared" si="20"/>
        <v>50400000</v>
      </c>
    </row>
    <row r="945" spans="1:12" x14ac:dyDescent="0.25">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5">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5">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6.4" x14ac:dyDescent="0.25">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5">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5">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5">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5">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5">
      <c r="B953" s="192"/>
      <c r="C953" s="191" t="s">
        <v>3972</v>
      </c>
      <c r="D953" s="192"/>
      <c r="E953" s="192"/>
      <c r="F953" s="193"/>
      <c r="G953" s="193">
        <v>49800000</v>
      </c>
      <c r="H953" s="165">
        <v>49800000</v>
      </c>
      <c r="I953" s="150" t="s">
        <v>3552</v>
      </c>
      <c r="J953" s="149" t="s">
        <v>3563</v>
      </c>
      <c r="K953" s="149" t="s">
        <v>3583</v>
      </c>
      <c r="L953" s="171">
        <f t="shared" si="20"/>
        <v>0</v>
      </c>
    </row>
    <row r="954" spans="1:12" x14ac:dyDescent="0.25">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5">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5">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5">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5">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5">
      <c r="B959" s="192"/>
      <c r="C959" s="191" t="s">
        <v>3977</v>
      </c>
      <c r="D959" s="192"/>
      <c r="E959" s="192"/>
      <c r="F959" s="193"/>
      <c r="G959" s="193">
        <v>34600000</v>
      </c>
      <c r="H959" s="165">
        <v>34600000</v>
      </c>
      <c r="I959" s="150" t="s">
        <v>3552</v>
      </c>
      <c r="J959" s="149" t="s">
        <v>3563</v>
      </c>
      <c r="K959" s="149" t="s">
        <v>3583</v>
      </c>
      <c r="L959" s="171">
        <f t="shared" si="20"/>
        <v>0</v>
      </c>
    </row>
    <row r="960" spans="1:12" x14ac:dyDescent="0.25">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5">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5">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5">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5">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5">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5">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5">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5">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6.4" x14ac:dyDescent="0.25">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x14ac:dyDescent="0.25">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5">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5">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5">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5">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5">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5">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6.4" x14ac:dyDescent="0.25">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5">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5">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5">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5">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5">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5">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5">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5">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5">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5">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5">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5">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5">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5">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5">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5">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5">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5">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5">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5">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5">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5">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5">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5">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5">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5">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5">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5">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5">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5">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5">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5">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5">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5">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5">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5">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5">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5">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5">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5">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5">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5">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5">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5">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5">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5">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5">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5">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5">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5">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5">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5">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5">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5">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5">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5">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5">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5">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5">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5">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5">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5">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5">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5">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5">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5">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5">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5">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5">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5">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5">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5">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5">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5">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6.4" x14ac:dyDescent="0.25">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6.4" x14ac:dyDescent="0.25">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5">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6.4" x14ac:dyDescent="0.25">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5">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5">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5">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5">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5">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5">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5">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5">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5">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5">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5">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5">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5">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5">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5">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5">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5">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5">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5">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5">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5">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5">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5">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5">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5">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5">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5">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5">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5">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5">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5">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5">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5">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5">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5">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5">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5">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5">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5">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5">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5">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5">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5">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x14ac:dyDescent="0.25">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5">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5">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6.4" x14ac:dyDescent="0.25">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6.4" x14ac:dyDescent="0.25">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6.4" x14ac:dyDescent="0.25">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5">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6.4" x14ac:dyDescent="0.25">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5">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5">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6.4" x14ac:dyDescent="0.25">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5">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6.4" x14ac:dyDescent="0.25">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5">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5">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5">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5">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6.4" x14ac:dyDescent="0.25">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5">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5">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5">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5">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6.4" x14ac:dyDescent="0.25">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6.4" x14ac:dyDescent="0.25">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6.4" x14ac:dyDescent="0.25">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5">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5">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5">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5">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5">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5">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5">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5">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5">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5">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5">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5">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5">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5">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5">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5">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5">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5">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5">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5">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5">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5">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5">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5">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5">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5">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5">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6.4" x14ac:dyDescent="0.25">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5">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5">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x14ac:dyDescent="0.25">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5">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6.4" x14ac:dyDescent="0.25">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6.4" x14ac:dyDescent="0.25">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5">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5">
      <c r="B1159" s="61"/>
      <c r="C1159" s="44" t="s">
        <v>4092</v>
      </c>
      <c r="D1159" s="61"/>
      <c r="E1159" s="61"/>
      <c r="F1159" s="45"/>
      <c r="G1159" s="45">
        <v>57000000</v>
      </c>
      <c r="H1159" s="165">
        <v>5400000</v>
      </c>
      <c r="I1159" s="150" t="s">
        <v>3552</v>
      </c>
      <c r="J1159" s="149" t="s">
        <v>3564</v>
      </c>
      <c r="K1159" s="149" t="s">
        <v>3570</v>
      </c>
      <c r="L1159" s="171">
        <f t="shared" si="24"/>
        <v>51600000</v>
      </c>
    </row>
    <row r="1160" spans="1:12" ht="26.4" x14ac:dyDescent="0.25">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6.4" x14ac:dyDescent="0.25">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6.4" x14ac:dyDescent="0.25">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6.4" x14ac:dyDescent="0.25">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26.4" x14ac:dyDescent="0.25">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6.4" x14ac:dyDescent="0.25">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6.4" x14ac:dyDescent="0.25">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6.4" x14ac:dyDescent="0.25">
      <c r="B1167" s="61"/>
      <c r="C1167" s="44" t="s">
        <v>4100</v>
      </c>
      <c r="D1167" s="61"/>
      <c r="E1167" s="61"/>
      <c r="F1167" s="45"/>
      <c r="G1167" s="45">
        <v>227040000</v>
      </c>
      <c r="H1167" s="165">
        <v>2280000</v>
      </c>
      <c r="I1167" s="150" t="s">
        <v>3552</v>
      </c>
      <c r="J1167" s="149" t="s">
        <v>3564</v>
      </c>
      <c r="K1167" s="149" t="s">
        <v>3570</v>
      </c>
      <c r="L1167" s="171">
        <f t="shared" si="27"/>
        <v>224760000</v>
      </c>
    </row>
    <row r="1168" spans="1:12" ht="39.6" x14ac:dyDescent="0.25">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6.4" x14ac:dyDescent="0.25">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6.4" x14ac:dyDescent="0.25">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6.4" x14ac:dyDescent="0.25">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6.4" x14ac:dyDescent="0.25">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6.4" x14ac:dyDescent="0.25">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6.4" x14ac:dyDescent="0.25">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5">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5">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5">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6.4" x14ac:dyDescent="0.25">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6.4" x14ac:dyDescent="0.25">
      <c r="B1179" s="61"/>
      <c r="C1179" s="44" t="s">
        <v>4112</v>
      </c>
      <c r="D1179" s="61"/>
      <c r="E1179" s="61"/>
      <c r="F1179" s="45"/>
      <c r="G1179" s="45">
        <v>25200000</v>
      </c>
      <c r="H1179" s="165">
        <v>27720000</v>
      </c>
      <c r="I1179" s="150" t="s">
        <v>3552</v>
      </c>
      <c r="J1179" s="149" t="s">
        <v>3564</v>
      </c>
      <c r="K1179" s="149" t="s">
        <v>3570</v>
      </c>
      <c r="L1179" s="171">
        <f t="shared" si="27"/>
        <v>-2520000</v>
      </c>
    </row>
    <row r="1180" spans="1:12" ht="26.4" x14ac:dyDescent="0.25">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5">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5">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6.4" x14ac:dyDescent="0.25">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5">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5">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5">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5">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5">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5">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5">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5">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5">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5">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5">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5">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5">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5">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5">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5">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5">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5">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5">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5">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5">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5">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5">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5">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5">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5">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5">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5">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5">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6.4" x14ac:dyDescent="0.25">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5">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5">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6.4" x14ac:dyDescent="0.25">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5">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5">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5">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5">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6.4" x14ac:dyDescent="0.25">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5">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5">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5">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5">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5">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5">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5">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5">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6.4" x14ac:dyDescent="0.25">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5">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5">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6.4" x14ac:dyDescent="0.25">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5">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6.4" x14ac:dyDescent="0.25">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5">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5">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5">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5">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6.4" x14ac:dyDescent="0.25">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5">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5">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6.4" x14ac:dyDescent="0.25">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5">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5">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5">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5">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5">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5">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5">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5">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5">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5">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5">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6.4" x14ac:dyDescent="0.25">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5">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6.4" x14ac:dyDescent="0.25">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6.4" x14ac:dyDescent="0.25">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5">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5">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5">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5">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5">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5">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5">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5">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6.4" x14ac:dyDescent="0.25">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5">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5">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5">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5">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5">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5">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6.4" x14ac:dyDescent="0.25">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6.4" x14ac:dyDescent="0.25">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x14ac:dyDescent="0.25">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5">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5">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5">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6.4" x14ac:dyDescent="0.25">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5">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5">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5">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5">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5">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x14ac:dyDescent="0.25">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5">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5">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5">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5">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5">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5">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5">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5">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5">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5">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5">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5">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5">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5">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5">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5">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5">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5">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5">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5">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5">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5">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6.4" x14ac:dyDescent="0.25">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5">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6.4" x14ac:dyDescent="0.25">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5">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5">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5">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5">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5">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5">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5">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5">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6.4" x14ac:dyDescent="0.25">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5">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5">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5">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5">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5">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6.4" x14ac:dyDescent="0.25">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5">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6.4" x14ac:dyDescent="0.25">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5">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5">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5">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5">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5">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6.4" x14ac:dyDescent="0.25">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5">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5">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5">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5">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5">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5">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5">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5">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5">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5">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5">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5">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x14ac:dyDescent="0.25">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5">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5">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5">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5">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5">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5">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6.4" x14ac:dyDescent="0.25">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6.4" x14ac:dyDescent="0.25">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5">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5">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6.4" x14ac:dyDescent="0.25">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5">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5">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5">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5">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x14ac:dyDescent="0.25">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5">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5">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5">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5">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6.4" x14ac:dyDescent="0.25">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6.4" x14ac:dyDescent="0.25">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5">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5">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5">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6.4" x14ac:dyDescent="0.25">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5">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5">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5">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9.6" x14ac:dyDescent="0.25">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26.4" x14ac:dyDescent="0.25">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5">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6.4" x14ac:dyDescent="0.25">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5">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5">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5">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5">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5">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5">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5">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5">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5">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5">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5">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5">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5">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5">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5">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5">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6.4" x14ac:dyDescent="0.25">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5">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5">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5">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6.4" x14ac:dyDescent="0.25">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5">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5">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5">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5">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6.4" x14ac:dyDescent="0.25">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5">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6.4" x14ac:dyDescent="0.25">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6.4" x14ac:dyDescent="0.25">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5">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5">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5">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5">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6.4" x14ac:dyDescent="0.25">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26.4" x14ac:dyDescent="0.25">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6.4" x14ac:dyDescent="0.25">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5">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5">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5">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5">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5">
      <c r="B1421" s="61"/>
      <c r="C1421" s="44" t="s">
        <v>4291</v>
      </c>
      <c r="D1421" s="61"/>
      <c r="E1421" s="61"/>
      <c r="F1421" s="45"/>
      <c r="G1421" s="45">
        <v>18000000</v>
      </c>
      <c r="H1421" s="165">
        <v>30000000</v>
      </c>
      <c r="I1421" s="150" t="s">
        <v>3552</v>
      </c>
      <c r="J1421" s="149" t="s">
        <v>3562</v>
      </c>
      <c r="K1421" s="149" t="s">
        <v>3581</v>
      </c>
      <c r="L1421" s="171">
        <f t="shared" si="38"/>
        <v>-12000000</v>
      </c>
    </row>
    <row r="1422" spans="1:12" x14ac:dyDescent="0.25">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5">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6.4" x14ac:dyDescent="0.25">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5">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5">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5">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5">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6.4" x14ac:dyDescent="0.25">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5">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5">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5">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5">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x14ac:dyDescent="0.25">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5">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5">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5">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5">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5">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5">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5">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6.4" x14ac:dyDescent="0.25">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6.4" x14ac:dyDescent="0.25">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5">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5">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5">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5">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5">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5">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5">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5">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5">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6.4" x14ac:dyDescent="0.25">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5">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5">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6.4" x14ac:dyDescent="0.25">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5">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5">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6.4" x14ac:dyDescent="0.25">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5">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5">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5">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5">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6.4" x14ac:dyDescent="0.25">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6.4" x14ac:dyDescent="0.25">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26.4" x14ac:dyDescent="0.25">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5">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5">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5">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5">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6.4" x14ac:dyDescent="0.25">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5">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6.4" x14ac:dyDescent="0.25">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5">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5">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5">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6.4" x14ac:dyDescent="0.25">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5">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5">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6.4" x14ac:dyDescent="0.25">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5">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5">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5">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5">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5">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5">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5">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5">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5">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5">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6.4" x14ac:dyDescent="0.25">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6.4" x14ac:dyDescent="0.25">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6.4" x14ac:dyDescent="0.25">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5">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9.6" x14ac:dyDescent="0.25">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5">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5">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5">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6.4" x14ac:dyDescent="0.25">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6.4" x14ac:dyDescent="0.25">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5">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6.4" x14ac:dyDescent="0.25">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6.4" x14ac:dyDescent="0.25">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5">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5">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5">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5">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5">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5">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5">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5">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5">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6.4" x14ac:dyDescent="0.25">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6.4" x14ac:dyDescent="0.25">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5">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6.4" x14ac:dyDescent="0.25">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6.4" x14ac:dyDescent="0.25">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6.4" x14ac:dyDescent="0.25">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5">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6.4" x14ac:dyDescent="0.25">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5">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5">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6.4" x14ac:dyDescent="0.25">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6.4" x14ac:dyDescent="0.25">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5">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6.4" x14ac:dyDescent="0.25">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6.4" x14ac:dyDescent="0.25">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5">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5">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5">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x14ac:dyDescent="0.25">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5">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5">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5">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5">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6.4" x14ac:dyDescent="0.25">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5">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6.4" x14ac:dyDescent="0.25">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6.4" x14ac:dyDescent="0.25">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5">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6.4" x14ac:dyDescent="0.25">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5">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6.4" x14ac:dyDescent="0.25">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6.4" x14ac:dyDescent="0.25">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5">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6.4" x14ac:dyDescent="0.25">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6.4" x14ac:dyDescent="0.25">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5">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5">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5">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5">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5">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5">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5">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5">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5">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5">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5">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5">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5">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5">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5">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5">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5">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5">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5">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5">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5">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x14ac:dyDescent="0.25">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5">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6.4" x14ac:dyDescent="0.25">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6.4" x14ac:dyDescent="0.25">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6.4" x14ac:dyDescent="0.25">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5">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5">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5">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5">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5">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5">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6.4" x14ac:dyDescent="0.25">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6.4" x14ac:dyDescent="0.25">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5">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5">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5">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5">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5">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6.4" x14ac:dyDescent="0.25">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6.4" x14ac:dyDescent="0.25">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5">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5">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x14ac:dyDescent="0.25">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5">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6.4" x14ac:dyDescent="0.25">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6.4" x14ac:dyDescent="0.25">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5">
      <c r="B1595" s="61"/>
      <c r="C1595" s="44" t="s">
        <v>4389</v>
      </c>
      <c r="D1595" s="61"/>
      <c r="E1595" s="61"/>
      <c r="F1595" s="45"/>
      <c r="G1595" s="45">
        <v>22500000</v>
      </c>
      <c r="H1595" s="165">
        <v>3000000</v>
      </c>
      <c r="I1595" s="150" t="s">
        <v>3553</v>
      </c>
      <c r="J1595" s="149" t="s">
        <v>3559</v>
      </c>
      <c r="K1595" s="149" t="s">
        <v>3571</v>
      </c>
      <c r="L1595" s="171">
        <f t="shared" si="42"/>
        <v>19500000</v>
      </c>
    </row>
    <row r="1596" spans="1:12" ht="26.4" x14ac:dyDescent="0.25">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6.4" x14ac:dyDescent="0.25">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6.4" x14ac:dyDescent="0.25">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6.4" x14ac:dyDescent="0.25">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5">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5">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5">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5">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5">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5">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5">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6.4" x14ac:dyDescent="0.25">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6.4" x14ac:dyDescent="0.25">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5">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5">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5">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5">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5">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5">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5">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6.4" x14ac:dyDescent="0.25">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5">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5">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x14ac:dyDescent="0.25">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5">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5">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5">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5">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5">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5">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5">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5">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5">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5">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5">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5">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5">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5">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5">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6.4" x14ac:dyDescent="0.25">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5">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5">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6.4" x14ac:dyDescent="0.25">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5">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x14ac:dyDescent="0.25">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9.6" x14ac:dyDescent="0.25">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5">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5">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5">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5">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5">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5">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6.4" x14ac:dyDescent="0.25">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5">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5">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5">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5">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5">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x14ac:dyDescent="0.25">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5">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6.4" x14ac:dyDescent="0.25">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x14ac:dyDescent="0.25">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5">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5">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6.4" x14ac:dyDescent="0.25">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5">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5">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6.4" x14ac:dyDescent="0.25">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5">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5">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5">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5">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5">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5">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5">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5">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5">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5">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5">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6.4" x14ac:dyDescent="0.25">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5">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5">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5">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5">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5">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5">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5">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5">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5">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5">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5">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5">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5">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5">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5">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5">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5">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5">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5">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5">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5">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5">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5">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5">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5">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6.4" x14ac:dyDescent="0.25">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5">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6.4" x14ac:dyDescent="0.25">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5">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5">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5">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5">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5">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5">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5">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5">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6.4" x14ac:dyDescent="0.25">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6.4" x14ac:dyDescent="0.25">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5">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5">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5">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5">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5">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5">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5">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5">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5">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5">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6.4" x14ac:dyDescent="0.25">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6.4" x14ac:dyDescent="0.25">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6.4" x14ac:dyDescent="0.25">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6.4" x14ac:dyDescent="0.25">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6.4" x14ac:dyDescent="0.25">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5">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6.4" x14ac:dyDescent="0.25">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5">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6.4" x14ac:dyDescent="0.25">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5">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5">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5">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5">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5">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5">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5">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5">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5">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5">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5">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5">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5">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26.4" x14ac:dyDescent="0.25">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6.4" x14ac:dyDescent="0.25">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6.4" x14ac:dyDescent="0.25">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5">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6.4" x14ac:dyDescent="0.25">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5">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6.4" x14ac:dyDescent="0.25">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5">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5">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5">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5">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5">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5">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5">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5">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5">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5">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5">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5">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5">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6.4" x14ac:dyDescent="0.25">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6.4" x14ac:dyDescent="0.25">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5">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5">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5">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5">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5">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5">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5">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5">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6.4" x14ac:dyDescent="0.25">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5">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5">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5">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5">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5">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5">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5">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5">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5">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5">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5">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5">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x14ac:dyDescent="0.25">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5">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6.4" x14ac:dyDescent="0.25">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5">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5">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5">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5">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5">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5">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6.4" x14ac:dyDescent="0.25">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x14ac:dyDescent="0.25">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5">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5">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5">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5">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5">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5">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6.4" x14ac:dyDescent="0.25">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6.4" x14ac:dyDescent="0.25">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6.4" x14ac:dyDescent="0.25">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6.4" x14ac:dyDescent="0.25">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5">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5">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5">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6.4" x14ac:dyDescent="0.25">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5">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6.4" x14ac:dyDescent="0.25">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5">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5">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5">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5">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5">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6.4" x14ac:dyDescent="0.25">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5">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9.6" x14ac:dyDescent="0.25">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5">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5">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5">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5">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6.4" x14ac:dyDescent="0.25">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5">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6.4" x14ac:dyDescent="0.25">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5">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5">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5">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x14ac:dyDescent="0.25">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5">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5">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5">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6.4" x14ac:dyDescent="0.25">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6.4" x14ac:dyDescent="0.25">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5">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5">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5">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5">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26.4" x14ac:dyDescent="0.25">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5">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5">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5">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6.4" x14ac:dyDescent="0.25">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6.4" x14ac:dyDescent="0.25">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5">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5">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5">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5">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5">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5">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6.4" x14ac:dyDescent="0.25">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6.4" x14ac:dyDescent="0.25">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6.4" x14ac:dyDescent="0.25">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5">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5">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5">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5">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5">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6.4" x14ac:dyDescent="0.25">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6.4" x14ac:dyDescent="0.25">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5">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5">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x14ac:dyDescent="0.25">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5">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5">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6.4" x14ac:dyDescent="0.25">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6.4" x14ac:dyDescent="0.25">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5">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5">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5">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6.4" x14ac:dyDescent="0.25">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5">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6.4" x14ac:dyDescent="0.25">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5">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5">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5">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5">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5">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5">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6.4" x14ac:dyDescent="0.25">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6.4" x14ac:dyDescent="0.25">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5">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5">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6.4" x14ac:dyDescent="0.25">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x14ac:dyDescent="0.25">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5">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5">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5">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5">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5">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5">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5">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6.4" x14ac:dyDescent="0.25">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5">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5">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5">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5">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5">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5">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5">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5">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5">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5">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5">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6.4" x14ac:dyDescent="0.25">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6.4" x14ac:dyDescent="0.25">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5">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5">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5">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5">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5">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5">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6.4" x14ac:dyDescent="0.25">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5">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5">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5">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5">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5">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5">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5">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5">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6.4" x14ac:dyDescent="0.25">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5">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5">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5">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6.4" x14ac:dyDescent="0.25">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5">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5">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5">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5">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5">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6.4" x14ac:dyDescent="0.25">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5">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5">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5">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5">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5">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5">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6.4" x14ac:dyDescent="0.25">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5">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6.4" x14ac:dyDescent="0.25">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6.4" x14ac:dyDescent="0.25">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6.4" x14ac:dyDescent="0.25">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6.4" x14ac:dyDescent="0.25">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5">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6.4" x14ac:dyDescent="0.25">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5">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5">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5">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5">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5">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6.4" x14ac:dyDescent="0.25">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5">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5">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5">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5">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5">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5">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5">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5">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5">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6.4" x14ac:dyDescent="0.25">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5">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6.4" x14ac:dyDescent="0.25">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6.4" x14ac:dyDescent="0.25">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5">
      <c r="A1971" s="7" t="s">
        <v>3168</v>
      </c>
      <c r="B1971" s="60">
        <v>524113</v>
      </c>
      <c r="C1971" s="41" t="s">
        <v>13</v>
      </c>
      <c r="D1971" s="60"/>
      <c r="E1971" s="60"/>
      <c r="F1971" s="42"/>
      <c r="G1971" s="42">
        <v>720000</v>
      </c>
      <c r="H1971" s="165">
        <v>720000</v>
      </c>
      <c r="I1971" s="150" t="s">
        <v>3552</v>
      </c>
      <c r="J1971" s="149"/>
      <c r="K1971" s="149"/>
      <c r="L1971" s="171">
        <f t="shared" si="54"/>
        <v>0</v>
      </c>
    </row>
    <row r="1972" spans="1:12" ht="26.4" x14ac:dyDescent="0.25">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5">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5">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5">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6.4" x14ac:dyDescent="0.25">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5">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5">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5">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5">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6.4" x14ac:dyDescent="0.25">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5">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6.4" x14ac:dyDescent="0.25">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5">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5">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5">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5">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6.4" x14ac:dyDescent="0.25">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5">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5">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5">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5">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5">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5">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5">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6.4" x14ac:dyDescent="0.25">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5">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6.4" x14ac:dyDescent="0.25">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6.4" x14ac:dyDescent="0.25">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5">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6.4" x14ac:dyDescent="0.25">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5">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6.4" x14ac:dyDescent="0.25">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5">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6.4" x14ac:dyDescent="0.25">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5">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5">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5">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5">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5">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5">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5">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6.4" x14ac:dyDescent="0.25">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6.4" x14ac:dyDescent="0.25">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6.4" x14ac:dyDescent="0.25">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6.4" x14ac:dyDescent="0.25">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5">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5">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6.4" x14ac:dyDescent="0.25">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5">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5">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5">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5">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5">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5">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5">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5">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5">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5">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5">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6.4" x14ac:dyDescent="0.25">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6.4" x14ac:dyDescent="0.25">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5">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6.4" x14ac:dyDescent="0.25">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5">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5">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6.4" x14ac:dyDescent="0.25">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6.4" x14ac:dyDescent="0.25">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6.4" x14ac:dyDescent="0.25">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5">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5">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5">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5">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5">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5">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5">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5">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5">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5">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5">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5">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5">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5">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5">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5">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5">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5">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5">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6.4" x14ac:dyDescent="0.25">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6.4" x14ac:dyDescent="0.25">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5">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5">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5">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5">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5">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5">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5">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5">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5">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5">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5">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x14ac:dyDescent="0.25">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5">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5">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5">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5">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5">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5">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5">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5">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5">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5">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5">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5">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5">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5">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5">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5">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5">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5">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5">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5">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5">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5">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5">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5">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5">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5">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5">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5">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5">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5">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5">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5">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5">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5">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5">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5">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5">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6.4" x14ac:dyDescent="0.25">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5">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6.4" x14ac:dyDescent="0.25">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5">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5">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5">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5">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5">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5">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5">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5">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5">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5">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5">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5">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5">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5">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5">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5">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5">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5">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5">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6.4" x14ac:dyDescent="0.25">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6.4" x14ac:dyDescent="0.25">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5">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5">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5">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5">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5">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5">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x14ac:dyDescent="0.25">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5">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5">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5">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5">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5">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5">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5">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6.4" x14ac:dyDescent="0.25">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5">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6.4" x14ac:dyDescent="0.25">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5">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6.4" x14ac:dyDescent="0.25">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5">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5">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5">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6.4" x14ac:dyDescent="0.25">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5">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5">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5">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5">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5">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5">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6.4" x14ac:dyDescent="0.25">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5">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5">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5">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5">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5">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5">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5">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6.4" x14ac:dyDescent="0.25">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5">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5">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5">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5">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5">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5">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5">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5">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5">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6.4" x14ac:dyDescent="0.25">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5">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5">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6.4" x14ac:dyDescent="0.25">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9.6" x14ac:dyDescent="0.25">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5">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5">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x14ac:dyDescent="0.25">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5">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5">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5">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5">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5">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5">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5">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5">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5">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5">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5">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5">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5">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5">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5">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5">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5">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5">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5">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5">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5">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5">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6.4" x14ac:dyDescent="0.25">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5">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5">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5">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5">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5">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5">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5">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5">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5">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5">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5">
      <c r="A2222" s="7" t="s">
        <v>3516</v>
      </c>
      <c r="B2222" s="61"/>
      <c r="C2222" s="44" t="s">
        <v>3632</v>
      </c>
      <c r="D2222" s="61">
        <v>12</v>
      </c>
      <c r="E2222" s="61" t="s">
        <v>9</v>
      </c>
      <c r="F2222" s="45">
        <v>1500000</v>
      </c>
      <c r="G2222" s="45">
        <f>ROUNDDOWN(D2222*F2222,-3)</f>
        <v>18000000</v>
      </c>
    </row>
    <row r="2223" spans="1:12" x14ac:dyDescent="0.25">
      <c r="A2223" s="7" t="s">
        <v>3517</v>
      </c>
      <c r="B2223" s="60">
        <v>522151</v>
      </c>
      <c r="C2223" s="41" t="s">
        <v>11</v>
      </c>
      <c r="D2223" s="60"/>
      <c r="E2223" s="60"/>
      <c r="F2223" s="42"/>
      <c r="G2223" s="42">
        <v>6000000</v>
      </c>
    </row>
    <row r="2224" spans="1:12" x14ac:dyDescent="0.25">
      <c r="A2224" s="7" t="s">
        <v>3518</v>
      </c>
      <c r="B2224" s="61"/>
      <c r="C2224" s="44" t="s">
        <v>3715</v>
      </c>
      <c r="D2224" s="61">
        <v>6</v>
      </c>
      <c r="E2224" s="61" t="s">
        <v>12</v>
      </c>
      <c r="F2224" s="45">
        <v>1000000</v>
      </c>
      <c r="G2224" s="45">
        <f>ROUNDDOWN(D2224*F2224,-3)</f>
        <v>6000000</v>
      </c>
    </row>
    <row r="2225" spans="1:7" x14ac:dyDescent="0.25">
      <c r="A2225" s="7" t="s">
        <v>3519</v>
      </c>
      <c r="B2225" s="60">
        <v>524111</v>
      </c>
      <c r="C2225" s="41" t="s">
        <v>19</v>
      </c>
      <c r="D2225" s="60"/>
      <c r="E2225" s="60"/>
      <c r="F2225" s="42"/>
      <c r="G2225" s="42">
        <v>186000000</v>
      </c>
    </row>
    <row r="2226" spans="1:7" x14ac:dyDescent="0.25">
      <c r="A2226" s="7" t="s">
        <v>3520</v>
      </c>
      <c r="B2226" s="61"/>
      <c r="C2226" s="44" t="s">
        <v>4619</v>
      </c>
      <c r="D2226" s="61">
        <v>20</v>
      </c>
      <c r="E2226" s="61" t="s">
        <v>10</v>
      </c>
      <c r="F2226" s="45">
        <v>1500000</v>
      </c>
      <c r="G2226" s="45">
        <f>ROUNDDOWN(D2226*F2226,-3)</f>
        <v>30000000</v>
      </c>
    </row>
    <row r="2227" spans="1:7" ht="26.4" x14ac:dyDescent="0.25">
      <c r="A2227" s="7" t="s">
        <v>3521</v>
      </c>
      <c r="B2227" s="61"/>
      <c r="C2227" s="44" t="s">
        <v>4620</v>
      </c>
      <c r="D2227" s="61">
        <v>24</v>
      </c>
      <c r="E2227" s="61" t="s">
        <v>10</v>
      </c>
      <c r="F2227" s="45">
        <v>6500000</v>
      </c>
      <c r="G2227" s="45">
        <f>ROUNDDOWN(D2227*F2227,-3)</f>
        <v>156000000</v>
      </c>
    </row>
    <row r="2228" spans="1:7" x14ac:dyDescent="0.25">
      <c r="A2228" s="7" t="s">
        <v>3522</v>
      </c>
      <c r="B2228" s="59" t="s">
        <v>512</v>
      </c>
      <c r="C2228" s="38" t="s">
        <v>192</v>
      </c>
      <c r="D2228" s="59"/>
      <c r="E2228" s="59"/>
      <c r="F2228" s="39"/>
      <c r="G2228" s="39">
        <v>174041000</v>
      </c>
    </row>
    <row r="2229" spans="1:7" x14ac:dyDescent="0.25">
      <c r="A2229" s="7" t="s">
        <v>3523</v>
      </c>
      <c r="B2229" s="60">
        <v>521211</v>
      </c>
      <c r="C2229" s="41" t="s">
        <v>7</v>
      </c>
      <c r="D2229" s="60"/>
      <c r="E2229" s="60"/>
      <c r="F2229" s="42"/>
      <c r="G2229" s="42">
        <v>12000000</v>
      </c>
    </row>
    <row r="2230" spans="1:7" x14ac:dyDescent="0.25">
      <c r="A2230" s="7" t="s">
        <v>3524</v>
      </c>
      <c r="B2230" s="61"/>
      <c r="C2230" s="44" t="s">
        <v>4622</v>
      </c>
      <c r="D2230" s="61">
        <v>3</v>
      </c>
      <c r="E2230" s="61" t="s">
        <v>9</v>
      </c>
      <c r="F2230" s="45">
        <v>1500000</v>
      </c>
      <c r="G2230" s="45">
        <f>ROUNDDOWN(D2230*F2230,-3)</f>
        <v>4500000</v>
      </c>
    </row>
    <row r="2231" spans="1:7" x14ac:dyDescent="0.25">
      <c r="A2231" s="7" t="s">
        <v>3525</v>
      </c>
      <c r="B2231" s="61"/>
      <c r="C2231" s="44" t="s">
        <v>3626</v>
      </c>
      <c r="D2231" s="61">
        <v>3</v>
      </c>
      <c r="E2231" s="61" t="s">
        <v>9</v>
      </c>
      <c r="F2231" s="45">
        <v>1000000</v>
      </c>
      <c r="G2231" s="45">
        <f>ROUNDDOWN(D2231*F2231,-3)</f>
        <v>3000000</v>
      </c>
    </row>
    <row r="2232" spans="1:7" x14ac:dyDescent="0.25">
      <c r="A2232" s="7" t="s">
        <v>3526</v>
      </c>
      <c r="B2232" s="61"/>
      <c r="C2232" s="44" t="s">
        <v>3600</v>
      </c>
      <c r="D2232" s="61">
        <v>3</v>
      </c>
      <c r="E2232" s="61" t="s">
        <v>9</v>
      </c>
      <c r="F2232" s="45">
        <v>1500000</v>
      </c>
      <c r="G2232" s="45">
        <f>ROUNDDOWN(D2232*F2232,-3)</f>
        <v>4500000</v>
      </c>
    </row>
    <row r="2233" spans="1:7" x14ac:dyDescent="0.25">
      <c r="A2233" s="7" t="s">
        <v>3527</v>
      </c>
      <c r="B2233" s="60">
        <v>521219</v>
      </c>
      <c r="C2233" s="41" t="s">
        <v>53</v>
      </c>
      <c r="D2233" s="60"/>
      <c r="E2233" s="60"/>
      <c r="F2233" s="42"/>
      <c r="G2233" s="42">
        <v>20000000</v>
      </c>
    </row>
    <row r="2234" spans="1:7" ht="26.4" x14ac:dyDescent="0.25">
      <c r="A2234" s="7" t="s">
        <v>3528</v>
      </c>
      <c r="B2234" s="61"/>
      <c r="C2234" s="44" t="s">
        <v>4623</v>
      </c>
      <c r="D2234" s="61">
        <v>2</v>
      </c>
      <c r="E2234" s="61" t="s">
        <v>155</v>
      </c>
      <c r="F2234" s="45">
        <v>10000000</v>
      </c>
      <c r="G2234" s="45">
        <f>ROUNDDOWN(D2234*F2234,-3)</f>
        <v>20000000</v>
      </c>
    </row>
    <row r="2235" spans="1:7" x14ac:dyDescent="0.25">
      <c r="A2235" s="7" t="s">
        <v>3530</v>
      </c>
      <c r="B2235" s="60">
        <v>524211</v>
      </c>
      <c r="C2235" s="41" t="s">
        <v>1151</v>
      </c>
      <c r="D2235" s="60"/>
      <c r="E2235" s="60"/>
      <c r="F2235" s="42"/>
      <c r="G2235" s="42">
        <v>142041000</v>
      </c>
    </row>
    <row r="2236" spans="1:7" ht="26.4" x14ac:dyDescent="0.25">
      <c r="A2236" s="7" t="s">
        <v>3531</v>
      </c>
      <c r="B2236" s="61"/>
      <c r="C2236" s="44" t="s">
        <v>4624</v>
      </c>
      <c r="D2236" s="61">
        <v>3</v>
      </c>
      <c r="E2236" s="61" t="s">
        <v>10</v>
      </c>
      <c r="F2236" s="45">
        <v>47347000</v>
      </c>
      <c r="G2236" s="45">
        <f>ROUNDDOWN(D2236*F2236,-3)</f>
        <v>142041000</v>
      </c>
    </row>
    <row r="2237" spans="1:7" x14ac:dyDescent="0.25">
      <c r="A2237" s="7" t="s">
        <v>3533</v>
      </c>
      <c r="B2237" s="59" t="s">
        <v>514</v>
      </c>
      <c r="C2237" s="38" t="s">
        <v>3534</v>
      </c>
      <c r="D2237" s="59"/>
      <c r="E2237" s="59"/>
      <c r="F2237" s="39"/>
      <c r="G2237" s="39">
        <v>30000000</v>
      </c>
    </row>
    <row r="2238" spans="1:7" x14ac:dyDescent="0.25">
      <c r="A2238" s="7" t="s">
        <v>3535</v>
      </c>
      <c r="B2238" s="60">
        <v>522192</v>
      </c>
      <c r="C2238" s="41" t="s">
        <v>24</v>
      </c>
      <c r="D2238" s="60"/>
      <c r="E2238" s="60"/>
      <c r="F2238" s="42"/>
      <c r="G2238" s="42">
        <v>30000000</v>
      </c>
    </row>
    <row r="2239" spans="1:7" x14ac:dyDescent="0.25">
      <c r="A2239" s="7" t="s">
        <v>3536</v>
      </c>
      <c r="B2239" s="61"/>
      <c r="C2239" s="44" t="s">
        <v>4625</v>
      </c>
      <c r="D2239" s="61">
        <v>120</v>
      </c>
      <c r="E2239" s="61" t="s">
        <v>776</v>
      </c>
      <c r="F2239" s="45">
        <v>250000</v>
      </c>
      <c r="G2239" s="45">
        <f>ROUNDDOWN(D2239*F2239,-3)</f>
        <v>30000000</v>
      </c>
    </row>
    <row r="2240" spans="1:7" x14ac:dyDescent="0.25">
      <c r="A2240" s="7" t="s">
        <v>3538</v>
      </c>
      <c r="B2240" s="58">
        <v>302</v>
      </c>
      <c r="C2240" s="35" t="s">
        <v>193</v>
      </c>
      <c r="D2240" s="58">
        <v>0</v>
      </c>
      <c r="E2240" s="58"/>
      <c r="F2240" s="36"/>
      <c r="G2240" s="36">
        <v>109200000</v>
      </c>
    </row>
    <row r="2241" spans="1:7" x14ac:dyDescent="0.25">
      <c r="A2241" s="7" t="s">
        <v>3539</v>
      </c>
      <c r="B2241" s="59" t="s">
        <v>8</v>
      </c>
      <c r="C2241" s="38" t="s">
        <v>193</v>
      </c>
      <c r="D2241" s="59"/>
      <c r="E2241" s="59"/>
      <c r="F2241" s="39"/>
      <c r="G2241" s="39">
        <v>109200000</v>
      </c>
    </row>
    <row r="2242" spans="1:7" x14ac:dyDescent="0.25">
      <c r="A2242" s="7" t="s">
        <v>3540</v>
      </c>
      <c r="B2242" s="60">
        <v>521211</v>
      </c>
      <c r="C2242" s="41" t="s">
        <v>7</v>
      </c>
      <c r="D2242" s="60"/>
      <c r="E2242" s="60"/>
      <c r="F2242" s="42"/>
      <c r="G2242" s="42">
        <v>25000000</v>
      </c>
    </row>
    <row r="2243" spans="1:7" x14ac:dyDescent="0.25">
      <c r="A2243" s="7" t="s">
        <v>3541</v>
      </c>
      <c r="B2243" s="61"/>
      <c r="C2243" s="44" t="s">
        <v>4612</v>
      </c>
      <c r="D2243" s="61">
        <v>100</v>
      </c>
      <c r="E2243" s="61" t="s">
        <v>10</v>
      </c>
      <c r="F2243" s="45">
        <v>70000</v>
      </c>
      <c r="G2243" s="45">
        <f>ROUNDDOWN(D2243*F2243,-3)</f>
        <v>7000000</v>
      </c>
    </row>
    <row r="2244" spans="1:7" x14ac:dyDescent="0.25">
      <c r="A2244" s="7" t="s">
        <v>3542</v>
      </c>
      <c r="B2244" s="61"/>
      <c r="C2244" s="44" t="s">
        <v>4613</v>
      </c>
      <c r="D2244" s="61">
        <v>12</v>
      </c>
      <c r="E2244" s="61" t="s">
        <v>9</v>
      </c>
      <c r="F2244" s="45">
        <v>1500000</v>
      </c>
      <c r="G2244" s="45">
        <f>ROUNDDOWN(D2244*F2244,-3)</f>
        <v>18000000</v>
      </c>
    </row>
    <row r="2245" spans="1:7" x14ac:dyDescent="0.25">
      <c r="A2245" s="7" t="s">
        <v>3543</v>
      </c>
      <c r="B2245" s="60">
        <v>521811</v>
      </c>
      <c r="C2245" s="41" t="s">
        <v>64</v>
      </c>
      <c r="D2245" s="60"/>
      <c r="E2245" s="60"/>
      <c r="F2245" s="42"/>
      <c r="G2245" s="42">
        <v>30000000</v>
      </c>
    </row>
    <row r="2246" spans="1:7" x14ac:dyDescent="0.25">
      <c r="A2246" s="7" t="s">
        <v>3544</v>
      </c>
      <c r="B2246" s="61"/>
      <c r="C2246" s="44" t="s">
        <v>4269</v>
      </c>
      <c r="D2246" s="61">
        <v>12</v>
      </c>
      <c r="E2246" s="61" t="s">
        <v>9</v>
      </c>
      <c r="F2246" s="45">
        <v>1000000</v>
      </c>
      <c r="G2246" s="45">
        <f>ROUNDDOWN(D2246*F2246,-3)</f>
        <v>12000000</v>
      </c>
    </row>
    <row r="2247" spans="1:7" x14ac:dyDescent="0.25">
      <c r="A2247" s="7" t="s">
        <v>3545</v>
      </c>
      <c r="B2247" s="61"/>
      <c r="C2247" s="44" t="s">
        <v>3632</v>
      </c>
      <c r="D2247" s="61">
        <v>12</v>
      </c>
      <c r="E2247" s="61" t="s">
        <v>9</v>
      </c>
      <c r="F2247" s="45">
        <v>1500000</v>
      </c>
      <c r="G2247" s="45">
        <f>ROUNDDOWN(D2247*F2247,-3)</f>
        <v>18000000</v>
      </c>
    </row>
    <row r="2248" spans="1:7" x14ac:dyDescent="0.25">
      <c r="A2248" s="7" t="s">
        <v>3546</v>
      </c>
      <c r="B2248" s="60">
        <v>524111</v>
      </c>
      <c r="C2248" s="41" t="s">
        <v>19</v>
      </c>
      <c r="D2248" s="60"/>
      <c r="E2248" s="60"/>
      <c r="F2248" s="42"/>
      <c r="G2248" s="42">
        <v>54200000</v>
      </c>
    </row>
    <row r="2249" spans="1:7" ht="26.4" x14ac:dyDescent="0.25">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558" priority="4">
      <formula>AND($Q$4="Ya",$P$2=ROW())</formula>
    </cfRule>
  </conditionalFormatting>
  <conditionalFormatting sqref="G12:G2220">
    <cfRule type="expression" dxfId="557" priority="3">
      <formula>NOT(_xlfn.ISFORMULA(G12))</formula>
    </cfRule>
  </conditionalFormatting>
  <conditionalFormatting sqref="G2249 G2246:G2247 G2243:G2244 G2239 G2236 G2234 G2230:G2232 G2226:G2227 G2224 G2221:G2222">
    <cfRule type="expression" dxfId="556" priority="2">
      <formula>AND($Q$4="Ya",$P$2=ROW())</formula>
    </cfRule>
  </conditionalFormatting>
  <conditionalFormatting sqref="G2249 G2246:G2247 G2243:G2244 G2239 G2236 G2234 G2230:G2232 G2226:G2227 G2224 G2221:G2222">
    <cfRule type="expression" dxfId="555"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4"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89" r:id="rId4" name="cmdGetAkun">
          <controlPr defaultSize="0" autoLine="0" r:id="rId5">
            <anchor moveWithCells="1">
              <from>
                <xdr:col>12</xdr:col>
                <xdr:colOff>327660</xdr:colOff>
                <xdr:row>1</xdr:row>
                <xdr:rowOff>22860</xdr:rowOff>
              </from>
              <to>
                <xdr:col>12</xdr:col>
                <xdr:colOff>1402080</xdr:colOff>
                <xdr:row>3</xdr:row>
                <xdr:rowOff>22860</xdr:rowOff>
              </to>
            </anchor>
          </controlPr>
        </control>
      </mc:Choice>
      <mc:Fallback>
        <control shapeId="12289" r:id="rId4" name="cmdGetAkun"/>
      </mc:Fallback>
    </mc:AlternateContent>
    <mc:AlternateContent xmlns:mc="http://schemas.openxmlformats.org/markup-compatibility/2006">
      <mc:Choice Requires="x14">
        <control shapeId="12297" r:id="rId6" name="cmdWarna">
          <controlPr defaultSize="0" print="0" autoLine="0" r:id="rId7">
            <anchor>
              <from>
                <xdr:col>12</xdr:col>
                <xdr:colOff>327660</xdr:colOff>
                <xdr:row>21</xdr:row>
                <xdr:rowOff>137160</xdr:rowOff>
              </from>
              <to>
                <xdr:col>12</xdr:col>
                <xdr:colOff>1668780</xdr:colOff>
                <xdr:row>23</xdr:row>
                <xdr:rowOff>30480</xdr:rowOff>
              </to>
            </anchor>
          </controlPr>
        </control>
      </mc:Choice>
      <mc:Fallback>
        <control shapeId="12297" r:id="rId6" name="cmdWarna"/>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137160</xdr:rowOff>
              </from>
              <to>
                <xdr:col>13</xdr:col>
                <xdr:colOff>502920</xdr:colOff>
                <xdr:row>15</xdr:row>
                <xdr:rowOff>7620</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60960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144780</xdr:colOff>
                <xdr:row>17</xdr:row>
                <xdr:rowOff>99060</xdr:rowOff>
              </from>
              <to>
                <xdr:col>13</xdr:col>
                <xdr:colOff>449580</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144780</xdr:colOff>
                <xdr:row>17</xdr:row>
                <xdr:rowOff>327660</xdr:rowOff>
              </from>
              <to>
                <xdr:col>13</xdr:col>
                <xdr:colOff>449580</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144780</xdr:colOff>
                <xdr:row>18</xdr:row>
                <xdr:rowOff>160020</xdr:rowOff>
              </from>
              <to>
                <xdr:col>13</xdr:col>
                <xdr:colOff>449580</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144780</xdr:colOff>
                <xdr:row>19</xdr:row>
                <xdr:rowOff>175260</xdr:rowOff>
              </from>
              <to>
                <xdr:col>13</xdr:col>
                <xdr:colOff>449580</xdr:colOff>
                <xdr:row>21</xdr:row>
                <xdr:rowOff>60960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175260</xdr:colOff>
                <xdr:row>15</xdr:row>
                <xdr:rowOff>60960</xdr:rowOff>
              </from>
              <to>
                <xdr:col>13</xdr:col>
                <xdr:colOff>487680</xdr:colOff>
                <xdr:row>15</xdr:row>
                <xdr:rowOff>274320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78" hidden="1"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8" width="16.88671875" style="182" customWidth="1"/>
    <col min="9" max="11" width="20" style="117" customWidth="1"/>
    <col min="12" max="12" width="9.109375" style="117"/>
    <col min="13" max="13" width="15" style="117" customWidth="1"/>
    <col min="14" max="16384" width="9.109375" style="117"/>
  </cols>
  <sheetData>
    <row r="1" spans="1:22" ht="15.6" x14ac:dyDescent="0.25">
      <c r="B1" s="424" t="s">
        <v>598</v>
      </c>
      <c r="C1" s="424"/>
      <c r="D1" s="424"/>
      <c r="E1" s="424"/>
      <c r="F1" s="424"/>
      <c r="G1" s="432"/>
      <c r="H1" s="206"/>
    </row>
    <row r="2" spans="1:22" ht="15.6" x14ac:dyDescent="0.3">
      <c r="B2" s="433" t="s">
        <v>4628</v>
      </c>
      <c r="C2" s="433"/>
      <c r="D2" s="433"/>
      <c r="E2" s="433"/>
      <c r="F2" s="433"/>
      <c r="G2" s="434"/>
      <c r="H2" s="207"/>
    </row>
    <row r="3" spans="1:22" ht="15.6" x14ac:dyDescent="0.3">
      <c r="B3" s="183"/>
      <c r="C3" s="183"/>
      <c r="D3" s="183"/>
      <c r="E3" s="183"/>
      <c r="F3" s="183"/>
      <c r="G3" s="184"/>
      <c r="H3" s="207"/>
    </row>
    <row r="4" spans="1:22" ht="15" x14ac:dyDescent="0.25">
      <c r="B4" s="185" t="s">
        <v>599</v>
      </c>
      <c r="C4" s="185" t="s">
        <v>600</v>
      </c>
      <c r="D4" s="186"/>
      <c r="E4" s="186"/>
      <c r="F4" s="185"/>
      <c r="G4" s="187"/>
      <c r="H4" s="187"/>
    </row>
    <row r="5" spans="1:22" ht="15" x14ac:dyDescent="0.25">
      <c r="B5" s="185" t="s">
        <v>601</v>
      </c>
      <c r="C5" s="185" t="s">
        <v>602</v>
      </c>
      <c r="D5" s="53"/>
      <c r="E5" s="53"/>
      <c r="F5" s="50"/>
      <c r="G5" s="143"/>
      <c r="H5" s="143"/>
    </row>
    <row r="6" spans="1:22" ht="15" x14ac:dyDescent="0.25">
      <c r="B6" s="185" t="s">
        <v>603</v>
      </c>
      <c r="C6" s="185" t="s">
        <v>604</v>
      </c>
      <c r="D6" s="53"/>
      <c r="E6" s="53"/>
      <c r="F6" s="50"/>
      <c r="G6" s="143"/>
      <c r="H6" s="143"/>
    </row>
    <row r="7" spans="1:22" ht="15.6" x14ac:dyDescent="0.3">
      <c r="B7" s="185" t="s">
        <v>605</v>
      </c>
      <c r="C7" s="188" t="str">
        <f>":  Rp. " &amp; TEXT(G12,"#.##")</f>
        <v>:  Rp. 23.342.160.000</v>
      </c>
      <c r="D7" s="53"/>
      <c r="E7" s="53"/>
      <c r="F7" s="50"/>
      <c r="G7" s="143"/>
      <c r="H7" s="143"/>
    </row>
    <row r="8" spans="1:22" ht="15" x14ac:dyDescent="0.25">
      <c r="B8" s="189"/>
      <c r="C8" s="189"/>
      <c r="D8" s="189"/>
      <c r="E8" s="189"/>
      <c r="F8" s="189"/>
      <c r="G8" s="190"/>
      <c r="H8" s="190"/>
    </row>
    <row r="9" spans="1:22" ht="13.8" x14ac:dyDescent="0.25">
      <c r="B9" s="435" t="s">
        <v>606</v>
      </c>
      <c r="C9" s="436" t="s">
        <v>607</v>
      </c>
      <c r="D9" s="437" t="s">
        <v>608</v>
      </c>
      <c r="E9" s="435" t="s">
        <v>609</v>
      </c>
      <c r="F9" s="437" t="s">
        <v>610</v>
      </c>
      <c r="G9" s="431" t="s">
        <v>611</v>
      </c>
      <c r="H9" s="208"/>
      <c r="I9" s="438" t="s">
        <v>4629</v>
      </c>
      <c r="J9" s="438"/>
      <c r="K9" s="438"/>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3.8" x14ac:dyDescent="0.25">
      <c r="A10" s="179" t="s">
        <v>499</v>
      </c>
      <c r="B10" s="427"/>
      <c r="C10" s="427"/>
      <c r="D10" s="430"/>
      <c r="E10" s="430"/>
      <c r="F10" s="427"/>
      <c r="G10" s="427"/>
      <c r="H10" s="217"/>
      <c r="I10" s="218" t="s">
        <v>4641</v>
      </c>
      <c r="J10" s="218" t="s">
        <v>4642</v>
      </c>
      <c r="K10" s="218" t="s">
        <v>4643</v>
      </c>
    </row>
    <row r="11" spans="1:22" s="180" customFormat="1" x14ac:dyDescent="0.25">
      <c r="A11" s="179"/>
      <c r="B11" s="176">
        <v>1</v>
      </c>
      <c r="C11" s="176">
        <v>2</v>
      </c>
      <c r="D11" s="176">
        <v>3</v>
      </c>
      <c r="E11" s="176">
        <v>4</v>
      </c>
      <c r="F11" s="176">
        <v>5</v>
      </c>
      <c r="G11" s="177">
        <v>6</v>
      </c>
      <c r="H11" s="209"/>
    </row>
    <row r="12" spans="1:22" s="180" customFormat="1" x14ac:dyDescent="0.25">
      <c r="A12" s="179"/>
      <c r="B12" s="127"/>
      <c r="C12" s="128" t="s">
        <v>613</v>
      </c>
      <c r="D12" s="129"/>
      <c r="E12" s="130"/>
      <c r="F12" s="129"/>
      <c r="G12" s="175">
        <f>SUM(G13,G114)</f>
        <v>23342160000</v>
      </c>
      <c r="H12" s="210" t="b">
        <f>_xlfn.ISFORMULA(G12)</f>
        <v>1</v>
      </c>
    </row>
    <row r="13" spans="1:22" ht="13.8" x14ac:dyDescent="0.25">
      <c r="A13" s="7" t="s">
        <v>0</v>
      </c>
      <c r="B13" s="54" t="s">
        <v>0</v>
      </c>
      <c r="C13" s="23" t="s">
        <v>1</v>
      </c>
      <c r="D13" s="54"/>
      <c r="E13" s="54"/>
      <c r="F13" s="24"/>
      <c r="G13" s="24">
        <f>G14</f>
        <v>1000000000</v>
      </c>
      <c r="H13" s="210" t="b">
        <f>_xlfn.ISFORMULA(G13)</f>
        <v>1</v>
      </c>
    </row>
    <row r="14" spans="1:22" ht="13.8" x14ac:dyDescent="0.25">
      <c r="A14" s="21" t="s">
        <v>419</v>
      </c>
      <c r="B14" s="55">
        <v>2376</v>
      </c>
      <c r="C14" s="26" t="s">
        <v>47</v>
      </c>
      <c r="D14" s="68"/>
      <c r="E14" s="55"/>
      <c r="F14" s="27"/>
      <c r="G14" s="27">
        <f>G15</f>
        <v>1000000000</v>
      </c>
      <c r="H14" s="210" t="b">
        <f t="shared" ref="H14:H76" si="0">_xlfn.ISFORMULA(G14)</f>
        <v>1</v>
      </c>
    </row>
    <row r="15" spans="1:22" ht="13.8" x14ac:dyDescent="0.25">
      <c r="A15" s="21" t="s">
        <v>420</v>
      </c>
      <c r="B15" s="135" t="s">
        <v>48</v>
      </c>
      <c r="C15" s="133" t="s">
        <v>615</v>
      </c>
      <c r="D15" s="134">
        <v>4</v>
      </c>
      <c r="E15" s="135" t="s">
        <v>3596</v>
      </c>
      <c r="F15" s="136"/>
      <c r="G15" s="136">
        <f>G16</f>
        <v>1000000000</v>
      </c>
      <c r="H15" s="210" t="b">
        <f t="shared" si="0"/>
        <v>1</v>
      </c>
    </row>
    <row r="16" spans="1:22" ht="26.4" x14ac:dyDescent="0.25">
      <c r="A16" s="21" t="s">
        <v>421</v>
      </c>
      <c r="B16" s="138" t="s">
        <v>3712</v>
      </c>
      <c r="C16" s="137" t="s">
        <v>49</v>
      </c>
      <c r="D16" s="138">
        <v>4</v>
      </c>
      <c r="E16" s="138" t="s">
        <v>3596</v>
      </c>
      <c r="F16" s="139"/>
      <c r="G16" s="139">
        <f>SUM(G17,G38,G49,G98)</f>
        <v>1000000000</v>
      </c>
      <c r="H16" s="210" t="b">
        <f t="shared" si="0"/>
        <v>1</v>
      </c>
    </row>
    <row r="17" spans="1:8" ht="13.8" x14ac:dyDescent="0.25">
      <c r="A17" s="21" t="s">
        <v>422</v>
      </c>
      <c r="B17" s="58" t="s">
        <v>502</v>
      </c>
      <c r="C17" s="35" t="s">
        <v>50</v>
      </c>
      <c r="D17" s="69"/>
      <c r="E17" s="58"/>
      <c r="F17" s="36"/>
      <c r="G17" s="36">
        <f>SUM(G18,G28)</f>
        <v>124100000</v>
      </c>
      <c r="H17" s="210" t="b">
        <f t="shared" si="0"/>
        <v>1</v>
      </c>
    </row>
    <row r="18" spans="1:8" ht="13.8" x14ac:dyDescent="0.25">
      <c r="A18" s="21" t="s">
        <v>423</v>
      </c>
      <c r="B18" s="59" t="s">
        <v>8</v>
      </c>
      <c r="C18" s="38" t="s">
        <v>51</v>
      </c>
      <c r="D18" s="59"/>
      <c r="E18" s="59"/>
      <c r="F18" s="39"/>
      <c r="G18" s="39">
        <f>SUM(G19,G24,G26)</f>
        <v>83135000</v>
      </c>
      <c r="H18" s="210" t="b">
        <f t="shared" si="0"/>
        <v>1</v>
      </c>
    </row>
    <row r="19" spans="1:8" ht="13.8" x14ac:dyDescent="0.25">
      <c r="A19" s="21" t="s">
        <v>424</v>
      </c>
      <c r="B19" s="60">
        <v>521211</v>
      </c>
      <c r="C19" s="41" t="s">
        <v>7</v>
      </c>
      <c r="D19" s="71"/>
      <c r="E19" s="60"/>
      <c r="F19" s="42"/>
      <c r="G19" s="42">
        <f>SUM(G20:G23)</f>
        <v>8375000</v>
      </c>
      <c r="H19" s="210" t="b">
        <f t="shared" si="0"/>
        <v>1</v>
      </c>
    </row>
    <row r="20" spans="1:8" ht="13.8" x14ac:dyDescent="0.25">
      <c r="A20" s="21" t="s">
        <v>425</v>
      </c>
      <c r="B20" s="152"/>
      <c r="C20" s="151" t="s">
        <v>3713</v>
      </c>
      <c r="D20" s="213">
        <v>65</v>
      </c>
      <c r="E20" s="152" t="s">
        <v>10</v>
      </c>
      <c r="F20" s="153">
        <v>75000</v>
      </c>
      <c r="G20" s="153">
        <f>ROUNDDOWN(D20*F20,-3)</f>
        <v>4875000</v>
      </c>
      <c r="H20" s="210" t="b">
        <f t="shared" si="0"/>
        <v>1</v>
      </c>
    </row>
    <row r="21" spans="1:8" ht="13.8" x14ac:dyDescent="0.25">
      <c r="A21" s="21" t="s">
        <v>426</v>
      </c>
      <c r="B21" s="152"/>
      <c r="C21" s="151" t="s">
        <v>3714</v>
      </c>
      <c r="D21" s="152">
        <v>1</v>
      </c>
      <c r="E21" s="152" t="s">
        <v>106</v>
      </c>
      <c r="F21" s="153">
        <v>1000000</v>
      </c>
      <c r="G21" s="153">
        <f>ROUNDDOWN(D21*F21,-3)</f>
        <v>1000000</v>
      </c>
      <c r="H21" s="210" t="b">
        <f t="shared" si="0"/>
        <v>1</v>
      </c>
    </row>
    <row r="22" spans="1:8" ht="13.8" x14ac:dyDescent="0.25">
      <c r="A22" s="21" t="s">
        <v>427</v>
      </c>
      <c r="B22" s="152"/>
      <c r="C22" s="151" t="s">
        <v>3600</v>
      </c>
      <c r="D22" s="213">
        <v>1</v>
      </c>
      <c r="E22" s="152" t="s">
        <v>106</v>
      </c>
      <c r="F22" s="153">
        <v>1000000</v>
      </c>
      <c r="G22" s="153">
        <f>ROUNDDOWN(D22*F22,-3)</f>
        <v>1000000</v>
      </c>
      <c r="H22" s="210" t="b">
        <f t="shared" si="0"/>
        <v>1</v>
      </c>
    </row>
    <row r="23" spans="1:8" ht="13.8" x14ac:dyDescent="0.25">
      <c r="A23" s="21" t="s">
        <v>428</v>
      </c>
      <c r="B23" s="152"/>
      <c r="C23" s="151" t="s">
        <v>3601</v>
      </c>
      <c r="D23" s="152">
        <v>1</v>
      </c>
      <c r="E23" s="152" t="s">
        <v>106</v>
      </c>
      <c r="F23" s="153">
        <v>1500000</v>
      </c>
      <c r="G23" s="153">
        <f>ROUNDDOWN(D23*F23,-3)</f>
        <v>1500000</v>
      </c>
      <c r="H23" s="210" t="b">
        <f t="shared" si="0"/>
        <v>1</v>
      </c>
    </row>
    <row r="24" spans="1:8" ht="13.8" x14ac:dyDescent="0.25">
      <c r="A24" s="21" t="s">
        <v>772</v>
      </c>
      <c r="B24" s="60">
        <v>522151</v>
      </c>
      <c r="C24" s="41" t="s">
        <v>11</v>
      </c>
      <c r="D24" s="71"/>
      <c r="E24" s="60"/>
      <c r="F24" s="42"/>
      <c r="G24" s="42">
        <f>G25</f>
        <v>1000000</v>
      </c>
      <c r="H24" s="210" t="b">
        <f>_xlfn.ISFORMULA(G24)</f>
        <v>1</v>
      </c>
    </row>
    <row r="25" spans="1:8" ht="13.8" x14ac:dyDescent="0.25">
      <c r="A25" s="21" t="s">
        <v>773</v>
      </c>
      <c r="B25" s="152"/>
      <c r="C25" s="151" t="s">
        <v>3715</v>
      </c>
      <c r="D25" s="152">
        <v>1</v>
      </c>
      <c r="E25" s="152" t="s">
        <v>54</v>
      </c>
      <c r="F25" s="153">
        <v>1000000</v>
      </c>
      <c r="G25" s="153">
        <f>ROUNDDOWN(D25*F25,-3)</f>
        <v>1000000</v>
      </c>
      <c r="H25" s="210" t="b">
        <f t="shared" si="0"/>
        <v>1</v>
      </c>
    </row>
    <row r="26" spans="1:8" ht="13.8" x14ac:dyDescent="0.25">
      <c r="A26" s="21" t="s">
        <v>429</v>
      </c>
      <c r="B26" s="60">
        <v>524111</v>
      </c>
      <c r="C26" s="41" t="s">
        <v>19</v>
      </c>
      <c r="D26" s="60"/>
      <c r="E26" s="60"/>
      <c r="F26" s="42"/>
      <c r="G26" s="42">
        <f>G27</f>
        <v>73760000</v>
      </c>
      <c r="H26" s="210" t="b">
        <f t="shared" si="0"/>
        <v>1</v>
      </c>
    </row>
    <row r="27" spans="1:8" ht="26.4" x14ac:dyDescent="0.25">
      <c r="A27" s="21" t="s">
        <v>430</v>
      </c>
      <c r="B27" s="152"/>
      <c r="C27" s="151" t="s">
        <v>3716</v>
      </c>
      <c r="D27" s="213">
        <v>12</v>
      </c>
      <c r="E27" s="152" t="s">
        <v>776</v>
      </c>
      <c r="F27" s="153">
        <v>6146667</v>
      </c>
      <c r="G27" s="153">
        <f>ROUNDDOWN(D27*F27,-3)</f>
        <v>73760000</v>
      </c>
      <c r="H27" s="210" t="b">
        <f t="shared" si="0"/>
        <v>1</v>
      </c>
    </row>
    <row r="28" spans="1:8" ht="13.8" x14ac:dyDescent="0.25">
      <c r="A28" s="21" t="s">
        <v>431</v>
      </c>
      <c r="B28" s="59" t="s">
        <v>511</v>
      </c>
      <c r="C28" s="38" t="s">
        <v>55</v>
      </c>
      <c r="D28" s="70"/>
      <c r="E28" s="59"/>
      <c r="F28" s="39"/>
      <c r="G28" s="39">
        <f>SUM(G29,G34,G36)</f>
        <v>40965000</v>
      </c>
      <c r="H28" s="210" t="b">
        <f t="shared" si="0"/>
        <v>1</v>
      </c>
    </row>
    <row r="29" spans="1:8" ht="13.8" x14ac:dyDescent="0.25">
      <c r="A29" s="21" t="s">
        <v>432</v>
      </c>
      <c r="B29" s="60">
        <v>521211</v>
      </c>
      <c r="C29" s="41" t="s">
        <v>7</v>
      </c>
      <c r="D29" s="71"/>
      <c r="E29" s="60"/>
      <c r="F29" s="42"/>
      <c r="G29" s="42">
        <f>SUM(G30:G33)</f>
        <v>6725000</v>
      </c>
      <c r="H29" s="210" t="b">
        <f t="shared" si="0"/>
        <v>1</v>
      </c>
    </row>
    <row r="30" spans="1:8" ht="13.8" x14ac:dyDescent="0.25">
      <c r="A30" s="21" t="s">
        <v>433</v>
      </c>
      <c r="B30" s="152"/>
      <c r="C30" s="151" t="s">
        <v>3713</v>
      </c>
      <c r="D30" s="152">
        <v>43</v>
      </c>
      <c r="E30" s="152" t="s">
        <v>10</v>
      </c>
      <c r="F30" s="153">
        <v>75000</v>
      </c>
      <c r="G30" s="153">
        <f>ROUNDDOWN(D30*F30,-3)</f>
        <v>3225000</v>
      </c>
      <c r="H30" s="210" t="b">
        <f t="shared" si="0"/>
        <v>1</v>
      </c>
    </row>
    <row r="31" spans="1:8" ht="13.8" x14ac:dyDescent="0.25">
      <c r="A31" s="21" t="s">
        <v>434</v>
      </c>
      <c r="B31" s="152"/>
      <c r="C31" s="151" t="s">
        <v>3714</v>
      </c>
      <c r="D31" s="213">
        <v>1</v>
      </c>
      <c r="E31" s="152" t="s">
        <v>106</v>
      </c>
      <c r="F31" s="153">
        <v>1000000</v>
      </c>
      <c r="G31" s="153">
        <f>ROUNDDOWN(D31*F31,-3)</f>
        <v>1000000</v>
      </c>
      <c r="H31" s="210" t="b">
        <f t="shared" si="0"/>
        <v>1</v>
      </c>
    </row>
    <row r="32" spans="1:8" ht="13.8" x14ac:dyDescent="0.25">
      <c r="A32" s="21" t="s">
        <v>435</v>
      </c>
      <c r="B32" s="152"/>
      <c r="C32" s="151" t="s">
        <v>3600</v>
      </c>
      <c r="D32" s="152">
        <v>1</v>
      </c>
      <c r="E32" s="152" t="s">
        <v>106</v>
      </c>
      <c r="F32" s="153">
        <v>1000000</v>
      </c>
      <c r="G32" s="153">
        <f>ROUNDDOWN(D32*F32,-3)</f>
        <v>1000000</v>
      </c>
      <c r="H32" s="210" t="b">
        <f t="shared" si="0"/>
        <v>1</v>
      </c>
    </row>
    <row r="33" spans="1:8" ht="13.8" x14ac:dyDescent="0.25">
      <c r="A33" s="21" t="s">
        <v>436</v>
      </c>
      <c r="B33" s="152"/>
      <c r="C33" s="151" t="s">
        <v>3601</v>
      </c>
      <c r="D33" s="213">
        <v>1</v>
      </c>
      <c r="E33" s="152" t="s">
        <v>106</v>
      </c>
      <c r="F33" s="153">
        <v>1500000</v>
      </c>
      <c r="G33" s="153">
        <f>ROUNDDOWN(D33*F33,-3)</f>
        <v>1500000</v>
      </c>
      <c r="H33" s="210" t="b">
        <f t="shared" si="0"/>
        <v>1</v>
      </c>
    </row>
    <row r="34" spans="1:8" ht="13.8" x14ac:dyDescent="0.25">
      <c r="A34" s="21" t="s">
        <v>777</v>
      </c>
      <c r="B34" s="60">
        <v>522151</v>
      </c>
      <c r="C34" s="41" t="s">
        <v>11</v>
      </c>
      <c r="D34" s="71"/>
      <c r="E34" s="60"/>
      <c r="F34" s="42"/>
      <c r="G34" s="42">
        <f>G35</f>
        <v>1000000</v>
      </c>
      <c r="H34" s="210" t="b">
        <f t="shared" si="0"/>
        <v>1</v>
      </c>
    </row>
    <row r="35" spans="1:8" ht="13.8" x14ac:dyDescent="0.25">
      <c r="A35" s="21" t="s">
        <v>778</v>
      </c>
      <c r="B35" s="152"/>
      <c r="C35" s="151" t="s">
        <v>3715</v>
      </c>
      <c r="D35" s="152">
        <v>1</v>
      </c>
      <c r="E35" s="152" t="s">
        <v>54</v>
      </c>
      <c r="F35" s="153">
        <v>1000000</v>
      </c>
      <c r="G35" s="153">
        <f>ROUNDDOWN(D35*F35,-3)</f>
        <v>1000000</v>
      </c>
      <c r="H35" s="210" t="b">
        <f t="shared" si="0"/>
        <v>1</v>
      </c>
    </row>
    <row r="36" spans="1:8" ht="13.8" x14ac:dyDescent="0.25">
      <c r="A36" s="21" t="s">
        <v>437</v>
      </c>
      <c r="B36" s="60">
        <v>524111</v>
      </c>
      <c r="C36" s="41" t="s">
        <v>19</v>
      </c>
      <c r="D36" s="71"/>
      <c r="E36" s="60"/>
      <c r="F36" s="42"/>
      <c r="G36" s="42">
        <f>G37</f>
        <v>33240000</v>
      </c>
      <c r="H36" s="210" t="b">
        <f t="shared" si="0"/>
        <v>1</v>
      </c>
    </row>
    <row r="37" spans="1:8" ht="26.4" x14ac:dyDescent="0.25">
      <c r="A37" s="21" t="s">
        <v>438</v>
      </c>
      <c r="B37" s="152"/>
      <c r="C37" s="151" t="s">
        <v>3716</v>
      </c>
      <c r="D37" s="152">
        <v>12</v>
      </c>
      <c r="E37" s="152" t="s">
        <v>776</v>
      </c>
      <c r="F37" s="153">
        <v>2770000</v>
      </c>
      <c r="G37" s="153">
        <f>ROUNDDOWN(D37*F37,-3)</f>
        <v>33240000</v>
      </c>
      <c r="H37" s="210" t="b">
        <f t="shared" si="0"/>
        <v>1</v>
      </c>
    </row>
    <row r="38" spans="1:8" ht="13.8" x14ac:dyDescent="0.25">
      <c r="A38" s="21" t="s">
        <v>439</v>
      </c>
      <c r="B38" s="58" t="s">
        <v>520</v>
      </c>
      <c r="C38" s="35" t="s">
        <v>57</v>
      </c>
      <c r="D38" s="69"/>
      <c r="E38" s="58"/>
      <c r="F38" s="36"/>
      <c r="G38" s="36">
        <f>G39</f>
        <v>54500000</v>
      </c>
      <c r="H38" s="210" t="b">
        <f t="shared" si="0"/>
        <v>1</v>
      </c>
    </row>
    <row r="39" spans="1:8" ht="26.4" x14ac:dyDescent="0.25">
      <c r="A39" s="21" t="s">
        <v>440</v>
      </c>
      <c r="B39" s="59" t="s">
        <v>8</v>
      </c>
      <c r="C39" s="38" t="s">
        <v>59</v>
      </c>
      <c r="D39" s="59"/>
      <c r="E39" s="59"/>
      <c r="F39" s="39"/>
      <c r="G39" s="39">
        <f>SUM(G40,G47)</f>
        <v>54500000</v>
      </c>
      <c r="H39" s="210" t="b">
        <f t="shared" si="0"/>
        <v>1</v>
      </c>
    </row>
    <row r="40" spans="1:8" ht="13.8" x14ac:dyDescent="0.25">
      <c r="A40" s="21" t="s">
        <v>441</v>
      </c>
      <c r="B40" s="60">
        <v>521211</v>
      </c>
      <c r="C40" s="41" t="s">
        <v>7</v>
      </c>
      <c r="D40" s="60"/>
      <c r="E40" s="60"/>
      <c r="F40" s="42"/>
      <c r="G40" s="42">
        <f>SUM(G41:G46)</f>
        <v>19225000</v>
      </c>
      <c r="H40" s="210" t="b">
        <f t="shared" si="0"/>
        <v>1</v>
      </c>
    </row>
    <row r="41" spans="1:8" ht="13.8" x14ac:dyDescent="0.25">
      <c r="A41" s="21" t="s">
        <v>442</v>
      </c>
      <c r="B41" s="152"/>
      <c r="C41" s="151" t="s">
        <v>3713</v>
      </c>
      <c r="D41" s="213">
        <v>23</v>
      </c>
      <c r="E41" s="152" t="s">
        <v>10</v>
      </c>
      <c r="F41" s="153">
        <v>75000</v>
      </c>
      <c r="G41" s="153">
        <f t="shared" ref="G41:G46" si="1">ROUNDDOWN(D41*F41,-3)</f>
        <v>1725000</v>
      </c>
      <c r="H41" s="210" t="b">
        <f t="shared" si="0"/>
        <v>1</v>
      </c>
    </row>
    <row r="42" spans="1:8" ht="13.8" x14ac:dyDescent="0.25">
      <c r="A42" s="7" t="s">
        <v>443</v>
      </c>
      <c r="B42" s="152"/>
      <c r="C42" s="151" t="s">
        <v>3714</v>
      </c>
      <c r="D42" s="213">
        <v>1</v>
      </c>
      <c r="E42" s="152" t="s">
        <v>106</v>
      </c>
      <c r="F42" s="153">
        <v>1000000</v>
      </c>
      <c r="G42" s="153">
        <f t="shared" si="1"/>
        <v>1000000</v>
      </c>
      <c r="H42" s="210" t="b">
        <f t="shared" si="0"/>
        <v>1</v>
      </c>
    </row>
    <row r="43" spans="1:8" ht="13.8" x14ac:dyDescent="0.25">
      <c r="A43" s="7" t="s">
        <v>444</v>
      </c>
      <c r="B43" s="152"/>
      <c r="C43" s="151" t="s">
        <v>3600</v>
      </c>
      <c r="D43" s="152">
        <v>2</v>
      </c>
      <c r="E43" s="152" t="s">
        <v>106</v>
      </c>
      <c r="F43" s="153">
        <v>1000000</v>
      </c>
      <c r="G43" s="153">
        <f t="shared" si="1"/>
        <v>2000000</v>
      </c>
      <c r="H43" s="210" t="b">
        <f t="shared" si="0"/>
        <v>1</v>
      </c>
    </row>
    <row r="44" spans="1:8" ht="13.8" x14ac:dyDescent="0.25">
      <c r="A44" s="21" t="s">
        <v>445</v>
      </c>
      <c r="B44" s="152"/>
      <c r="C44" s="151" t="s">
        <v>3601</v>
      </c>
      <c r="D44" s="152">
        <v>2</v>
      </c>
      <c r="E44" s="152" t="s">
        <v>106</v>
      </c>
      <c r="F44" s="153">
        <v>1500000</v>
      </c>
      <c r="G44" s="153">
        <f t="shared" si="1"/>
        <v>3000000</v>
      </c>
      <c r="H44" s="210" t="b">
        <f t="shared" si="0"/>
        <v>1</v>
      </c>
    </row>
    <row r="45" spans="1:8" ht="13.8" x14ac:dyDescent="0.25">
      <c r="A45" s="21" t="s">
        <v>446</v>
      </c>
      <c r="B45" s="152"/>
      <c r="C45" s="151" t="s">
        <v>3717</v>
      </c>
      <c r="D45" s="152">
        <v>23</v>
      </c>
      <c r="E45" s="152" t="s">
        <v>176</v>
      </c>
      <c r="F45" s="153">
        <v>250000</v>
      </c>
      <c r="G45" s="153">
        <f t="shared" si="1"/>
        <v>5750000</v>
      </c>
      <c r="H45" s="210" t="b">
        <f t="shared" si="0"/>
        <v>1</v>
      </c>
    </row>
    <row r="46" spans="1:8" ht="13.8" x14ac:dyDescent="0.25">
      <c r="A46" s="21" t="s">
        <v>447</v>
      </c>
      <c r="B46" s="152"/>
      <c r="C46" s="151" t="s">
        <v>3718</v>
      </c>
      <c r="D46" s="152">
        <v>23</v>
      </c>
      <c r="E46" s="152" t="s">
        <v>58</v>
      </c>
      <c r="F46" s="153">
        <v>250000</v>
      </c>
      <c r="G46" s="153">
        <f t="shared" si="1"/>
        <v>5750000</v>
      </c>
      <c r="H46" s="210" t="b">
        <f t="shared" si="0"/>
        <v>1</v>
      </c>
    </row>
    <row r="47" spans="1:8" ht="13.8" x14ac:dyDescent="0.25">
      <c r="A47" s="21" t="s">
        <v>448</v>
      </c>
      <c r="B47" s="60">
        <v>524111</v>
      </c>
      <c r="C47" s="41" t="s">
        <v>19</v>
      </c>
      <c r="D47" s="71"/>
      <c r="E47" s="60"/>
      <c r="F47" s="42"/>
      <c r="G47" s="42">
        <f>G48</f>
        <v>35275000</v>
      </c>
      <c r="H47" s="210" t="b">
        <f t="shared" si="0"/>
        <v>1</v>
      </c>
    </row>
    <row r="48" spans="1:8" ht="26.4" x14ac:dyDescent="0.25">
      <c r="A48" s="21" t="s">
        <v>449</v>
      </c>
      <c r="B48" s="152"/>
      <c r="C48" s="151" t="s">
        <v>3719</v>
      </c>
      <c r="D48" s="213">
        <v>10</v>
      </c>
      <c r="E48" s="152" t="s">
        <v>776</v>
      </c>
      <c r="F48" s="153">
        <v>3527550</v>
      </c>
      <c r="G48" s="153">
        <f>ROUNDDOWN(D48*F48,-3)</f>
        <v>35275000</v>
      </c>
      <c r="H48" s="210" t="b">
        <f t="shared" si="0"/>
        <v>1</v>
      </c>
    </row>
    <row r="49" spans="1:8" ht="13.8" x14ac:dyDescent="0.25">
      <c r="A49" s="21" t="s">
        <v>450</v>
      </c>
      <c r="B49" s="58" t="s">
        <v>523</v>
      </c>
      <c r="C49" s="35" t="s">
        <v>61</v>
      </c>
      <c r="D49" s="69"/>
      <c r="E49" s="58"/>
      <c r="F49" s="36"/>
      <c r="G49" s="36">
        <f>SUM(G50,G69,G86)</f>
        <v>686300000</v>
      </c>
      <c r="H49" s="210" t="b">
        <f t="shared" si="0"/>
        <v>1</v>
      </c>
    </row>
    <row r="50" spans="1:8" ht="13.8" x14ac:dyDescent="0.25">
      <c r="A50" s="21" t="s">
        <v>451</v>
      </c>
      <c r="B50" s="59" t="s">
        <v>8</v>
      </c>
      <c r="C50" s="38" t="s">
        <v>62</v>
      </c>
      <c r="D50" s="59"/>
      <c r="E50" s="59"/>
      <c r="F50" s="39"/>
      <c r="G50" s="39">
        <f>SUM(G51,G55,G58,G61,G63,G65,G67)</f>
        <v>386924000</v>
      </c>
      <c r="H50" s="210" t="b">
        <f t="shared" si="0"/>
        <v>1</v>
      </c>
    </row>
    <row r="51" spans="1:8" ht="13.8" x14ac:dyDescent="0.25">
      <c r="A51" s="21" t="s">
        <v>452</v>
      </c>
      <c r="B51" s="60">
        <v>521211</v>
      </c>
      <c r="C51" s="41" t="s">
        <v>7</v>
      </c>
      <c r="D51" s="71"/>
      <c r="E51" s="60"/>
      <c r="F51" s="42"/>
      <c r="G51" s="42">
        <f>SUM(G52:G54)</f>
        <v>64900000</v>
      </c>
      <c r="H51" s="210" t="b">
        <f t="shared" si="0"/>
        <v>1</v>
      </c>
    </row>
    <row r="52" spans="1:8" ht="13.8" x14ac:dyDescent="0.25">
      <c r="A52" s="21" t="s">
        <v>453</v>
      </c>
      <c r="B52" s="152"/>
      <c r="C52" s="151" t="s">
        <v>3598</v>
      </c>
      <c r="D52" s="213">
        <v>12</v>
      </c>
      <c r="E52" s="152" t="s">
        <v>106</v>
      </c>
      <c r="F52" s="153">
        <v>1500000</v>
      </c>
      <c r="G52" s="153">
        <f>ROUNDDOWN(D52*F52,-3)</f>
        <v>18000000</v>
      </c>
      <c r="H52" s="210" t="b">
        <f t="shared" si="0"/>
        <v>1</v>
      </c>
    </row>
    <row r="53" spans="1:8" ht="13.8" x14ac:dyDescent="0.25">
      <c r="A53" s="21" t="s">
        <v>454</v>
      </c>
      <c r="B53" s="152"/>
      <c r="C53" s="151" t="s">
        <v>3720</v>
      </c>
      <c r="D53" s="152">
        <v>100</v>
      </c>
      <c r="E53" s="152" t="s">
        <v>25</v>
      </c>
      <c r="F53" s="153">
        <v>69000</v>
      </c>
      <c r="G53" s="153">
        <f>ROUNDDOWN(D53*F53,-3)</f>
        <v>6900000</v>
      </c>
      <c r="H53" s="210" t="b">
        <f t="shared" si="0"/>
        <v>1</v>
      </c>
    </row>
    <row r="54" spans="1:8" ht="13.8" x14ac:dyDescent="0.25">
      <c r="A54" s="21" t="s">
        <v>783</v>
      </c>
      <c r="B54" s="152"/>
      <c r="C54" s="151" t="s">
        <v>3721</v>
      </c>
      <c r="D54" s="213">
        <v>80</v>
      </c>
      <c r="E54" s="152" t="s">
        <v>58</v>
      </c>
      <c r="F54" s="153">
        <v>500000</v>
      </c>
      <c r="G54" s="153">
        <f>ROUNDDOWN(D54*F54,-3)</f>
        <v>40000000</v>
      </c>
      <c r="H54" s="210" t="b">
        <f t="shared" si="0"/>
        <v>1</v>
      </c>
    </row>
    <row r="55" spans="1:8" ht="13.8" x14ac:dyDescent="0.25">
      <c r="A55" s="21" t="s">
        <v>455</v>
      </c>
      <c r="B55" s="60">
        <v>521219</v>
      </c>
      <c r="C55" s="41" t="s">
        <v>53</v>
      </c>
      <c r="D55" s="60"/>
      <c r="E55" s="60"/>
      <c r="F55" s="42"/>
      <c r="G55" s="42">
        <f>SUM(G56:G57)</f>
        <v>6000000</v>
      </c>
      <c r="H55" s="210" t="b">
        <f t="shared" si="0"/>
        <v>1</v>
      </c>
    </row>
    <row r="56" spans="1:8" ht="13.8" x14ac:dyDescent="0.25">
      <c r="A56" s="21" t="s">
        <v>456</v>
      </c>
      <c r="B56" s="152"/>
      <c r="C56" s="151" t="s">
        <v>3722</v>
      </c>
      <c r="D56" s="152">
        <v>4</v>
      </c>
      <c r="E56" s="152" t="s">
        <v>106</v>
      </c>
      <c r="F56" s="153">
        <v>250000</v>
      </c>
      <c r="G56" s="153">
        <f>ROUNDDOWN(D56*F56,-3)</f>
        <v>1000000</v>
      </c>
      <c r="H56" s="210" t="b">
        <f t="shared" si="0"/>
        <v>1</v>
      </c>
    </row>
    <row r="57" spans="1:8" ht="13.8" x14ac:dyDescent="0.25">
      <c r="A57" s="21" t="s">
        <v>457</v>
      </c>
      <c r="B57" s="152"/>
      <c r="C57" s="151" t="s">
        <v>3723</v>
      </c>
      <c r="D57" s="213">
        <v>10</v>
      </c>
      <c r="E57" s="152" t="s">
        <v>106</v>
      </c>
      <c r="F57" s="153">
        <v>500000</v>
      </c>
      <c r="G57" s="153">
        <f>ROUNDDOWN(D57*F57,-3)</f>
        <v>5000000</v>
      </c>
      <c r="H57" s="210" t="b">
        <f t="shared" si="0"/>
        <v>1</v>
      </c>
    </row>
    <row r="58" spans="1:8" ht="13.8" x14ac:dyDescent="0.25">
      <c r="A58" s="21" t="s">
        <v>458</v>
      </c>
      <c r="B58" s="60">
        <v>521811</v>
      </c>
      <c r="C58" s="41" t="s">
        <v>64</v>
      </c>
      <c r="D58" s="71"/>
      <c r="E58" s="60"/>
      <c r="F58" s="42"/>
      <c r="G58" s="42">
        <f>SUM(G59:G60)</f>
        <v>30000000</v>
      </c>
      <c r="H58" s="210" t="b">
        <f t="shared" si="0"/>
        <v>1</v>
      </c>
    </row>
    <row r="59" spans="1:8" ht="13.8" x14ac:dyDescent="0.25">
      <c r="A59" s="21" t="s">
        <v>459</v>
      </c>
      <c r="B59" s="152"/>
      <c r="C59" s="151" t="s">
        <v>3625</v>
      </c>
      <c r="D59" s="213">
        <v>12</v>
      </c>
      <c r="E59" s="152" t="s">
        <v>106</v>
      </c>
      <c r="F59" s="153">
        <v>1000000</v>
      </c>
      <c r="G59" s="153">
        <f>ROUNDDOWN(D59*F59,-3)</f>
        <v>12000000</v>
      </c>
      <c r="H59" s="210" t="b">
        <f t="shared" si="0"/>
        <v>1</v>
      </c>
    </row>
    <row r="60" spans="1:8" ht="13.8" x14ac:dyDescent="0.25">
      <c r="A60" s="21" t="s">
        <v>460</v>
      </c>
      <c r="B60" s="152"/>
      <c r="C60" s="151" t="s">
        <v>3626</v>
      </c>
      <c r="D60" s="213">
        <v>12</v>
      </c>
      <c r="E60" s="152" t="s">
        <v>106</v>
      </c>
      <c r="F60" s="153">
        <v>1500000</v>
      </c>
      <c r="G60" s="153">
        <f>ROUNDDOWN(D60*F60,-3)</f>
        <v>18000000</v>
      </c>
      <c r="H60" s="210" t="b">
        <f t="shared" si="0"/>
        <v>1</v>
      </c>
    </row>
    <row r="61" spans="1:8" ht="13.8" x14ac:dyDescent="0.25">
      <c r="A61" s="21" t="s">
        <v>461</v>
      </c>
      <c r="B61" s="60">
        <v>522151</v>
      </c>
      <c r="C61" s="41" t="s">
        <v>11</v>
      </c>
      <c r="D61" s="60"/>
      <c r="E61" s="60"/>
      <c r="F61" s="42"/>
      <c r="G61" s="42">
        <f>G62</f>
        <v>25200000</v>
      </c>
      <c r="H61" s="210" t="b">
        <f t="shared" si="0"/>
        <v>1</v>
      </c>
    </row>
    <row r="62" spans="1:8" ht="13.8" x14ac:dyDescent="0.25">
      <c r="A62" s="21" t="s">
        <v>462</v>
      </c>
      <c r="B62" s="152"/>
      <c r="C62" s="151" t="s">
        <v>3715</v>
      </c>
      <c r="D62" s="213">
        <v>28</v>
      </c>
      <c r="E62" s="152" t="s">
        <v>54</v>
      </c>
      <c r="F62" s="153">
        <v>900000</v>
      </c>
      <c r="G62" s="153">
        <f>ROUNDDOWN(D62*F62,-3)</f>
        <v>25200000</v>
      </c>
      <c r="H62" s="210" t="b">
        <f t="shared" si="0"/>
        <v>1</v>
      </c>
    </row>
    <row r="63" spans="1:8" ht="13.8" x14ac:dyDescent="0.25">
      <c r="A63" s="21" t="s">
        <v>463</v>
      </c>
      <c r="B63" s="60">
        <v>522192</v>
      </c>
      <c r="C63" s="41" t="s">
        <v>24</v>
      </c>
      <c r="D63" s="60"/>
      <c r="E63" s="60"/>
      <c r="F63" s="42"/>
      <c r="G63" s="42">
        <f>G64</f>
        <v>6000000</v>
      </c>
      <c r="H63" s="210" t="b">
        <f t="shared" si="0"/>
        <v>1</v>
      </c>
    </row>
    <row r="64" spans="1:8" ht="13.8" x14ac:dyDescent="0.25">
      <c r="A64" s="21" t="s">
        <v>464</v>
      </c>
      <c r="B64" s="152"/>
      <c r="C64" s="151" t="s">
        <v>3724</v>
      </c>
      <c r="D64" s="152">
        <v>1</v>
      </c>
      <c r="E64" s="152" t="s">
        <v>60</v>
      </c>
      <c r="F64" s="153">
        <v>6000000</v>
      </c>
      <c r="G64" s="153">
        <f>ROUNDDOWN(D64*F64,-3)</f>
        <v>6000000</v>
      </c>
      <c r="H64" s="210" t="b">
        <f t="shared" si="0"/>
        <v>1</v>
      </c>
    </row>
    <row r="65" spans="1:8" ht="13.8" x14ac:dyDescent="0.25">
      <c r="A65" s="21" t="s">
        <v>465</v>
      </c>
      <c r="B65" s="60">
        <v>524111</v>
      </c>
      <c r="C65" s="41" t="s">
        <v>19</v>
      </c>
      <c r="D65" s="71"/>
      <c r="E65" s="60"/>
      <c r="F65" s="42"/>
      <c r="G65" s="42">
        <f>G66</f>
        <v>253324000</v>
      </c>
      <c r="H65" s="210" t="b">
        <f t="shared" si="0"/>
        <v>1</v>
      </c>
    </row>
    <row r="66" spans="1:8" ht="26.4" x14ac:dyDescent="0.25">
      <c r="A66" s="21" t="s">
        <v>466</v>
      </c>
      <c r="B66" s="152"/>
      <c r="C66" s="151" t="s">
        <v>3725</v>
      </c>
      <c r="D66" s="213">
        <v>44</v>
      </c>
      <c r="E66" s="152" t="s">
        <v>776</v>
      </c>
      <c r="F66" s="153">
        <v>5757364</v>
      </c>
      <c r="G66" s="153">
        <f>ROUNDDOWN(D66*F66,-3)</f>
        <v>253324000</v>
      </c>
      <c r="H66" s="210" t="b">
        <f t="shared" si="0"/>
        <v>1</v>
      </c>
    </row>
    <row r="67" spans="1:8" ht="13.8" x14ac:dyDescent="0.25">
      <c r="A67" s="21" t="s">
        <v>467</v>
      </c>
      <c r="B67" s="60">
        <v>524113</v>
      </c>
      <c r="C67" s="41" t="s">
        <v>13</v>
      </c>
      <c r="D67" s="60"/>
      <c r="E67" s="60"/>
      <c r="F67" s="42"/>
      <c r="G67" s="42">
        <f>G68</f>
        <v>1500000</v>
      </c>
      <c r="H67" s="210" t="b">
        <f t="shared" si="0"/>
        <v>1</v>
      </c>
    </row>
    <row r="68" spans="1:8" ht="13.8" x14ac:dyDescent="0.25">
      <c r="A68" s="21" t="s">
        <v>468</v>
      </c>
      <c r="B68" s="152"/>
      <c r="C68" s="151" t="s">
        <v>3618</v>
      </c>
      <c r="D68" s="213">
        <v>10</v>
      </c>
      <c r="E68" s="152" t="s">
        <v>10</v>
      </c>
      <c r="F68" s="153">
        <v>150000</v>
      </c>
      <c r="G68" s="153">
        <f>ROUNDDOWN(D68*F68,-3)</f>
        <v>1500000</v>
      </c>
      <c r="H68" s="210" t="b">
        <f t="shared" si="0"/>
        <v>1</v>
      </c>
    </row>
    <row r="69" spans="1:8" ht="13.8" x14ac:dyDescent="0.25">
      <c r="A69" s="21" t="s">
        <v>469</v>
      </c>
      <c r="B69" s="59" t="s">
        <v>511</v>
      </c>
      <c r="C69" s="38" t="s">
        <v>65</v>
      </c>
      <c r="D69" s="70"/>
      <c r="E69" s="59"/>
      <c r="F69" s="39"/>
      <c r="G69" s="39">
        <f>SUM(G70,G74,G77,G80,G82,G84)</f>
        <v>247816000</v>
      </c>
      <c r="H69" s="210" t="b">
        <f t="shared" si="0"/>
        <v>1</v>
      </c>
    </row>
    <row r="70" spans="1:8" ht="13.8" x14ac:dyDescent="0.25">
      <c r="A70" s="21" t="s">
        <v>470</v>
      </c>
      <c r="B70" s="60">
        <v>521211</v>
      </c>
      <c r="C70" s="41" t="s">
        <v>7</v>
      </c>
      <c r="D70" s="60"/>
      <c r="E70" s="60"/>
      <c r="F70" s="42"/>
      <c r="G70" s="42">
        <f>SUM(G71:G73)</f>
        <v>71456000</v>
      </c>
      <c r="H70" s="210" t="b">
        <f t="shared" si="0"/>
        <v>1</v>
      </c>
    </row>
    <row r="71" spans="1:8" ht="13.8" x14ac:dyDescent="0.25">
      <c r="A71" s="21" t="s">
        <v>471</v>
      </c>
      <c r="B71" s="152"/>
      <c r="C71" s="151" t="s">
        <v>3726</v>
      </c>
      <c r="D71" s="213">
        <v>224</v>
      </c>
      <c r="E71" s="152" t="s">
        <v>25</v>
      </c>
      <c r="F71" s="153">
        <v>69000</v>
      </c>
      <c r="G71" s="153">
        <f>ROUNDDOWN(D71*F71,-3)</f>
        <v>15456000</v>
      </c>
      <c r="H71" s="210" t="b">
        <f t="shared" si="0"/>
        <v>1</v>
      </c>
    </row>
    <row r="72" spans="1:8" ht="13.8" x14ac:dyDescent="0.25">
      <c r="A72" s="21" t="s">
        <v>472</v>
      </c>
      <c r="B72" s="152"/>
      <c r="C72" s="151" t="s">
        <v>3714</v>
      </c>
      <c r="D72" s="152">
        <v>4</v>
      </c>
      <c r="E72" s="152" t="s">
        <v>106</v>
      </c>
      <c r="F72" s="153">
        <v>1500000</v>
      </c>
      <c r="G72" s="153">
        <f>ROUNDDOWN(D72*F72,-3)</f>
        <v>6000000</v>
      </c>
      <c r="H72" s="210" t="b">
        <f t="shared" si="0"/>
        <v>1</v>
      </c>
    </row>
    <row r="73" spans="1:8" ht="13.8" x14ac:dyDescent="0.25">
      <c r="A73" s="21" t="s">
        <v>789</v>
      </c>
      <c r="B73" s="152"/>
      <c r="C73" s="151" t="s">
        <v>3727</v>
      </c>
      <c r="D73" s="152">
        <v>100</v>
      </c>
      <c r="E73" s="152" t="s">
        <v>791</v>
      </c>
      <c r="F73" s="153">
        <v>500000</v>
      </c>
      <c r="G73" s="153">
        <f>ROUNDDOWN(D73*F73,-3)</f>
        <v>50000000</v>
      </c>
      <c r="H73" s="210" t="b">
        <f t="shared" si="0"/>
        <v>1</v>
      </c>
    </row>
    <row r="74" spans="1:8" ht="13.8" x14ac:dyDescent="0.25">
      <c r="A74" s="21" t="s">
        <v>473</v>
      </c>
      <c r="B74" s="60">
        <v>521219</v>
      </c>
      <c r="C74" s="41" t="s">
        <v>53</v>
      </c>
      <c r="D74" s="71"/>
      <c r="E74" s="60"/>
      <c r="F74" s="42"/>
      <c r="G74" s="42">
        <f>SUM(G75:G76)</f>
        <v>5000000</v>
      </c>
      <c r="H74" s="210" t="b">
        <f t="shared" si="0"/>
        <v>1</v>
      </c>
    </row>
    <row r="75" spans="1:8" ht="13.8" x14ac:dyDescent="0.25">
      <c r="A75" s="21" t="s">
        <v>474</v>
      </c>
      <c r="B75" s="152"/>
      <c r="C75" s="151" t="s">
        <v>3722</v>
      </c>
      <c r="D75" s="213">
        <v>4</v>
      </c>
      <c r="E75" s="152" t="s">
        <v>106</v>
      </c>
      <c r="F75" s="153">
        <v>250000</v>
      </c>
      <c r="G75" s="153">
        <f>ROUNDDOWN(D75*F75,-3)</f>
        <v>1000000</v>
      </c>
      <c r="H75" s="210" t="b">
        <f t="shared" si="0"/>
        <v>1</v>
      </c>
    </row>
    <row r="76" spans="1:8" ht="13.8" x14ac:dyDescent="0.25">
      <c r="A76" s="21" t="s">
        <v>792</v>
      </c>
      <c r="B76" s="152"/>
      <c r="C76" s="151" t="s">
        <v>3723</v>
      </c>
      <c r="D76" s="152">
        <v>8</v>
      </c>
      <c r="E76" s="152" t="s">
        <v>106</v>
      </c>
      <c r="F76" s="153">
        <v>500000</v>
      </c>
      <c r="G76" s="153">
        <f>ROUNDDOWN(D76*F76,-3)</f>
        <v>4000000</v>
      </c>
      <c r="H76" s="210" t="b">
        <f t="shared" si="0"/>
        <v>1</v>
      </c>
    </row>
    <row r="77" spans="1:8" ht="13.8" x14ac:dyDescent="0.25">
      <c r="A77" s="21" t="s">
        <v>475</v>
      </c>
      <c r="B77" s="60">
        <v>521811</v>
      </c>
      <c r="C77" s="41" t="s">
        <v>64</v>
      </c>
      <c r="D77" s="71"/>
      <c r="E77" s="60"/>
      <c r="F77" s="42"/>
      <c r="G77" s="42">
        <f>SUM(G78:G79)</f>
        <v>15000000</v>
      </c>
      <c r="H77" s="210" t="b">
        <f t="shared" ref="H77:H140" si="2">_xlfn.ISFORMULA(G77)</f>
        <v>1</v>
      </c>
    </row>
    <row r="78" spans="1:8" ht="13.8" x14ac:dyDescent="0.25">
      <c r="A78" s="21" t="s">
        <v>476</v>
      </c>
      <c r="B78" s="152"/>
      <c r="C78" s="151" t="s">
        <v>3625</v>
      </c>
      <c r="D78" s="213">
        <v>6</v>
      </c>
      <c r="E78" s="152" t="s">
        <v>106</v>
      </c>
      <c r="F78" s="153">
        <v>1000000</v>
      </c>
      <c r="G78" s="153">
        <f>ROUNDDOWN(D78*F78,-3)</f>
        <v>6000000</v>
      </c>
      <c r="H78" s="210" t="b">
        <f t="shared" si="2"/>
        <v>1</v>
      </c>
    </row>
    <row r="79" spans="1:8" ht="13.8" x14ac:dyDescent="0.25">
      <c r="A79" s="21" t="s">
        <v>477</v>
      </c>
      <c r="B79" s="152"/>
      <c r="C79" s="151" t="s">
        <v>3626</v>
      </c>
      <c r="D79" s="152">
        <v>6</v>
      </c>
      <c r="E79" s="152" t="s">
        <v>106</v>
      </c>
      <c r="F79" s="153">
        <v>1500000</v>
      </c>
      <c r="G79" s="153">
        <f>ROUNDDOWN(D79*F79,-3)</f>
        <v>9000000</v>
      </c>
      <c r="H79" s="210" t="b">
        <f t="shared" si="2"/>
        <v>1</v>
      </c>
    </row>
    <row r="80" spans="1:8" ht="13.8" x14ac:dyDescent="0.25">
      <c r="A80" s="21" t="s">
        <v>478</v>
      </c>
      <c r="B80" s="60">
        <v>522151</v>
      </c>
      <c r="C80" s="41" t="s">
        <v>11</v>
      </c>
      <c r="D80" s="71"/>
      <c r="E80" s="60"/>
      <c r="F80" s="42"/>
      <c r="G80" s="42">
        <f>G81</f>
        <v>16200000</v>
      </c>
      <c r="H80" s="210" t="b">
        <f t="shared" si="2"/>
        <v>1</v>
      </c>
    </row>
    <row r="81" spans="1:8" ht="13.8" x14ac:dyDescent="0.25">
      <c r="A81" s="21" t="s">
        <v>479</v>
      </c>
      <c r="B81" s="152"/>
      <c r="C81" s="151" t="s">
        <v>3715</v>
      </c>
      <c r="D81" s="152">
        <v>18</v>
      </c>
      <c r="E81" s="152" t="s">
        <v>54</v>
      </c>
      <c r="F81" s="153">
        <v>900000</v>
      </c>
      <c r="G81" s="153">
        <f>ROUNDDOWN(D81*F81,-3)</f>
        <v>16200000</v>
      </c>
      <c r="H81" s="210" t="b">
        <f t="shared" si="2"/>
        <v>1</v>
      </c>
    </row>
    <row r="82" spans="1:8" ht="13.8" x14ac:dyDescent="0.25">
      <c r="A82" s="21" t="s">
        <v>480</v>
      </c>
      <c r="B82" s="60">
        <v>522192</v>
      </c>
      <c r="C82" s="41" t="s">
        <v>24</v>
      </c>
      <c r="D82" s="60"/>
      <c r="E82" s="60"/>
      <c r="F82" s="42"/>
      <c r="G82" s="42">
        <f>G83</f>
        <v>2000000</v>
      </c>
      <c r="H82" s="210" t="b">
        <f t="shared" si="2"/>
        <v>1</v>
      </c>
    </row>
    <row r="83" spans="1:8" ht="13.8" x14ac:dyDescent="0.25">
      <c r="A83" s="21" t="s">
        <v>481</v>
      </c>
      <c r="B83" s="152"/>
      <c r="C83" s="151" t="s">
        <v>3724</v>
      </c>
      <c r="D83" s="213">
        <v>1</v>
      </c>
      <c r="E83" s="152" t="s">
        <v>60</v>
      </c>
      <c r="F83" s="153">
        <v>2000000</v>
      </c>
      <c r="G83" s="153">
        <f>ROUNDDOWN(D83*F83,-3)</f>
        <v>2000000</v>
      </c>
      <c r="H83" s="210" t="b">
        <f t="shared" si="2"/>
        <v>1</v>
      </c>
    </row>
    <row r="84" spans="1:8" ht="13.8" x14ac:dyDescent="0.25">
      <c r="A84" s="21" t="s">
        <v>482</v>
      </c>
      <c r="B84" s="60">
        <v>524111</v>
      </c>
      <c r="C84" s="41" t="s">
        <v>19</v>
      </c>
      <c r="D84" s="71"/>
      <c r="E84" s="60"/>
      <c r="F84" s="42"/>
      <c r="G84" s="42">
        <f>G85</f>
        <v>138160000</v>
      </c>
      <c r="H84" s="210" t="b">
        <f t="shared" si="2"/>
        <v>1</v>
      </c>
    </row>
    <row r="85" spans="1:8" ht="13.8" x14ac:dyDescent="0.25">
      <c r="A85" s="21" t="s">
        <v>483</v>
      </c>
      <c r="B85" s="152"/>
      <c r="C85" s="151" t="s">
        <v>3728</v>
      </c>
      <c r="D85" s="152">
        <v>22</v>
      </c>
      <c r="E85" s="152" t="s">
        <v>776</v>
      </c>
      <c r="F85" s="153">
        <v>6280000</v>
      </c>
      <c r="G85" s="153">
        <f>ROUNDDOWN(D85*F85,-3)</f>
        <v>138160000</v>
      </c>
      <c r="H85" s="210" t="b">
        <f t="shared" si="2"/>
        <v>1</v>
      </c>
    </row>
    <row r="86" spans="1:8" ht="13.8" x14ac:dyDescent="0.25">
      <c r="A86" s="21" t="s">
        <v>794</v>
      </c>
      <c r="B86" s="59" t="s">
        <v>512</v>
      </c>
      <c r="C86" s="38" t="s">
        <v>795</v>
      </c>
      <c r="D86" s="70"/>
      <c r="E86" s="59"/>
      <c r="F86" s="39"/>
      <c r="G86" s="39">
        <f>SUM(G87,G92,G94,G96)</f>
        <v>51560000</v>
      </c>
      <c r="H86" s="210" t="b">
        <f t="shared" si="2"/>
        <v>1</v>
      </c>
    </row>
    <row r="87" spans="1:8" ht="13.8" x14ac:dyDescent="0.25">
      <c r="A87" s="21" t="s">
        <v>796</v>
      </c>
      <c r="B87" s="60">
        <v>521211</v>
      </c>
      <c r="C87" s="41" t="s">
        <v>7</v>
      </c>
      <c r="D87" s="71"/>
      <c r="E87" s="60"/>
      <c r="F87" s="42"/>
      <c r="G87" s="42">
        <f>SUM(G88:G91)</f>
        <v>20830000</v>
      </c>
      <c r="H87" s="210" t="b">
        <f t="shared" si="2"/>
        <v>1</v>
      </c>
    </row>
    <row r="88" spans="1:8" ht="13.8" x14ac:dyDescent="0.25">
      <c r="A88" s="21" t="s">
        <v>797</v>
      </c>
      <c r="B88" s="152"/>
      <c r="C88" s="151" t="s">
        <v>3625</v>
      </c>
      <c r="D88" s="152">
        <v>4</v>
      </c>
      <c r="E88" s="152" t="s">
        <v>106</v>
      </c>
      <c r="F88" s="153">
        <v>1000000</v>
      </c>
      <c r="G88" s="153">
        <f>ROUNDDOWN(D88*F88,-3)</f>
        <v>4000000</v>
      </c>
      <c r="H88" s="210" t="b">
        <f t="shared" si="2"/>
        <v>1</v>
      </c>
    </row>
    <row r="89" spans="1:8" ht="13.8" x14ac:dyDescent="0.25">
      <c r="A89" s="21" t="s">
        <v>798</v>
      </c>
      <c r="B89" s="152"/>
      <c r="C89" s="151" t="s">
        <v>3626</v>
      </c>
      <c r="D89" s="213">
        <v>4</v>
      </c>
      <c r="E89" s="152" t="s">
        <v>106</v>
      </c>
      <c r="F89" s="153">
        <v>1500000</v>
      </c>
      <c r="G89" s="153">
        <f>ROUNDDOWN(D89*F89,-3)</f>
        <v>6000000</v>
      </c>
      <c r="H89" s="210" t="b">
        <f t="shared" si="2"/>
        <v>1</v>
      </c>
    </row>
    <row r="90" spans="1:8" ht="13.8" x14ac:dyDescent="0.25">
      <c r="A90" s="21" t="s">
        <v>799</v>
      </c>
      <c r="B90" s="152"/>
      <c r="C90" s="151" t="s">
        <v>3729</v>
      </c>
      <c r="D90" s="152">
        <v>70</v>
      </c>
      <c r="E90" s="152" t="s">
        <v>25</v>
      </c>
      <c r="F90" s="153">
        <v>69000</v>
      </c>
      <c r="G90" s="153">
        <f>ROUNDDOWN(D90*F90,-3)</f>
        <v>4830000</v>
      </c>
      <c r="H90" s="210" t="b">
        <f t="shared" si="2"/>
        <v>1</v>
      </c>
    </row>
    <row r="91" spans="1:8" ht="13.8" x14ac:dyDescent="0.25">
      <c r="A91" s="21" t="s">
        <v>800</v>
      </c>
      <c r="B91" s="152"/>
      <c r="C91" s="151" t="s">
        <v>3730</v>
      </c>
      <c r="D91" s="152">
        <v>4</v>
      </c>
      <c r="E91" s="152" t="s">
        <v>106</v>
      </c>
      <c r="F91" s="153">
        <v>1500000</v>
      </c>
      <c r="G91" s="153">
        <f>ROUNDDOWN(D91*F91,-3)</f>
        <v>6000000</v>
      </c>
      <c r="H91" s="210" t="b">
        <f t="shared" si="2"/>
        <v>1</v>
      </c>
    </row>
    <row r="92" spans="1:8" ht="13.8" x14ac:dyDescent="0.25">
      <c r="A92" s="21" t="s">
        <v>801</v>
      </c>
      <c r="B92" s="60">
        <v>521219</v>
      </c>
      <c r="C92" s="41" t="s">
        <v>53</v>
      </c>
      <c r="D92" s="71"/>
      <c r="E92" s="60"/>
      <c r="F92" s="42"/>
      <c r="G92" s="42">
        <f>G93</f>
        <v>500000</v>
      </c>
      <c r="H92" s="210" t="b">
        <f t="shared" si="2"/>
        <v>1</v>
      </c>
    </row>
    <row r="93" spans="1:8" ht="13.8" x14ac:dyDescent="0.25">
      <c r="A93" s="21" t="s">
        <v>802</v>
      </c>
      <c r="B93" s="152"/>
      <c r="C93" s="151" t="s">
        <v>3722</v>
      </c>
      <c r="D93" s="213">
        <v>2</v>
      </c>
      <c r="E93" s="152" t="s">
        <v>106</v>
      </c>
      <c r="F93" s="153">
        <v>250000</v>
      </c>
      <c r="G93" s="153">
        <f>ROUNDDOWN(D93*F93,-3)</f>
        <v>500000</v>
      </c>
      <c r="H93" s="210" t="b">
        <f t="shared" si="2"/>
        <v>1</v>
      </c>
    </row>
    <row r="94" spans="1:8" ht="13.8" x14ac:dyDescent="0.25">
      <c r="A94" s="21" t="s">
        <v>803</v>
      </c>
      <c r="B94" s="60">
        <v>522151</v>
      </c>
      <c r="C94" s="41" t="s">
        <v>11</v>
      </c>
      <c r="D94" s="60"/>
      <c r="E94" s="60"/>
      <c r="F94" s="42"/>
      <c r="G94" s="42">
        <f>G95</f>
        <v>7200000</v>
      </c>
      <c r="H94" s="210" t="b">
        <f t="shared" si="2"/>
        <v>1</v>
      </c>
    </row>
    <row r="95" spans="1:8" ht="13.8" x14ac:dyDescent="0.25">
      <c r="A95" s="21" t="s">
        <v>804</v>
      </c>
      <c r="B95" s="152"/>
      <c r="C95" s="151" t="s">
        <v>3715</v>
      </c>
      <c r="D95" s="213">
        <v>8</v>
      </c>
      <c r="E95" s="152" t="s">
        <v>54</v>
      </c>
      <c r="F95" s="153">
        <v>900000</v>
      </c>
      <c r="G95" s="153">
        <f>ROUNDDOWN(D95*F95,-3)</f>
        <v>7200000</v>
      </c>
      <c r="H95" s="210" t="b">
        <f t="shared" si="2"/>
        <v>1</v>
      </c>
    </row>
    <row r="96" spans="1:8" ht="13.8" x14ac:dyDescent="0.25">
      <c r="A96" s="21" t="s">
        <v>805</v>
      </c>
      <c r="B96" s="60">
        <v>524111</v>
      </c>
      <c r="C96" s="41" t="s">
        <v>19</v>
      </c>
      <c r="D96" s="71"/>
      <c r="E96" s="60"/>
      <c r="F96" s="42"/>
      <c r="G96" s="42">
        <f>G97</f>
        <v>23030000</v>
      </c>
      <c r="H96" s="210" t="b">
        <f t="shared" si="2"/>
        <v>1</v>
      </c>
    </row>
    <row r="97" spans="1:8" ht="26.4" x14ac:dyDescent="0.25">
      <c r="A97" s="21" t="s">
        <v>806</v>
      </c>
      <c r="B97" s="152"/>
      <c r="C97" s="151" t="s">
        <v>3731</v>
      </c>
      <c r="D97" s="152">
        <v>6</v>
      </c>
      <c r="E97" s="152" t="s">
        <v>776</v>
      </c>
      <c r="F97" s="153">
        <v>3838335</v>
      </c>
      <c r="G97" s="153">
        <f>ROUNDDOWN(D97*F97,-3)</f>
        <v>23030000</v>
      </c>
      <c r="H97" s="210" t="b">
        <f t="shared" si="2"/>
        <v>1</v>
      </c>
    </row>
    <row r="98" spans="1:8" ht="13.8" x14ac:dyDescent="0.25">
      <c r="A98" s="21" t="s">
        <v>484</v>
      </c>
      <c r="B98" s="58" t="s">
        <v>526</v>
      </c>
      <c r="C98" s="35" t="s">
        <v>67</v>
      </c>
      <c r="D98" s="69"/>
      <c r="E98" s="58"/>
      <c r="F98" s="36"/>
      <c r="G98" s="36">
        <f>G99</f>
        <v>135100000</v>
      </c>
      <c r="H98" s="210" t="b">
        <f t="shared" si="2"/>
        <v>1</v>
      </c>
    </row>
    <row r="99" spans="1:8" ht="13.8" x14ac:dyDescent="0.25">
      <c r="A99" s="21" t="s">
        <v>485</v>
      </c>
      <c r="B99" s="59" t="s">
        <v>8</v>
      </c>
      <c r="C99" s="38" t="s">
        <v>68</v>
      </c>
      <c r="D99" s="59"/>
      <c r="E99" s="59"/>
      <c r="F99" s="39"/>
      <c r="G99" s="39">
        <f>SUM(G100,G106,G108,G110,G112)</f>
        <v>135100000</v>
      </c>
      <c r="H99" s="210" t="b">
        <f t="shared" si="2"/>
        <v>1</v>
      </c>
    </row>
    <row r="100" spans="1:8" ht="13.8" x14ac:dyDescent="0.25">
      <c r="A100" s="21" t="s">
        <v>486</v>
      </c>
      <c r="B100" s="60">
        <v>521211</v>
      </c>
      <c r="C100" s="41" t="s">
        <v>7</v>
      </c>
      <c r="D100" s="71"/>
      <c r="E100" s="60"/>
      <c r="F100" s="42"/>
      <c r="G100" s="42">
        <f>SUM(G101:G105)</f>
        <v>21100000</v>
      </c>
      <c r="H100" s="210" t="b">
        <f t="shared" si="2"/>
        <v>1</v>
      </c>
    </row>
    <row r="101" spans="1:8" ht="13.8" x14ac:dyDescent="0.25">
      <c r="A101" s="21" t="s">
        <v>487</v>
      </c>
      <c r="B101" s="152"/>
      <c r="C101" s="151" t="s">
        <v>3598</v>
      </c>
      <c r="D101" s="152">
        <v>2</v>
      </c>
      <c r="E101" s="152" t="s">
        <v>106</v>
      </c>
      <c r="F101" s="153">
        <v>1500000</v>
      </c>
      <c r="G101" s="153">
        <f>ROUNDDOWN(D101*F101,-3)</f>
        <v>3000000</v>
      </c>
      <c r="H101" s="210" t="b">
        <f t="shared" si="2"/>
        <v>1</v>
      </c>
    </row>
    <row r="102" spans="1:8" ht="13.8" x14ac:dyDescent="0.25">
      <c r="A102" s="21" t="s">
        <v>488</v>
      </c>
      <c r="B102" s="152"/>
      <c r="C102" s="151" t="s">
        <v>3732</v>
      </c>
      <c r="D102" s="152">
        <v>90</v>
      </c>
      <c r="E102" s="152" t="s">
        <v>25</v>
      </c>
      <c r="F102" s="153">
        <v>65556</v>
      </c>
      <c r="G102" s="153">
        <f>ROUNDDOWN(D102*F102,-3)</f>
        <v>5900000</v>
      </c>
      <c r="H102" s="210" t="b">
        <f t="shared" si="2"/>
        <v>1</v>
      </c>
    </row>
    <row r="103" spans="1:8" ht="13.8" x14ac:dyDescent="0.25">
      <c r="A103" s="21" t="s">
        <v>489</v>
      </c>
      <c r="B103" s="152"/>
      <c r="C103" s="151" t="s">
        <v>3600</v>
      </c>
      <c r="D103" s="152">
        <v>2</v>
      </c>
      <c r="E103" s="152" t="s">
        <v>106</v>
      </c>
      <c r="F103" s="153">
        <v>1000000</v>
      </c>
      <c r="G103" s="153">
        <f>ROUNDDOWN(D103*F103,-3)</f>
        <v>2000000</v>
      </c>
      <c r="H103" s="210" t="b">
        <f t="shared" si="2"/>
        <v>1</v>
      </c>
    </row>
    <row r="104" spans="1:8" ht="13.8" x14ac:dyDescent="0.25">
      <c r="A104" s="21" t="s">
        <v>809</v>
      </c>
      <c r="B104" s="152"/>
      <c r="C104" s="151" t="s">
        <v>3601</v>
      </c>
      <c r="D104" s="213">
        <v>2</v>
      </c>
      <c r="E104" s="152" t="s">
        <v>106</v>
      </c>
      <c r="F104" s="153">
        <v>1500000</v>
      </c>
      <c r="G104" s="153">
        <f>ROUNDDOWN(D104*F104,-3)</f>
        <v>3000000</v>
      </c>
      <c r="H104" s="210" t="b">
        <f t="shared" si="2"/>
        <v>1</v>
      </c>
    </row>
    <row r="105" spans="1:8" ht="13.8" x14ac:dyDescent="0.25">
      <c r="A105" s="21" t="s">
        <v>810</v>
      </c>
      <c r="B105" s="152"/>
      <c r="C105" s="151" t="s">
        <v>3733</v>
      </c>
      <c r="D105" s="213">
        <v>36</v>
      </c>
      <c r="E105" s="152" t="s">
        <v>25</v>
      </c>
      <c r="F105" s="153">
        <v>200000</v>
      </c>
      <c r="G105" s="153">
        <f>ROUNDDOWN(D105*F105,-3)</f>
        <v>7200000</v>
      </c>
      <c r="H105" s="210" t="b">
        <f t="shared" si="2"/>
        <v>1</v>
      </c>
    </row>
    <row r="106" spans="1:8" ht="13.8" x14ac:dyDescent="0.25">
      <c r="A106" s="21" t="s">
        <v>490</v>
      </c>
      <c r="B106" s="60">
        <v>521219</v>
      </c>
      <c r="C106" s="41" t="s">
        <v>53</v>
      </c>
      <c r="D106" s="71"/>
      <c r="E106" s="60"/>
      <c r="F106" s="42"/>
      <c r="G106" s="42">
        <f>G107</f>
        <v>1584000</v>
      </c>
      <c r="H106" s="210" t="b">
        <f t="shared" si="2"/>
        <v>1</v>
      </c>
    </row>
    <row r="107" spans="1:8" ht="26.4" x14ac:dyDescent="0.25">
      <c r="A107" s="21" t="s">
        <v>491</v>
      </c>
      <c r="B107" s="152"/>
      <c r="C107" s="151" t="s">
        <v>3734</v>
      </c>
      <c r="D107" s="213">
        <v>36</v>
      </c>
      <c r="E107" s="152" t="s">
        <v>25</v>
      </c>
      <c r="F107" s="153">
        <v>44000</v>
      </c>
      <c r="G107" s="153">
        <f>ROUNDDOWN(D107*F107,-3)</f>
        <v>1584000</v>
      </c>
      <c r="H107" s="210" t="b">
        <f t="shared" si="2"/>
        <v>1</v>
      </c>
    </row>
    <row r="108" spans="1:8" ht="13.8" x14ac:dyDescent="0.25">
      <c r="A108" s="21" t="s">
        <v>492</v>
      </c>
      <c r="B108" s="60">
        <v>522151</v>
      </c>
      <c r="C108" s="41" t="s">
        <v>11</v>
      </c>
      <c r="D108" s="60"/>
      <c r="E108" s="60"/>
      <c r="F108" s="42"/>
      <c r="G108" s="42">
        <f>G109</f>
        <v>10000000</v>
      </c>
      <c r="H108" s="210" t="b">
        <f t="shared" si="2"/>
        <v>1</v>
      </c>
    </row>
    <row r="109" spans="1:8" ht="13.8" x14ac:dyDescent="0.25">
      <c r="A109" s="21" t="s">
        <v>493</v>
      </c>
      <c r="B109" s="152"/>
      <c r="C109" s="151" t="s">
        <v>3715</v>
      </c>
      <c r="D109" s="213">
        <v>10</v>
      </c>
      <c r="E109" s="152" t="s">
        <v>54</v>
      </c>
      <c r="F109" s="153">
        <v>1000000</v>
      </c>
      <c r="G109" s="153">
        <f>ROUNDDOWN(D109*F109,-3)</f>
        <v>10000000</v>
      </c>
      <c r="H109" s="210" t="b">
        <f t="shared" si="2"/>
        <v>1</v>
      </c>
    </row>
    <row r="110" spans="1:8" ht="13.8" x14ac:dyDescent="0.25">
      <c r="A110" s="21" t="s">
        <v>813</v>
      </c>
      <c r="B110" s="60">
        <v>522192</v>
      </c>
      <c r="C110" s="41" t="s">
        <v>24</v>
      </c>
      <c r="D110" s="60"/>
      <c r="E110" s="60"/>
      <c r="F110" s="42"/>
      <c r="G110" s="42">
        <f>G111</f>
        <v>5000000</v>
      </c>
      <c r="H110" s="210" t="b">
        <f t="shared" si="2"/>
        <v>1</v>
      </c>
    </row>
    <row r="111" spans="1:8" ht="13.8" x14ac:dyDescent="0.25">
      <c r="A111" s="21" t="s">
        <v>814</v>
      </c>
      <c r="B111" s="152"/>
      <c r="C111" s="151" t="s">
        <v>3735</v>
      </c>
      <c r="D111" s="213">
        <v>1</v>
      </c>
      <c r="E111" s="152" t="s">
        <v>153</v>
      </c>
      <c r="F111" s="153">
        <v>5000000</v>
      </c>
      <c r="G111" s="153">
        <f>ROUNDDOWN(D111*F111,-3)</f>
        <v>5000000</v>
      </c>
      <c r="H111" s="210" t="b">
        <f t="shared" si="2"/>
        <v>1</v>
      </c>
    </row>
    <row r="112" spans="1:8" ht="13.8" x14ac:dyDescent="0.25">
      <c r="A112" s="21" t="s">
        <v>816</v>
      </c>
      <c r="B112" s="60">
        <v>524111</v>
      </c>
      <c r="C112" s="41" t="s">
        <v>19</v>
      </c>
      <c r="D112" s="60"/>
      <c r="E112" s="60"/>
      <c r="F112" s="42"/>
      <c r="G112" s="42">
        <f>G113</f>
        <v>97416000</v>
      </c>
      <c r="H112" s="210" t="b">
        <f t="shared" si="2"/>
        <v>1</v>
      </c>
    </row>
    <row r="113" spans="1:8" ht="13.8" x14ac:dyDescent="0.25">
      <c r="A113" s="21" t="s">
        <v>817</v>
      </c>
      <c r="B113" s="152"/>
      <c r="C113" s="151" t="s">
        <v>3736</v>
      </c>
      <c r="D113" s="152">
        <v>36</v>
      </c>
      <c r="E113" s="152" t="s">
        <v>776</v>
      </c>
      <c r="F113" s="153">
        <v>2706000</v>
      </c>
      <c r="G113" s="153">
        <f>ROUNDDOWN(D113*F113,-3)</f>
        <v>97416000</v>
      </c>
      <c r="H113" s="210" t="b">
        <f t="shared" si="2"/>
        <v>1</v>
      </c>
    </row>
    <row r="114" spans="1:8" ht="13.8" x14ac:dyDescent="0.25">
      <c r="A114" s="21" t="s">
        <v>69</v>
      </c>
      <c r="B114" s="54" t="s">
        <v>69</v>
      </c>
      <c r="C114" s="23" t="s">
        <v>70</v>
      </c>
      <c r="D114" s="54"/>
      <c r="E114" s="54"/>
      <c r="F114" s="24"/>
      <c r="G114" s="24">
        <f>SUM(G115,G529)</f>
        <v>22342160000</v>
      </c>
      <c r="H114" s="210" t="b">
        <f t="shared" si="2"/>
        <v>1</v>
      </c>
    </row>
    <row r="115" spans="1:8" ht="26.4" x14ac:dyDescent="0.25">
      <c r="A115" s="21" t="s">
        <v>494</v>
      </c>
      <c r="B115" s="55">
        <v>2378</v>
      </c>
      <c r="C115" s="26" t="s">
        <v>71</v>
      </c>
      <c r="D115" s="68"/>
      <c r="E115" s="55"/>
      <c r="F115" s="27"/>
      <c r="G115" s="27">
        <f>SUM(G116,G122,G380,G386)</f>
        <v>13759660000</v>
      </c>
      <c r="H115" s="210" t="b">
        <f t="shared" si="2"/>
        <v>1</v>
      </c>
    </row>
    <row r="116" spans="1:8" ht="13.8" x14ac:dyDescent="0.25">
      <c r="A116" s="21" t="s">
        <v>819</v>
      </c>
      <c r="B116" s="135" t="s">
        <v>820</v>
      </c>
      <c r="C116" s="133" t="s">
        <v>821</v>
      </c>
      <c r="D116" s="134">
        <v>1</v>
      </c>
      <c r="E116" s="135" t="s">
        <v>42</v>
      </c>
      <c r="F116" s="136"/>
      <c r="G116" s="136">
        <f>G117</f>
        <v>115000000</v>
      </c>
      <c r="H116" s="210" t="b">
        <f t="shared" si="2"/>
        <v>1</v>
      </c>
    </row>
    <row r="117" spans="1:8" ht="26.4" x14ac:dyDescent="0.25">
      <c r="A117" s="21" t="s">
        <v>822</v>
      </c>
      <c r="B117" s="138" t="s">
        <v>3737</v>
      </c>
      <c r="C117" s="137" t="s">
        <v>824</v>
      </c>
      <c r="D117" s="140">
        <v>1</v>
      </c>
      <c r="E117" s="138" t="s">
        <v>42</v>
      </c>
      <c r="F117" s="139"/>
      <c r="G117" s="139">
        <f>G118</f>
        <v>115000000</v>
      </c>
      <c r="H117" s="210" t="b">
        <f t="shared" si="2"/>
        <v>1</v>
      </c>
    </row>
    <row r="118" spans="1:8" ht="26.4" x14ac:dyDescent="0.25">
      <c r="A118" s="21" t="s">
        <v>832</v>
      </c>
      <c r="B118" s="58">
        <v>301</v>
      </c>
      <c r="C118" s="35" t="s">
        <v>834</v>
      </c>
      <c r="D118" s="58"/>
      <c r="E118" s="58"/>
      <c r="F118" s="36"/>
      <c r="G118" s="36">
        <f>G119</f>
        <v>115000000</v>
      </c>
      <c r="H118" s="210" t="b">
        <f t="shared" si="2"/>
        <v>1</v>
      </c>
    </row>
    <row r="119" spans="1:8" ht="13.8" x14ac:dyDescent="0.25">
      <c r="A119" s="21" t="s">
        <v>835</v>
      </c>
      <c r="B119" s="59" t="s">
        <v>8</v>
      </c>
      <c r="C119" s="38" t="s">
        <v>836</v>
      </c>
      <c r="D119" s="70"/>
      <c r="E119" s="59"/>
      <c r="F119" s="39"/>
      <c r="G119" s="39">
        <f>G120</f>
        <v>115000000</v>
      </c>
      <c r="H119" s="210" t="b">
        <f t="shared" si="2"/>
        <v>1</v>
      </c>
    </row>
    <row r="120" spans="1:8" ht="13.8" x14ac:dyDescent="0.25">
      <c r="A120" s="21" t="s">
        <v>837</v>
      </c>
      <c r="B120" s="60">
        <v>532111</v>
      </c>
      <c r="C120" s="41" t="s">
        <v>43</v>
      </c>
      <c r="D120" s="60"/>
      <c r="E120" s="60"/>
      <c r="F120" s="42"/>
      <c r="G120" s="42">
        <f>G121</f>
        <v>115000000</v>
      </c>
      <c r="H120" s="210" t="b">
        <f t="shared" si="2"/>
        <v>1</v>
      </c>
    </row>
    <row r="121" spans="1:8" ht="13.8" x14ac:dyDescent="0.25">
      <c r="A121" s="21" t="s">
        <v>838</v>
      </c>
      <c r="B121" s="152"/>
      <c r="C121" s="151" t="s">
        <v>3739</v>
      </c>
      <c r="D121" s="213">
        <v>1</v>
      </c>
      <c r="E121" s="152" t="s">
        <v>23</v>
      </c>
      <c r="F121" s="153">
        <v>115000000</v>
      </c>
      <c r="G121" s="153">
        <f>ROUNDDOWN(D121*F121,-3)</f>
        <v>115000000</v>
      </c>
      <c r="H121" s="210" t="b">
        <f t="shared" si="2"/>
        <v>1</v>
      </c>
    </row>
    <row r="122" spans="1:8" ht="13.8" x14ac:dyDescent="0.25">
      <c r="A122" s="21" t="s">
        <v>840</v>
      </c>
      <c r="B122" s="135" t="s">
        <v>841</v>
      </c>
      <c r="C122" s="133" t="s">
        <v>842</v>
      </c>
      <c r="D122" s="135">
        <v>9</v>
      </c>
      <c r="E122" s="135" t="s">
        <v>3740</v>
      </c>
      <c r="F122" s="136"/>
      <c r="G122" s="136">
        <f>SUM(G123,G138,G263)</f>
        <v>11564936000</v>
      </c>
      <c r="H122" s="210" t="b">
        <f t="shared" si="2"/>
        <v>1</v>
      </c>
    </row>
    <row r="123" spans="1:8" ht="13.8" x14ac:dyDescent="0.25">
      <c r="A123" s="21" t="s">
        <v>1035</v>
      </c>
      <c r="B123" s="138" t="s">
        <v>3792</v>
      </c>
      <c r="C123" s="137" t="s">
        <v>1037</v>
      </c>
      <c r="D123" s="138">
        <v>2</v>
      </c>
      <c r="E123" s="138" t="s">
        <v>3740</v>
      </c>
      <c r="F123" s="139"/>
      <c r="G123" s="139">
        <f>G124</f>
        <v>153780000</v>
      </c>
      <c r="H123" s="210" t="b">
        <f t="shared" si="2"/>
        <v>1</v>
      </c>
    </row>
    <row r="124" spans="1:8" ht="13.8" x14ac:dyDescent="0.25">
      <c r="A124" s="7" t="s">
        <v>1184</v>
      </c>
      <c r="B124" s="58">
        <v>311</v>
      </c>
      <c r="C124" s="35" t="s">
        <v>1186</v>
      </c>
      <c r="D124" s="58"/>
      <c r="E124" s="58"/>
      <c r="F124" s="36"/>
      <c r="G124" s="36">
        <f>G125</f>
        <v>153780000</v>
      </c>
      <c r="H124" s="210" t="b">
        <f t="shared" si="2"/>
        <v>1</v>
      </c>
    </row>
    <row r="125" spans="1:8" ht="13.8" x14ac:dyDescent="0.25">
      <c r="A125" s="7" t="s">
        <v>1187</v>
      </c>
      <c r="B125" s="59" t="s">
        <v>8</v>
      </c>
      <c r="C125" s="38" t="s">
        <v>75</v>
      </c>
      <c r="D125" s="59"/>
      <c r="E125" s="59"/>
      <c r="F125" s="39"/>
      <c r="G125" s="39">
        <f>SUM(G126,G129,G131,G134,G136)</f>
        <v>153780000</v>
      </c>
      <c r="H125" s="210" t="b">
        <f t="shared" si="2"/>
        <v>1</v>
      </c>
    </row>
    <row r="126" spans="1:8" ht="13.8" x14ac:dyDescent="0.25">
      <c r="A126" s="7" t="s">
        <v>1188</v>
      </c>
      <c r="B126" s="60">
        <v>521211</v>
      </c>
      <c r="C126" s="41" t="s">
        <v>7</v>
      </c>
      <c r="D126" s="60"/>
      <c r="E126" s="60"/>
      <c r="F126" s="42"/>
      <c r="G126" s="42">
        <f>SUM(G127:G128)</f>
        <v>14400000</v>
      </c>
      <c r="H126" s="210" t="b">
        <f t="shared" si="2"/>
        <v>1</v>
      </c>
    </row>
    <row r="127" spans="1:8" ht="13.8" x14ac:dyDescent="0.25">
      <c r="A127" s="7" t="s">
        <v>1189</v>
      </c>
      <c r="B127" s="152"/>
      <c r="C127" s="151" t="s">
        <v>3598</v>
      </c>
      <c r="D127" s="152">
        <v>6</v>
      </c>
      <c r="E127" s="152" t="s">
        <v>52</v>
      </c>
      <c r="F127" s="153">
        <v>1000000</v>
      </c>
      <c r="G127" s="153">
        <f>ROUNDDOWN(D127*F127,-3)</f>
        <v>6000000</v>
      </c>
      <c r="H127" s="210" t="b">
        <f t="shared" si="2"/>
        <v>1</v>
      </c>
    </row>
    <row r="128" spans="1:8" ht="13.8" x14ac:dyDescent="0.25">
      <c r="A128" s="7" t="s">
        <v>1190</v>
      </c>
      <c r="B128" s="152"/>
      <c r="C128" s="151" t="s">
        <v>3720</v>
      </c>
      <c r="D128" s="152">
        <v>120</v>
      </c>
      <c r="E128" s="152" t="s">
        <v>25</v>
      </c>
      <c r="F128" s="153">
        <v>70000</v>
      </c>
      <c r="G128" s="153">
        <f>ROUNDDOWN(D128*F128,-3)</f>
        <v>8400000</v>
      </c>
      <c r="H128" s="210" t="b">
        <f t="shared" si="2"/>
        <v>1</v>
      </c>
    </row>
    <row r="129" spans="1:8" ht="13.8" x14ac:dyDescent="0.25">
      <c r="A129" s="7" t="s">
        <v>1191</v>
      </c>
      <c r="B129" s="60">
        <v>521219</v>
      </c>
      <c r="C129" s="41" t="s">
        <v>53</v>
      </c>
      <c r="D129" s="60"/>
      <c r="E129" s="60"/>
      <c r="F129" s="42"/>
      <c r="G129" s="42">
        <f>G130</f>
        <v>8000000</v>
      </c>
      <c r="H129" s="210" t="b">
        <f t="shared" si="2"/>
        <v>1</v>
      </c>
    </row>
    <row r="130" spans="1:8" ht="13.8" x14ac:dyDescent="0.25">
      <c r="A130" s="7" t="s">
        <v>1192</v>
      </c>
      <c r="B130" s="152"/>
      <c r="C130" s="151" t="s">
        <v>3840</v>
      </c>
      <c r="D130" s="152">
        <v>1</v>
      </c>
      <c r="E130" s="152" t="s">
        <v>106</v>
      </c>
      <c r="F130" s="153">
        <v>8000000</v>
      </c>
      <c r="G130" s="153">
        <f>ROUNDDOWN(D130*F130,-3)</f>
        <v>8000000</v>
      </c>
      <c r="H130" s="210" t="b">
        <f t="shared" si="2"/>
        <v>1</v>
      </c>
    </row>
    <row r="131" spans="1:8" ht="13.8" x14ac:dyDescent="0.25">
      <c r="A131" s="7" t="s">
        <v>1194</v>
      </c>
      <c r="B131" s="60">
        <v>521811</v>
      </c>
      <c r="C131" s="41" t="s">
        <v>64</v>
      </c>
      <c r="D131" s="60"/>
      <c r="E131" s="60"/>
      <c r="F131" s="42"/>
      <c r="G131" s="42">
        <f>SUM(G132:G133)</f>
        <v>12000000</v>
      </c>
      <c r="H131" s="210" t="b">
        <f t="shared" si="2"/>
        <v>1</v>
      </c>
    </row>
    <row r="132" spans="1:8" ht="13.8" x14ac:dyDescent="0.25">
      <c r="A132" s="7" t="s">
        <v>1195</v>
      </c>
      <c r="B132" s="152"/>
      <c r="C132" s="151" t="s">
        <v>3625</v>
      </c>
      <c r="D132" s="152">
        <v>6</v>
      </c>
      <c r="E132" s="152" t="s">
        <v>52</v>
      </c>
      <c r="F132" s="153">
        <v>1000000</v>
      </c>
      <c r="G132" s="153">
        <f>ROUNDDOWN(D132*F132,-3)</f>
        <v>6000000</v>
      </c>
      <c r="H132" s="210" t="b">
        <f t="shared" si="2"/>
        <v>1</v>
      </c>
    </row>
    <row r="133" spans="1:8" ht="13.8" x14ac:dyDescent="0.25">
      <c r="A133" s="7" t="s">
        <v>1196</v>
      </c>
      <c r="B133" s="152"/>
      <c r="C133" s="151" t="s">
        <v>3841</v>
      </c>
      <c r="D133" s="152">
        <v>6</v>
      </c>
      <c r="E133" s="152" t="s">
        <v>52</v>
      </c>
      <c r="F133" s="153">
        <v>1000000</v>
      </c>
      <c r="G133" s="153">
        <f>ROUNDDOWN(D133*F133,-3)</f>
        <v>6000000</v>
      </c>
      <c r="H133" s="210" t="b">
        <f t="shared" si="2"/>
        <v>1</v>
      </c>
    </row>
    <row r="134" spans="1:8" ht="13.8" x14ac:dyDescent="0.25">
      <c r="A134" s="7" t="s">
        <v>1198</v>
      </c>
      <c r="B134" s="60">
        <v>522151</v>
      </c>
      <c r="C134" s="41" t="s">
        <v>11</v>
      </c>
      <c r="D134" s="60"/>
      <c r="E134" s="60"/>
      <c r="F134" s="42"/>
      <c r="G134" s="42">
        <f>G135</f>
        <v>4000000</v>
      </c>
      <c r="H134" s="210" t="b">
        <f t="shared" si="2"/>
        <v>1</v>
      </c>
    </row>
    <row r="135" spans="1:8" ht="13.8" x14ac:dyDescent="0.25">
      <c r="A135" s="7" t="s">
        <v>1199</v>
      </c>
      <c r="B135" s="152"/>
      <c r="C135" s="151" t="s">
        <v>3715</v>
      </c>
      <c r="D135" s="152">
        <v>4</v>
      </c>
      <c r="E135" s="152" t="s">
        <v>54</v>
      </c>
      <c r="F135" s="153">
        <v>1000000</v>
      </c>
      <c r="G135" s="153">
        <f>ROUNDDOWN(D135*F135,-3)</f>
        <v>4000000</v>
      </c>
      <c r="H135" s="210" t="b">
        <f t="shared" si="2"/>
        <v>1</v>
      </c>
    </row>
    <row r="136" spans="1:8" ht="13.8" x14ac:dyDescent="0.25">
      <c r="A136" s="7" t="s">
        <v>1200</v>
      </c>
      <c r="B136" s="60">
        <v>524111</v>
      </c>
      <c r="C136" s="41" t="s">
        <v>19</v>
      </c>
      <c r="D136" s="60"/>
      <c r="E136" s="60"/>
      <c r="F136" s="42"/>
      <c r="G136" s="42">
        <f>G137</f>
        <v>115380000</v>
      </c>
      <c r="H136" s="210" t="b">
        <f t="shared" si="2"/>
        <v>1</v>
      </c>
    </row>
    <row r="137" spans="1:8" ht="13.8" x14ac:dyDescent="0.25">
      <c r="A137" s="7" t="s">
        <v>1201</v>
      </c>
      <c r="B137" s="152"/>
      <c r="C137" s="151" t="s">
        <v>3842</v>
      </c>
      <c r="D137" s="152">
        <v>20</v>
      </c>
      <c r="E137" s="152" t="s">
        <v>25</v>
      </c>
      <c r="F137" s="153">
        <v>5769000</v>
      </c>
      <c r="G137" s="153">
        <f>ROUNDDOWN(D137*F137,-3)</f>
        <v>115380000</v>
      </c>
      <c r="H137" s="210" t="b">
        <f t="shared" si="2"/>
        <v>1</v>
      </c>
    </row>
    <row r="138" spans="1:8" ht="13.8" x14ac:dyDescent="0.25">
      <c r="A138" s="7" t="s">
        <v>1268</v>
      </c>
      <c r="B138" s="138" t="s">
        <v>3855</v>
      </c>
      <c r="C138" s="137" t="s">
        <v>1270</v>
      </c>
      <c r="D138" s="138">
        <v>1</v>
      </c>
      <c r="E138" s="138" t="s">
        <v>3740</v>
      </c>
      <c r="F138" s="139"/>
      <c r="G138" s="139">
        <f>G139</f>
        <v>2736502000</v>
      </c>
      <c r="H138" s="210" t="b">
        <f t="shared" si="2"/>
        <v>1</v>
      </c>
    </row>
    <row r="139" spans="1:8" ht="26.4" x14ac:dyDescent="0.25">
      <c r="A139" s="7" t="s">
        <v>1388</v>
      </c>
      <c r="B139" s="58">
        <v>301</v>
      </c>
      <c r="C139" s="35" t="s">
        <v>1389</v>
      </c>
      <c r="D139" s="58"/>
      <c r="E139" s="58"/>
      <c r="F139" s="36"/>
      <c r="G139" s="36">
        <f>SUM(G140,G150,G161,G174,G184,G200,G216,G228,G248)</f>
        <v>2736502000</v>
      </c>
      <c r="H139" s="210" t="b">
        <f t="shared" si="2"/>
        <v>1</v>
      </c>
    </row>
    <row r="140" spans="1:8" ht="13.8" x14ac:dyDescent="0.25">
      <c r="A140" s="7" t="s">
        <v>1390</v>
      </c>
      <c r="B140" s="59" t="s">
        <v>8</v>
      </c>
      <c r="C140" s="38" t="s">
        <v>148</v>
      </c>
      <c r="D140" s="59"/>
      <c r="E140" s="59"/>
      <c r="F140" s="39"/>
      <c r="G140" s="39">
        <f>SUM(G141,G146,G148)</f>
        <v>42100000</v>
      </c>
      <c r="H140" s="210" t="b">
        <f t="shared" si="2"/>
        <v>1</v>
      </c>
    </row>
    <row r="141" spans="1:8" ht="13.8" x14ac:dyDescent="0.25">
      <c r="A141" s="7" t="s">
        <v>1391</v>
      </c>
      <c r="B141" s="60">
        <v>521211</v>
      </c>
      <c r="C141" s="41" t="s">
        <v>7</v>
      </c>
      <c r="D141" s="60"/>
      <c r="E141" s="60"/>
      <c r="F141" s="42"/>
      <c r="G141" s="42">
        <f>SUM(G142:G145)</f>
        <v>22000000</v>
      </c>
      <c r="H141" s="210" t="b">
        <f t="shared" ref="H141:H204" si="3">_xlfn.ISFORMULA(G141)</f>
        <v>1</v>
      </c>
    </row>
    <row r="142" spans="1:8" ht="13.8" x14ac:dyDescent="0.25">
      <c r="A142" s="7" t="s">
        <v>1392</v>
      </c>
      <c r="B142" s="152"/>
      <c r="C142" s="151" t="s">
        <v>3625</v>
      </c>
      <c r="D142" s="152">
        <v>4</v>
      </c>
      <c r="E142" s="152" t="s">
        <v>9</v>
      </c>
      <c r="F142" s="153">
        <v>1500000</v>
      </c>
      <c r="G142" s="153">
        <f>ROUNDDOWN(D142*F142,-3)</f>
        <v>6000000</v>
      </c>
      <c r="H142" s="210" t="b">
        <f t="shared" si="3"/>
        <v>1</v>
      </c>
    </row>
    <row r="143" spans="1:8" ht="13.8" x14ac:dyDescent="0.25">
      <c r="A143" s="7" t="s">
        <v>1393</v>
      </c>
      <c r="B143" s="152"/>
      <c r="C143" s="151" t="s">
        <v>3626</v>
      </c>
      <c r="D143" s="152">
        <v>4</v>
      </c>
      <c r="E143" s="152" t="s">
        <v>9</v>
      </c>
      <c r="F143" s="153">
        <v>1000000</v>
      </c>
      <c r="G143" s="153">
        <f>ROUNDDOWN(D143*F143,-3)</f>
        <v>4000000</v>
      </c>
      <c r="H143" s="210" t="b">
        <f t="shared" si="3"/>
        <v>1</v>
      </c>
    </row>
    <row r="144" spans="1:8" ht="13.8" x14ac:dyDescent="0.25">
      <c r="A144" s="7" t="s">
        <v>1394</v>
      </c>
      <c r="B144" s="152"/>
      <c r="C144" s="151" t="s">
        <v>3627</v>
      </c>
      <c r="D144" s="152">
        <v>4</v>
      </c>
      <c r="E144" s="152" t="s">
        <v>9</v>
      </c>
      <c r="F144" s="153">
        <v>1500000</v>
      </c>
      <c r="G144" s="153">
        <f>ROUNDDOWN(D144*F144,-3)</f>
        <v>6000000</v>
      </c>
      <c r="H144" s="210" t="b">
        <f t="shared" si="3"/>
        <v>1</v>
      </c>
    </row>
    <row r="145" spans="1:8" ht="13.8" x14ac:dyDescent="0.25">
      <c r="A145" s="7" t="s">
        <v>1395</v>
      </c>
      <c r="B145" s="152"/>
      <c r="C145" s="151" t="s">
        <v>3887</v>
      </c>
      <c r="D145" s="152">
        <v>12</v>
      </c>
      <c r="E145" s="152" t="s">
        <v>176</v>
      </c>
      <c r="F145" s="153">
        <v>500000</v>
      </c>
      <c r="G145" s="153">
        <f>ROUNDDOWN(D145*F145,-3)</f>
        <v>6000000</v>
      </c>
      <c r="H145" s="210" t="b">
        <f t="shared" si="3"/>
        <v>1</v>
      </c>
    </row>
    <row r="146" spans="1:8" ht="13.8" x14ac:dyDescent="0.25">
      <c r="A146" s="7" t="s">
        <v>1397</v>
      </c>
      <c r="B146" s="60">
        <v>524111</v>
      </c>
      <c r="C146" s="41" t="s">
        <v>19</v>
      </c>
      <c r="D146" s="60"/>
      <c r="E146" s="60"/>
      <c r="F146" s="42"/>
      <c r="G146" s="42">
        <f>G147</f>
        <v>18000000</v>
      </c>
      <c r="H146" s="210" t="b">
        <f t="shared" si="3"/>
        <v>1</v>
      </c>
    </row>
    <row r="147" spans="1:8" ht="13.8" x14ac:dyDescent="0.25">
      <c r="A147" s="7" t="s">
        <v>1398</v>
      </c>
      <c r="B147" s="152"/>
      <c r="C147" s="151" t="s">
        <v>3888</v>
      </c>
      <c r="D147" s="152">
        <v>6</v>
      </c>
      <c r="E147" s="152" t="s">
        <v>10</v>
      </c>
      <c r="F147" s="153">
        <v>3000000</v>
      </c>
      <c r="G147" s="153">
        <f>ROUNDDOWN(D147*F147,-3)</f>
        <v>18000000</v>
      </c>
      <c r="H147" s="210" t="b">
        <f t="shared" si="3"/>
        <v>1</v>
      </c>
    </row>
    <row r="148" spans="1:8" ht="13.8" x14ac:dyDescent="0.25">
      <c r="A148" s="7" t="s">
        <v>1400</v>
      </c>
      <c r="B148" s="60">
        <v>524113</v>
      </c>
      <c r="C148" s="41" t="s">
        <v>13</v>
      </c>
      <c r="D148" s="60"/>
      <c r="E148" s="60"/>
      <c r="F148" s="42"/>
      <c r="G148" s="42">
        <f>G149</f>
        <v>2100000</v>
      </c>
      <c r="H148" s="210" t="b">
        <f t="shared" si="3"/>
        <v>1</v>
      </c>
    </row>
    <row r="149" spans="1:8" ht="13.8" x14ac:dyDescent="0.25">
      <c r="A149" s="7" t="s">
        <v>1401</v>
      </c>
      <c r="B149" s="152"/>
      <c r="C149" s="151" t="s">
        <v>3889</v>
      </c>
      <c r="D149" s="152">
        <v>14</v>
      </c>
      <c r="E149" s="152" t="s">
        <v>10</v>
      </c>
      <c r="F149" s="153">
        <v>150000</v>
      </c>
      <c r="G149" s="153">
        <f>ROUNDDOWN(D149*F149,-3)</f>
        <v>2100000</v>
      </c>
      <c r="H149" s="210" t="b">
        <f t="shared" si="3"/>
        <v>1</v>
      </c>
    </row>
    <row r="150" spans="1:8" ht="13.8" x14ac:dyDescent="0.25">
      <c r="A150" s="7" t="s">
        <v>1403</v>
      </c>
      <c r="B150" s="59" t="s">
        <v>511</v>
      </c>
      <c r="C150" s="38" t="s">
        <v>150</v>
      </c>
      <c r="D150" s="59"/>
      <c r="E150" s="59"/>
      <c r="F150" s="39"/>
      <c r="G150" s="39">
        <f>SUM(G151,G154,G156,G158)</f>
        <v>571380000</v>
      </c>
      <c r="H150" s="210" t="b">
        <f t="shared" si="3"/>
        <v>1</v>
      </c>
    </row>
    <row r="151" spans="1:8" ht="13.8" x14ac:dyDescent="0.25">
      <c r="A151" s="7" t="s">
        <v>1404</v>
      </c>
      <c r="B151" s="60">
        <v>521211</v>
      </c>
      <c r="C151" s="41" t="s">
        <v>7</v>
      </c>
      <c r="D151" s="60"/>
      <c r="E151" s="60"/>
      <c r="F151" s="42"/>
      <c r="G151" s="42">
        <f>SUM(G152:G153)</f>
        <v>10000000</v>
      </c>
      <c r="H151" s="210" t="b">
        <f t="shared" si="3"/>
        <v>1</v>
      </c>
    </row>
    <row r="152" spans="1:8" ht="13.8" x14ac:dyDescent="0.25">
      <c r="A152" s="7" t="s">
        <v>1405</v>
      </c>
      <c r="B152" s="152"/>
      <c r="C152" s="151" t="s">
        <v>3625</v>
      </c>
      <c r="D152" s="152">
        <v>4</v>
      </c>
      <c r="E152" s="152" t="s">
        <v>9</v>
      </c>
      <c r="F152" s="153">
        <v>1500000</v>
      </c>
      <c r="G152" s="153">
        <f>ROUNDDOWN(D152*F152,-3)</f>
        <v>6000000</v>
      </c>
      <c r="H152" s="210" t="b">
        <f t="shared" si="3"/>
        <v>1</v>
      </c>
    </row>
    <row r="153" spans="1:8" ht="13.8" x14ac:dyDescent="0.25">
      <c r="A153" s="7" t="s">
        <v>1406</v>
      </c>
      <c r="B153" s="152"/>
      <c r="C153" s="151" t="s">
        <v>3626</v>
      </c>
      <c r="D153" s="152">
        <v>4</v>
      </c>
      <c r="E153" s="152" t="s">
        <v>9</v>
      </c>
      <c r="F153" s="153">
        <v>1000000</v>
      </c>
      <c r="G153" s="153">
        <f>ROUNDDOWN(D153*F153,-3)</f>
        <v>4000000</v>
      </c>
      <c r="H153" s="210" t="b">
        <f t="shared" si="3"/>
        <v>1</v>
      </c>
    </row>
    <row r="154" spans="1:8" ht="13.8" x14ac:dyDescent="0.25">
      <c r="A154" s="7" t="s">
        <v>1407</v>
      </c>
      <c r="B154" s="60">
        <v>521219</v>
      </c>
      <c r="C154" s="41" t="s">
        <v>53</v>
      </c>
      <c r="D154" s="60"/>
      <c r="E154" s="60"/>
      <c r="F154" s="42"/>
      <c r="G154" s="42">
        <f>G155</f>
        <v>7800000</v>
      </c>
      <c r="H154" s="210" t="b">
        <f t="shared" si="3"/>
        <v>1</v>
      </c>
    </row>
    <row r="155" spans="1:8" ht="13.8" x14ac:dyDescent="0.25">
      <c r="A155" s="7" t="s">
        <v>1408</v>
      </c>
      <c r="B155" s="152"/>
      <c r="C155" s="151" t="s">
        <v>3722</v>
      </c>
      <c r="D155" s="152">
        <v>12</v>
      </c>
      <c r="E155" s="152" t="s">
        <v>66</v>
      </c>
      <c r="F155" s="153">
        <v>650000</v>
      </c>
      <c r="G155" s="153">
        <f>ROUNDDOWN(D155*F155,-3)</f>
        <v>7800000</v>
      </c>
      <c r="H155" s="210" t="b">
        <f t="shared" si="3"/>
        <v>1</v>
      </c>
    </row>
    <row r="156" spans="1:8" ht="13.8" x14ac:dyDescent="0.25">
      <c r="A156" s="7" t="s">
        <v>1409</v>
      </c>
      <c r="B156" s="60">
        <v>522192</v>
      </c>
      <c r="C156" s="41" t="s">
        <v>24</v>
      </c>
      <c r="D156" s="60"/>
      <c r="E156" s="60"/>
      <c r="F156" s="42"/>
      <c r="G156" s="42">
        <f>G157</f>
        <v>39080000</v>
      </c>
      <c r="H156" s="210" t="b">
        <f t="shared" si="3"/>
        <v>1</v>
      </c>
    </row>
    <row r="157" spans="1:8" ht="13.8" x14ac:dyDescent="0.25">
      <c r="A157" s="7" t="s">
        <v>1410</v>
      </c>
      <c r="B157" s="152"/>
      <c r="C157" s="151" t="s">
        <v>3890</v>
      </c>
      <c r="D157" s="152">
        <v>80</v>
      </c>
      <c r="E157" s="152" t="s">
        <v>25</v>
      </c>
      <c r="F157" s="153">
        <v>488500</v>
      </c>
      <c r="G157" s="153">
        <f>ROUNDDOWN(D157*F157,-3)</f>
        <v>39080000</v>
      </c>
      <c r="H157" s="210" t="b">
        <f t="shared" si="3"/>
        <v>1</v>
      </c>
    </row>
    <row r="158" spans="1:8" ht="13.8" x14ac:dyDescent="0.25">
      <c r="A158" s="7" t="s">
        <v>1412</v>
      </c>
      <c r="B158" s="60">
        <v>524111</v>
      </c>
      <c r="C158" s="41" t="s">
        <v>19</v>
      </c>
      <c r="D158" s="60"/>
      <c r="E158" s="60"/>
      <c r="F158" s="42"/>
      <c r="G158" s="42">
        <f>SUM(G159:G160)</f>
        <v>514500000</v>
      </c>
      <c r="H158" s="210" t="b">
        <f t="shared" si="3"/>
        <v>1</v>
      </c>
    </row>
    <row r="159" spans="1:8" ht="13.8" x14ac:dyDescent="0.25">
      <c r="A159" s="7" t="s">
        <v>1413</v>
      </c>
      <c r="B159" s="152"/>
      <c r="C159" s="151" t="s">
        <v>3891</v>
      </c>
      <c r="D159" s="152">
        <v>55</v>
      </c>
      <c r="E159" s="152" t="s">
        <v>10</v>
      </c>
      <c r="F159" s="153">
        <v>6075000</v>
      </c>
      <c r="G159" s="153">
        <f>ROUNDDOWN(D159*F159,-3)</f>
        <v>334125000</v>
      </c>
      <c r="H159" s="210" t="b">
        <f t="shared" si="3"/>
        <v>1</v>
      </c>
    </row>
    <row r="160" spans="1:8" ht="26.4" x14ac:dyDescent="0.25">
      <c r="A160" s="7" t="s">
        <v>1415</v>
      </c>
      <c r="B160" s="152"/>
      <c r="C160" s="151" t="s">
        <v>3892</v>
      </c>
      <c r="D160" s="152">
        <v>30</v>
      </c>
      <c r="E160" s="152" t="s">
        <v>776</v>
      </c>
      <c r="F160" s="153">
        <v>6012500</v>
      </c>
      <c r="G160" s="153">
        <f>ROUNDDOWN(D160*F160,-3)</f>
        <v>180375000</v>
      </c>
      <c r="H160" s="210" t="b">
        <f t="shared" si="3"/>
        <v>1</v>
      </c>
    </row>
    <row r="161" spans="1:8" ht="26.4" x14ac:dyDescent="0.25">
      <c r="A161" s="7" t="s">
        <v>1417</v>
      </c>
      <c r="B161" s="59" t="s">
        <v>512</v>
      </c>
      <c r="C161" s="38" t="s">
        <v>1418</v>
      </c>
      <c r="D161" s="59"/>
      <c r="E161" s="59"/>
      <c r="F161" s="39"/>
      <c r="G161" s="39">
        <f>SUM(G162,G168,G170,G172)</f>
        <v>83500000</v>
      </c>
      <c r="H161" s="210" t="b">
        <f t="shared" si="3"/>
        <v>1</v>
      </c>
    </row>
    <row r="162" spans="1:8" ht="13.8" x14ac:dyDescent="0.25">
      <c r="A162" s="7" t="s">
        <v>1419</v>
      </c>
      <c r="B162" s="60">
        <v>521211</v>
      </c>
      <c r="C162" s="41" t="s">
        <v>7</v>
      </c>
      <c r="D162" s="60"/>
      <c r="E162" s="60"/>
      <c r="F162" s="42"/>
      <c r="G162" s="42">
        <f>SUM(G163:G167)</f>
        <v>46000000</v>
      </c>
      <c r="H162" s="210" t="b">
        <f t="shared" si="3"/>
        <v>1</v>
      </c>
    </row>
    <row r="163" spans="1:8" ht="13.8" x14ac:dyDescent="0.25">
      <c r="A163" s="7" t="s">
        <v>1420</v>
      </c>
      <c r="B163" s="152"/>
      <c r="C163" s="151" t="s">
        <v>3893</v>
      </c>
      <c r="D163" s="152">
        <v>500</v>
      </c>
      <c r="E163" s="152" t="s">
        <v>1422</v>
      </c>
      <c r="F163" s="153">
        <v>36000</v>
      </c>
      <c r="G163" s="153">
        <f>ROUNDDOWN(D163*F163,-3)</f>
        <v>18000000</v>
      </c>
      <c r="H163" s="210" t="b">
        <f t="shared" si="3"/>
        <v>1</v>
      </c>
    </row>
    <row r="164" spans="1:8" ht="13.8" x14ac:dyDescent="0.25">
      <c r="A164" s="7" t="s">
        <v>1423</v>
      </c>
      <c r="B164" s="152"/>
      <c r="C164" s="151" t="s">
        <v>3714</v>
      </c>
      <c r="D164" s="152">
        <v>4</v>
      </c>
      <c r="E164" s="152" t="s">
        <v>9</v>
      </c>
      <c r="F164" s="153">
        <v>1500000</v>
      </c>
      <c r="G164" s="153">
        <f>ROUNDDOWN(D164*F164,-3)</f>
        <v>6000000</v>
      </c>
      <c r="H164" s="210" t="b">
        <f t="shared" si="3"/>
        <v>1</v>
      </c>
    </row>
    <row r="165" spans="1:8" ht="13.8" x14ac:dyDescent="0.25">
      <c r="A165" s="7" t="s">
        <v>1424</v>
      </c>
      <c r="B165" s="152"/>
      <c r="C165" s="151" t="s">
        <v>3600</v>
      </c>
      <c r="D165" s="152">
        <v>4</v>
      </c>
      <c r="E165" s="152" t="s">
        <v>9</v>
      </c>
      <c r="F165" s="153">
        <v>1000000</v>
      </c>
      <c r="G165" s="153">
        <f>ROUNDDOWN(D165*F165,-3)</f>
        <v>4000000</v>
      </c>
      <c r="H165" s="210" t="b">
        <f t="shared" si="3"/>
        <v>1</v>
      </c>
    </row>
    <row r="166" spans="1:8" ht="13.8" x14ac:dyDescent="0.25">
      <c r="A166" s="7" t="s">
        <v>1425</v>
      </c>
      <c r="B166" s="152"/>
      <c r="C166" s="151" t="s">
        <v>3601</v>
      </c>
      <c r="D166" s="152">
        <v>4</v>
      </c>
      <c r="E166" s="152" t="s">
        <v>9</v>
      </c>
      <c r="F166" s="153">
        <v>1500000</v>
      </c>
      <c r="G166" s="153">
        <f>ROUNDDOWN(D166*F166,-3)</f>
        <v>6000000</v>
      </c>
      <c r="H166" s="210" t="b">
        <f t="shared" si="3"/>
        <v>1</v>
      </c>
    </row>
    <row r="167" spans="1:8" ht="13.8" x14ac:dyDescent="0.25">
      <c r="A167" s="7" t="s">
        <v>1426</v>
      </c>
      <c r="B167" s="152"/>
      <c r="C167" s="151" t="s">
        <v>3894</v>
      </c>
      <c r="D167" s="152">
        <v>24</v>
      </c>
      <c r="E167" s="152" t="s">
        <v>176</v>
      </c>
      <c r="F167" s="153">
        <v>500000</v>
      </c>
      <c r="G167" s="153">
        <f>ROUNDDOWN(D167*F167,-3)</f>
        <v>12000000</v>
      </c>
      <c r="H167" s="210" t="b">
        <f t="shared" si="3"/>
        <v>1</v>
      </c>
    </row>
    <row r="168" spans="1:8" ht="13.8" x14ac:dyDescent="0.25">
      <c r="A168" s="7" t="s">
        <v>1428</v>
      </c>
      <c r="B168" s="60">
        <v>522141</v>
      </c>
      <c r="C168" s="41" t="s">
        <v>95</v>
      </c>
      <c r="D168" s="60"/>
      <c r="E168" s="60"/>
      <c r="F168" s="42"/>
      <c r="G168" s="42">
        <f>G169</f>
        <v>6000000</v>
      </c>
      <c r="H168" s="210" t="b">
        <f t="shared" si="3"/>
        <v>1</v>
      </c>
    </row>
    <row r="169" spans="1:8" ht="13.8" x14ac:dyDescent="0.25">
      <c r="A169" s="7" t="s">
        <v>1429</v>
      </c>
      <c r="B169" s="152"/>
      <c r="C169" s="151" t="s">
        <v>3895</v>
      </c>
      <c r="D169" s="152">
        <v>4</v>
      </c>
      <c r="E169" s="152" t="s">
        <v>149</v>
      </c>
      <c r="F169" s="153">
        <v>1500000</v>
      </c>
      <c r="G169" s="153">
        <f>ROUNDDOWN(D169*F169,-3)</f>
        <v>6000000</v>
      </c>
      <c r="H169" s="210" t="b">
        <f t="shared" si="3"/>
        <v>1</v>
      </c>
    </row>
    <row r="170" spans="1:8" ht="13.8" x14ac:dyDescent="0.25">
      <c r="A170" s="7" t="s">
        <v>1431</v>
      </c>
      <c r="B170" s="60">
        <v>524111</v>
      </c>
      <c r="C170" s="41" t="s">
        <v>19</v>
      </c>
      <c r="D170" s="60"/>
      <c r="E170" s="60"/>
      <c r="F170" s="42"/>
      <c r="G170" s="42">
        <f>G171</f>
        <v>27000000</v>
      </c>
      <c r="H170" s="210" t="b">
        <f t="shared" si="3"/>
        <v>1</v>
      </c>
    </row>
    <row r="171" spans="1:8" ht="26.4" x14ac:dyDescent="0.25">
      <c r="A171" s="7" t="s">
        <v>1432</v>
      </c>
      <c r="B171" s="152"/>
      <c r="C171" s="151" t="s">
        <v>3896</v>
      </c>
      <c r="D171" s="152">
        <v>9</v>
      </c>
      <c r="E171" s="152" t="s">
        <v>10</v>
      </c>
      <c r="F171" s="153">
        <v>3000000</v>
      </c>
      <c r="G171" s="153">
        <f>ROUNDDOWN(D171*F171,-3)</f>
        <v>27000000</v>
      </c>
      <c r="H171" s="210" t="b">
        <f t="shared" si="3"/>
        <v>1</v>
      </c>
    </row>
    <row r="172" spans="1:8" ht="13.8" x14ac:dyDescent="0.25">
      <c r="A172" s="7" t="s">
        <v>1434</v>
      </c>
      <c r="B172" s="60">
        <v>524113</v>
      </c>
      <c r="C172" s="41" t="s">
        <v>13</v>
      </c>
      <c r="D172" s="60"/>
      <c r="E172" s="60"/>
      <c r="F172" s="42"/>
      <c r="G172" s="42">
        <f>G173</f>
        <v>4500000</v>
      </c>
      <c r="H172" s="210" t="b">
        <f t="shared" si="3"/>
        <v>1</v>
      </c>
    </row>
    <row r="173" spans="1:8" ht="13.8" x14ac:dyDescent="0.25">
      <c r="A173" s="7" t="s">
        <v>1435</v>
      </c>
      <c r="B173" s="152"/>
      <c r="C173" s="151" t="s">
        <v>3897</v>
      </c>
      <c r="D173" s="152">
        <v>30</v>
      </c>
      <c r="E173" s="152" t="s">
        <v>10</v>
      </c>
      <c r="F173" s="153">
        <v>150000</v>
      </c>
      <c r="G173" s="153">
        <f>ROUNDDOWN(D173*F173,-3)</f>
        <v>4500000</v>
      </c>
      <c r="H173" s="210" t="b">
        <f t="shared" si="3"/>
        <v>1</v>
      </c>
    </row>
    <row r="174" spans="1:8" ht="13.8" x14ac:dyDescent="0.25">
      <c r="A174" s="7" t="s">
        <v>1437</v>
      </c>
      <c r="B174" s="59" t="s">
        <v>514</v>
      </c>
      <c r="C174" s="38" t="s">
        <v>151</v>
      </c>
      <c r="D174" s="59"/>
      <c r="E174" s="59"/>
      <c r="F174" s="39"/>
      <c r="G174" s="39">
        <f>SUM(G175,G180,G182)</f>
        <v>101050000</v>
      </c>
      <c r="H174" s="210" t="b">
        <f t="shared" si="3"/>
        <v>1</v>
      </c>
    </row>
    <row r="175" spans="1:8" ht="13.8" x14ac:dyDescent="0.25">
      <c r="A175" s="7" t="s">
        <v>1438</v>
      </c>
      <c r="B175" s="60">
        <v>521211</v>
      </c>
      <c r="C175" s="41" t="s">
        <v>7</v>
      </c>
      <c r="D175" s="60"/>
      <c r="E175" s="60"/>
      <c r="F175" s="42"/>
      <c r="G175" s="42">
        <f>SUM(G176:G179)</f>
        <v>28000000</v>
      </c>
      <c r="H175" s="210" t="b">
        <f t="shared" si="3"/>
        <v>1</v>
      </c>
    </row>
    <row r="176" spans="1:8" ht="13.8" x14ac:dyDescent="0.25">
      <c r="A176" s="7" t="s">
        <v>1439</v>
      </c>
      <c r="B176" s="152"/>
      <c r="C176" s="151" t="s">
        <v>3625</v>
      </c>
      <c r="D176" s="152">
        <v>4</v>
      </c>
      <c r="E176" s="152" t="s">
        <v>9</v>
      </c>
      <c r="F176" s="153">
        <v>1000000</v>
      </c>
      <c r="G176" s="153">
        <f>ROUNDDOWN(D176*F176,-3)</f>
        <v>4000000</v>
      </c>
      <c r="H176" s="210" t="b">
        <f t="shared" si="3"/>
        <v>1</v>
      </c>
    </row>
    <row r="177" spans="1:8" ht="13.8" x14ac:dyDescent="0.25">
      <c r="A177" s="7" t="s">
        <v>1440</v>
      </c>
      <c r="B177" s="152"/>
      <c r="C177" s="151" t="s">
        <v>3626</v>
      </c>
      <c r="D177" s="152">
        <v>4</v>
      </c>
      <c r="E177" s="152" t="s">
        <v>9</v>
      </c>
      <c r="F177" s="153">
        <v>1500000</v>
      </c>
      <c r="G177" s="153">
        <f>ROUNDDOWN(D177*F177,-3)</f>
        <v>6000000</v>
      </c>
      <c r="H177" s="210" t="b">
        <f t="shared" si="3"/>
        <v>1</v>
      </c>
    </row>
    <row r="178" spans="1:8" ht="13.8" x14ac:dyDescent="0.25">
      <c r="A178" s="7" t="s">
        <v>1441</v>
      </c>
      <c r="B178" s="152"/>
      <c r="C178" s="151" t="s">
        <v>3627</v>
      </c>
      <c r="D178" s="152">
        <v>4</v>
      </c>
      <c r="E178" s="152" t="s">
        <v>9</v>
      </c>
      <c r="F178" s="153">
        <v>1500000</v>
      </c>
      <c r="G178" s="153">
        <f>ROUNDDOWN(D178*F178,-3)</f>
        <v>6000000</v>
      </c>
      <c r="H178" s="210" t="b">
        <f t="shared" si="3"/>
        <v>1</v>
      </c>
    </row>
    <row r="179" spans="1:8" ht="13.8" x14ac:dyDescent="0.25">
      <c r="A179" s="7" t="s">
        <v>1442</v>
      </c>
      <c r="B179" s="152"/>
      <c r="C179" s="151" t="s">
        <v>3898</v>
      </c>
      <c r="D179" s="152">
        <v>24</v>
      </c>
      <c r="E179" s="152" t="s">
        <v>176</v>
      </c>
      <c r="F179" s="153">
        <v>500000</v>
      </c>
      <c r="G179" s="153">
        <f>ROUNDDOWN(D179*F179,-3)</f>
        <v>12000000</v>
      </c>
      <c r="H179" s="210" t="b">
        <f t="shared" si="3"/>
        <v>1</v>
      </c>
    </row>
    <row r="180" spans="1:8" ht="13.8" x14ac:dyDescent="0.25">
      <c r="A180" s="7" t="s">
        <v>1443</v>
      </c>
      <c r="B180" s="60">
        <v>524111</v>
      </c>
      <c r="C180" s="41" t="s">
        <v>19</v>
      </c>
      <c r="D180" s="60"/>
      <c r="E180" s="60"/>
      <c r="F180" s="42"/>
      <c r="G180" s="42">
        <f>G181</f>
        <v>71250000</v>
      </c>
      <c r="H180" s="210" t="b">
        <f t="shared" si="3"/>
        <v>1</v>
      </c>
    </row>
    <row r="181" spans="1:8" ht="26.4" x14ac:dyDescent="0.25">
      <c r="A181" s="7" t="s">
        <v>1444</v>
      </c>
      <c r="B181" s="152"/>
      <c r="C181" s="151" t="s">
        <v>3899</v>
      </c>
      <c r="D181" s="152">
        <v>15</v>
      </c>
      <c r="E181" s="152" t="s">
        <v>10</v>
      </c>
      <c r="F181" s="153">
        <v>4750000</v>
      </c>
      <c r="G181" s="153">
        <f>ROUNDDOWN(D181*F181,-3)</f>
        <v>71250000</v>
      </c>
      <c r="H181" s="210" t="b">
        <f t="shared" si="3"/>
        <v>1</v>
      </c>
    </row>
    <row r="182" spans="1:8" ht="13.8" x14ac:dyDescent="0.25">
      <c r="A182" s="7" t="s">
        <v>1446</v>
      </c>
      <c r="B182" s="60">
        <v>524113</v>
      </c>
      <c r="C182" s="41" t="s">
        <v>13</v>
      </c>
      <c r="D182" s="60"/>
      <c r="E182" s="60"/>
      <c r="F182" s="42"/>
      <c r="G182" s="42">
        <f>G183</f>
        <v>1800000</v>
      </c>
      <c r="H182" s="210" t="b">
        <f t="shared" si="3"/>
        <v>1</v>
      </c>
    </row>
    <row r="183" spans="1:8" ht="13.8" x14ac:dyDescent="0.25">
      <c r="A183" s="7" t="s">
        <v>1447</v>
      </c>
      <c r="B183" s="152"/>
      <c r="C183" s="151" t="s">
        <v>3897</v>
      </c>
      <c r="D183" s="152">
        <v>12</v>
      </c>
      <c r="E183" s="152" t="s">
        <v>10</v>
      </c>
      <c r="F183" s="153">
        <v>150000</v>
      </c>
      <c r="G183" s="153">
        <f>ROUNDDOWN(D183*F183,-3)</f>
        <v>1800000</v>
      </c>
      <c r="H183" s="210" t="b">
        <f t="shared" si="3"/>
        <v>1</v>
      </c>
    </row>
    <row r="184" spans="1:8" ht="13.8" x14ac:dyDescent="0.25">
      <c r="A184" s="7" t="s">
        <v>1448</v>
      </c>
      <c r="B184" s="59" t="s">
        <v>519</v>
      </c>
      <c r="C184" s="38" t="s">
        <v>152</v>
      </c>
      <c r="D184" s="59"/>
      <c r="E184" s="59"/>
      <c r="F184" s="39"/>
      <c r="G184" s="39">
        <f>SUM(G185,G190,G194,G196,G198)</f>
        <v>388472000</v>
      </c>
      <c r="H184" s="210" t="b">
        <f t="shared" si="3"/>
        <v>1</v>
      </c>
    </row>
    <row r="185" spans="1:8" ht="13.8" x14ac:dyDescent="0.25">
      <c r="A185" s="7" t="s">
        <v>1449</v>
      </c>
      <c r="B185" s="60">
        <v>521211</v>
      </c>
      <c r="C185" s="41" t="s">
        <v>7</v>
      </c>
      <c r="D185" s="60"/>
      <c r="E185" s="60"/>
      <c r="F185" s="42"/>
      <c r="G185" s="42">
        <f>SUM(G186:G189)</f>
        <v>46000000</v>
      </c>
      <c r="H185" s="210" t="b">
        <f t="shared" si="3"/>
        <v>1</v>
      </c>
    </row>
    <row r="186" spans="1:8" ht="13.8" x14ac:dyDescent="0.25">
      <c r="A186" s="7" t="s">
        <v>1450</v>
      </c>
      <c r="B186" s="152"/>
      <c r="C186" s="151" t="s">
        <v>3598</v>
      </c>
      <c r="D186" s="152">
        <v>4</v>
      </c>
      <c r="E186" s="152" t="s">
        <v>9</v>
      </c>
      <c r="F186" s="153">
        <v>1500000</v>
      </c>
      <c r="G186" s="153">
        <f>ROUNDDOWN(D186*F186,-3)</f>
        <v>6000000</v>
      </c>
      <c r="H186" s="210" t="b">
        <f t="shared" si="3"/>
        <v>1</v>
      </c>
    </row>
    <row r="187" spans="1:8" ht="13.8" x14ac:dyDescent="0.25">
      <c r="A187" s="7" t="s">
        <v>1451</v>
      </c>
      <c r="B187" s="152"/>
      <c r="C187" s="151" t="s">
        <v>3632</v>
      </c>
      <c r="D187" s="152">
        <v>4</v>
      </c>
      <c r="E187" s="152" t="s">
        <v>9</v>
      </c>
      <c r="F187" s="153">
        <v>1000000</v>
      </c>
      <c r="G187" s="153">
        <f>ROUNDDOWN(D187*F187,-3)</f>
        <v>4000000</v>
      </c>
      <c r="H187" s="210" t="b">
        <f t="shared" si="3"/>
        <v>1</v>
      </c>
    </row>
    <row r="188" spans="1:8" ht="13.8" x14ac:dyDescent="0.25">
      <c r="A188" s="7" t="s">
        <v>1452</v>
      </c>
      <c r="B188" s="152"/>
      <c r="C188" s="151" t="s">
        <v>3633</v>
      </c>
      <c r="D188" s="152">
        <v>4</v>
      </c>
      <c r="E188" s="152" t="s">
        <v>9</v>
      </c>
      <c r="F188" s="153">
        <v>1500000</v>
      </c>
      <c r="G188" s="153">
        <f>ROUNDDOWN(D188*F188,-3)</f>
        <v>6000000</v>
      </c>
      <c r="H188" s="210" t="b">
        <f t="shared" si="3"/>
        <v>1</v>
      </c>
    </row>
    <row r="189" spans="1:8" ht="26.4" x14ac:dyDescent="0.25">
      <c r="A189" s="7" t="s">
        <v>1453</v>
      </c>
      <c r="B189" s="152"/>
      <c r="C189" s="151" t="s">
        <v>3900</v>
      </c>
      <c r="D189" s="152">
        <v>60</v>
      </c>
      <c r="E189" s="152" t="s">
        <v>176</v>
      </c>
      <c r="F189" s="153">
        <v>500000</v>
      </c>
      <c r="G189" s="153">
        <f>ROUNDDOWN(D189*F189,-3)</f>
        <v>30000000</v>
      </c>
      <c r="H189" s="210" t="b">
        <f t="shared" si="3"/>
        <v>1</v>
      </c>
    </row>
    <row r="190" spans="1:8" ht="26.4" x14ac:dyDescent="0.25">
      <c r="A190" s="7" t="s">
        <v>1455</v>
      </c>
      <c r="B190" s="60">
        <v>521241</v>
      </c>
      <c r="C190" s="41" t="s">
        <v>642</v>
      </c>
      <c r="D190" s="60"/>
      <c r="E190" s="60"/>
      <c r="F190" s="42"/>
      <c r="G190" s="42">
        <f>SUM(G191:G193)</f>
        <v>249600000</v>
      </c>
      <c r="H190" s="210" t="b">
        <f t="shared" si="3"/>
        <v>1</v>
      </c>
    </row>
    <row r="191" spans="1:8" ht="13.8" x14ac:dyDescent="0.25">
      <c r="A191" s="7" t="s">
        <v>1456</v>
      </c>
      <c r="B191" s="152"/>
      <c r="C191" s="151" t="s">
        <v>3901</v>
      </c>
      <c r="D191" s="152">
        <v>720</v>
      </c>
      <c r="E191" s="152" t="s">
        <v>32</v>
      </c>
      <c r="F191" s="153">
        <v>200000</v>
      </c>
      <c r="G191" s="153">
        <f>ROUNDDOWN(D191*F191,-3)</f>
        <v>144000000</v>
      </c>
      <c r="H191" s="210" t="b">
        <f t="shared" si="3"/>
        <v>1</v>
      </c>
    </row>
    <row r="192" spans="1:8" ht="26.4" x14ac:dyDescent="0.25">
      <c r="A192" s="7" t="s">
        <v>1458</v>
      </c>
      <c r="B192" s="152"/>
      <c r="C192" s="151" t="s">
        <v>3902</v>
      </c>
      <c r="D192" s="152">
        <v>360</v>
      </c>
      <c r="E192" s="152" t="s">
        <v>776</v>
      </c>
      <c r="F192" s="153">
        <v>280000</v>
      </c>
      <c r="G192" s="153">
        <f>ROUNDDOWN(D192*F192,-3)</f>
        <v>100800000</v>
      </c>
      <c r="H192" s="210" t="b">
        <f t="shared" si="3"/>
        <v>1</v>
      </c>
    </row>
    <row r="193" spans="1:8" ht="13.8" x14ac:dyDescent="0.25">
      <c r="A193" s="7" t="s">
        <v>1460</v>
      </c>
      <c r="B193" s="152"/>
      <c r="C193" s="151" t="s">
        <v>3903</v>
      </c>
      <c r="D193" s="152">
        <v>12</v>
      </c>
      <c r="E193" s="152" t="s">
        <v>32</v>
      </c>
      <c r="F193" s="153">
        <v>400000</v>
      </c>
      <c r="G193" s="153">
        <f>ROUNDDOWN(D193*F193,-3)</f>
        <v>4800000</v>
      </c>
      <c r="H193" s="210" t="b">
        <f t="shared" si="3"/>
        <v>1</v>
      </c>
    </row>
    <row r="194" spans="1:8" ht="13.8" x14ac:dyDescent="0.25">
      <c r="A194" s="7" t="s">
        <v>1462</v>
      </c>
      <c r="B194" s="60">
        <v>522192</v>
      </c>
      <c r="C194" s="41" t="s">
        <v>24</v>
      </c>
      <c r="D194" s="60"/>
      <c r="E194" s="60"/>
      <c r="F194" s="42"/>
      <c r="G194" s="42">
        <f>G195</f>
        <v>48000000</v>
      </c>
      <c r="H194" s="210" t="b">
        <f t="shared" si="3"/>
        <v>1</v>
      </c>
    </row>
    <row r="195" spans="1:8" ht="13.8" x14ac:dyDescent="0.25">
      <c r="A195" s="7" t="s">
        <v>1463</v>
      </c>
      <c r="B195" s="152"/>
      <c r="C195" s="151" t="s">
        <v>3890</v>
      </c>
      <c r="D195" s="152">
        <v>480</v>
      </c>
      <c r="E195" s="152" t="s">
        <v>25</v>
      </c>
      <c r="F195" s="153">
        <v>100000</v>
      </c>
      <c r="G195" s="153">
        <f>ROUNDDOWN(D195*F195,-3)</f>
        <v>48000000</v>
      </c>
      <c r="H195" s="210" t="b">
        <f t="shared" si="3"/>
        <v>1</v>
      </c>
    </row>
    <row r="196" spans="1:8" ht="13.8" x14ac:dyDescent="0.25">
      <c r="A196" s="7" t="s">
        <v>1464</v>
      </c>
      <c r="B196" s="60">
        <v>524111</v>
      </c>
      <c r="C196" s="41" t="s">
        <v>19</v>
      </c>
      <c r="D196" s="60"/>
      <c r="E196" s="60"/>
      <c r="F196" s="42"/>
      <c r="G196" s="42">
        <f>G197</f>
        <v>42772000</v>
      </c>
      <c r="H196" s="210" t="b">
        <f t="shared" si="3"/>
        <v>1</v>
      </c>
    </row>
    <row r="197" spans="1:8" ht="13.8" x14ac:dyDescent="0.25">
      <c r="A197" s="7" t="s">
        <v>1465</v>
      </c>
      <c r="B197" s="152"/>
      <c r="C197" s="151" t="s">
        <v>3904</v>
      </c>
      <c r="D197" s="152">
        <v>10</v>
      </c>
      <c r="E197" s="152" t="s">
        <v>10</v>
      </c>
      <c r="F197" s="153">
        <v>4277200</v>
      </c>
      <c r="G197" s="153">
        <f>ROUNDDOWN(D197*F197,-3)</f>
        <v>42772000</v>
      </c>
      <c r="H197" s="210" t="b">
        <f t="shared" si="3"/>
        <v>1</v>
      </c>
    </row>
    <row r="198" spans="1:8" ht="13.8" x14ac:dyDescent="0.25">
      <c r="A198" s="7" t="s">
        <v>1467</v>
      </c>
      <c r="B198" s="60">
        <v>524113</v>
      </c>
      <c r="C198" s="41" t="s">
        <v>13</v>
      </c>
      <c r="D198" s="60"/>
      <c r="E198" s="60"/>
      <c r="F198" s="42"/>
      <c r="G198" s="42">
        <f>G199</f>
        <v>2100000</v>
      </c>
      <c r="H198" s="210" t="b">
        <f t="shared" si="3"/>
        <v>1</v>
      </c>
    </row>
    <row r="199" spans="1:8" ht="13.8" x14ac:dyDescent="0.25">
      <c r="A199" s="7" t="s">
        <v>1468</v>
      </c>
      <c r="B199" s="152"/>
      <c r="C199" s="151" t="s">
        <v>3897</v>
      </c>
      <c r="D199" s="152">
        <v>14</v>
      </c>
      <c r="E199" s="152" t="s">
        <v>10</v>
      </c>
      <c r="F199" s="153">
        <v>150000</v>
      </c>
      <c r="G199" s="153">
        <f>ROUNDDOWN(D199*F199,-3)</f>
        <v>2100000</v>
      </c>
      <c r="H199" s="210" t="b">
        <f t="shared" si="3"/>
        <v>1</v>
      </c>
    </row>
    <row r="200" spans="1:8" ht="26.4" x14ac:dyDescent="0.25">
      <c r="A200" s="7" t="s">
        <v>1469</v>
      </c>
      <c r="B200" s="59" t="s">
        <v>578</v>
      </c>
      <c r="C200" s="38" t="s">
        <v>154</v>
      </c>
      <c r="D200" s="59"/>
      <c r="E200" s="59"/>
      <c r="F200" s="39"/>
      <c r="G200" s="39">
        <f>SUM(G201,G205,G210,G212,G214)</f>
        <v>450000000</v>
      </c>
      <c r="H200" s="210" t="b">
        <f t="shared" si="3"/>
        <v>1</v>
      </c>
    </row>
    <row r="201" spans="1:8" ht="13.8" x14ac:dyDescent="0.25">
      <c r="A201" s="7" t="s">
        <v>1470</v>
      </c>
      <c r="B201" s="60">
        <v>521211</v>
      </c>
      <c r="C201" s="41" t="s">
        <v>7</v>
      </c>
      <c r="D201" s="60"/>
      <c r="E201" s="60"/>
      <c r="F201" s="42"/>
      <c r="G201" s="42">
        <f>SUM(G202:G204)</f>
        <v>32000000</v>
      </c>
      <c r="H201" s="210" t="b">
        <f t="shared" si="3"/>
        <v>1</v>
      </c>
    </row>
    <row r="202" spans="1:8" ht="13.8" x14ac:dyDescent="0.25">
      <c r="A202" s="7" t="s">
        <v>1471</v>
      </c>
      <c r="B202" s="152"/>
      <c r="C202" s="151" t="s">
        <v>3598</v>
      </c>
      <c r="D202" s="152">
        <v>8</v>
      </c>
      <c r="E202" s="152" t="s">
        <v>9</v>
      </c>
      <c r="F202" s="153">
        <v>1500000</v>
      </c>
      <c r="G202" s="153">
        <f>ROUNDDOWN(D202*F202,-3)</f>
        <v>12000000</v>
      </c>
      <c r="H202" s="210" t="b">
        <f t="shared" si="3"/>
        <v>1</v>
      </c>
    </row>
    <row r="203" spans="1:8" ht="13.8" x14ac:dyDescent="0.25">
      <c r="A203" s="7" t="s">
        <v>1472</v>
      </c>
      <c r="B203" s="152"/>
      <c r="C203" s="151" t="s">
        <v>3632</v>
      </c>
      <c r="D203" s="152">
        <v>8</v>
      </c>
      <c r="E203" s="152" t="s">
        <v>9</v>
      </c>
      <c r="F203" s="153">
        <v>1000000</v>
      </c>
      <c r="G203" s="153">
        <f>ROUNDDOWN(D203*F203,-3)</f>
        <v>8000000</v>
      </c>
      <c r="H203" s="210" t="b">
        <f t="shared" si="3"/>
        <v>1</v>
      </c>
    </row>
    <row r="204" spans="1:8" ht="13.8" x14ac:dyDescent="0.25">
      <c r="A204" s="7" t="s">
        <v>1473</v>
      </c>
      <c r="B204" s="152"/>
      <c r="C204" s="151" t="s">
        <v>3633</v>
      </c>
      <c r="D204" s="152">
        <v>8</v>
      </c>
      <c r="E204" s="152" t="s">
        <v>9</v>
      </c>
      <c r="F204" s="153">
        <v>1500000</v>
      </c>
      <c r="G204" s="153">
        <f>ROUNDDOWN(D204*F204,-3)</f>
        <v>12000000</v>
      </c>
      <c r="H204" s="210" t="b">
        <f t="shared" si="3"/>
        <v>1</v>
      </c>
    </row>
    <row r="205" spans="1:8" ht="13.8" x14ac:dyDescent="0.25">
      <c r="A205" s="7" t="s">
        <v>1474</v>
      </c>
      <c r="B205" s="60">
        <v>521219</v>
      </c>
      <c r="C205" s="41" t="s">
        <v>53</v>
      </c>
      <c r="D205" s="60"/>
      <c r="E205" s="60"/>
      <c r="F205" s="42"/>
      <c r="G205" s="42">
        <f>SUM(G206:G209)</f>
        <v>298141000</v>
      </c>
      <c r="H205" s="210" t="b">
        <f t="shared" ref="H205:H268" si="4">_xlfn.ISFORMULA(G205)</f>
        <v>1</v>
      </c>
    </row>
    <row r="206" spans="1:8" ht="13.8" x14ac:dyDescent="0.25">
      <c r="A206" s="7" t="s">
        <v>1475</v>
      </c>
      <c r="B206" s="152"/>
      <c r="C206" s="151" t="s">
        <v>3905</v>
      </c>
      <c r="D206" s="152">
        <v>40</v>
      </c>
      <c r="E206" s="152" t="s">
        <v>10</v>
      </c>
      <c r="F206" s="153">
        <v>1000000</v>
      </c>
      <c r="G206" s="153">
        <f>ROUNDDOWN(D206*F206,-3)</f>
        <v>40000000</v>
      </c>
      <c r="H206" s="210" t="b">
        <f t="shared" si="4"/>
        <v>1</v>
      </c>
    </row>
    <row r="207" spans="1:8" ht="13.8" x14ac:dyDescent="0.25">
      <c r="A207" s="7" t="s">
        <v>1477</v>
      </c>
      <c r="B207" s="152"/>
      <c r="C207" s="151" t="s">
        <v>3906</v>
      </c>
      <c r="D207" s="152">
        <v>30</v>
      </c>
      <c r="E207" s="152" t="s">
        <v>776</v>
      </c>
      <c r="F207" s="153">
        <v>8000000</v>
      </c>
      <c r="G207" s="153">
        <f>ROUNDDOWN(D207*F207,-3)</f>
        <v>240000000</v>
      </c>
      <c r="H207" s="210" t="b">
        <f t="shared" si="4"/>
        <v>1</v>
      </c>
    </row>
    <row r="208" spans="1:8" ht="26.4" x14ac:dyDescent="0.25">
      <c r="A208" s="7" t="s">
        <v>1479</v>
      </c>
      <c r="B208" s="152"/>
      <c r="C208" s="151" t="s">
        <v>3907</v>
      </c>
      <c r="D208" s="152">
        <v>400</v>
      </c>
      <c r="E208" s="152" t="s">
        <v>10</v>
      </c>
      <c r="F208" s="153">
        <v>15000</v>
      </c>
      <c r="G208" s="153">
        <f>ROUNDDOWN(D208*F208,-3)</f>
        <v>6000000</v>
      </c>
      <c r="H208" s="210" t="b">
        <f t="shared" si="4"/>
        <v>1</v>
      </c>
    </row>
    <row r="209" spans="1:8" ht="13.8" x14ac:dyDescent="0.25">
      <c r="A209" s="7" t="s">
        <v>1481</v>
      </c>
      <c r="B209" s="152"/>
      <c r="C209" s="151" t="s">
        <v>3908</v>
      </c>
      <c r="D209" s="152">
        <v>1</v>
      </c>
      <c r="E209" s="152" t="s">
        <v>60</v>
      </c>
      <c r="F209" s="153">
        <v>12141000</v>
      </c>
      <c r="G209" s="153">
        <f>ROUNDDOWN(D209*F209,-3)</f>
        <v>12141000</v>
      </c>
      <c r="H209" s="210" t="b">
        <f t="shared" si="4"/>
        <v>1</v>
      </c>
    </row>
    <row r="210" spans="1:8" ht="13.8" x14ac:dyDescent="0.25">
      <c r="A210" s="7" t="s">
        <v>1483</v>
      </c>
      <c r="B210" s="60">
        <v>522151</v>
      </c>
      <c r="C210" s="41" t="s">
        <v>11</v>
      </c>
      <c r="D210" s="60"/>
      <c r="E210" s="60"/>
      <c r="F210" s="42"/>
      <c r="G210" s="42">
        <f>G211</f>
        <v>30000000</v>
      </c>
      <c r="H210" s="210" t="b">
        <f t="shared" si="4"/>
        <v>1</v>
      </c>
    </row>
    <row r="211" spans="1:8" ht="13.8" x14ac:dyDescent="0.25">
      <c r="A211" s="7" t="s">
        <v>1484</v>
      </c>
      <c r="B211" s="152"/>
      <c r="C211" s="151" t="s">
        <v>3715</v>
      </c>
      <c r="D211" s="152">
        <v>30</v>
      </c>
      <c r="E211" s="152" t="s">
        <v>54</v>
      </c>
      <c r="F211" s="153">
        <v>1000000</v>
      </c>
      <c r="G211" s="153">
        <f>ROUNDDOWN(D211*F211,-3)</f>
        <v>30000000</v>
      </c>
      <c r="H211" s="210" t="b">
        <f t="shared" si="4"/>
        <v>1</v>
      </c>
    </row>
    <row r="212" spans="1:8" ht="13.8" x14ac:dyDescent="0.25">
      <c r="A212" s="7" t="s">
        <v>1485</v>
      </c>
      <c r="B212" s="60">
        <v>522192</v>
      </c>
      <c r="C212" s="41" t="s">
        <v>24</v>
      </c>
      <c r="D212" s="60"/>
      <c r="E212" s="60"/>
      <c r="F212" s="42"/>
      <c r="G212" s="42">
        <f>G213</f>
        <v>8000000</v>
      </c>
      <c r="H212" s="210" t="b">
        <f t="shared" si="4"/>
        <v>1</v>
      </c>
    </row>
    <row r="213" spans="1:8" ht="13.8" x14ac:dyDescent="0.25">
      <c r="A213" s="7" t="s">
        <v>1486</v>
      </c>
      <c r="B213" s="152"/>
      <c r="C213" s="151" t="s">
        <v>3735</v>
      </c>
      <c r="D213" s="152">
        <v>1</v>
      </c>
      <c r="E213" s="152" t="s">
        <v>60</v>
      </c>
      <c r="F213" s="153">
        <v>8000000</v>
      </c>
      <c r="G213" s="153">
        <f>ROUNDDOWN(D213*F213,-3)</f>
        <v>8000000</v>
      </c>
      <c r="H213" s="210" t="b">
        <f t="shared" si="4"/>
        <v>1</v>
      </c>
    </row>
    <row r="214" spans="1:8" ht="13.8" x14ac:dyDescent="0.25">
      <c r="A214" s="7" t="s">
        <v>1487</v>
      </c>
      <c r="B214" s="60">
        <v>524111</v>
      </c>
      <c r="C214" s="41" t="s">
        <v>19</v>
      </c>
      <c r="D214" s="60"/>
      <c r="E214" s="60"/>
      <c r="F214" s="42"/>
      <c r="G214" s="42">
        <f>G215</f>
        <v>81859000</v>
      </c>
      <c r="H214" s="210" t="b">
        <f t="shared" si="4"/>
        <v>1</v>
      </c>
    </row>
    <row r="215" spans="1:8" ht="26.4" x14ac:dyDescent="0.25">
      <c r="A215" s="7" t="s">
        <v>1488</v>
      </c>
      <c r="B215" s="152"/>
      <c r="C215" s="151" t="s">
        <v>3909</v>
      </c>
      <c r="D215" s="152">
        <v>32</v>
      </c>
      <c r="E215" s="152" t="s">
        <v>10</v>
      </c>
      <c r="F215" s="153">
        <v>2558095</v>
      </c>
      <c r="G215" s="153">
        <f>ROUNDDOWN(D215*F215,-3)</f>
        <v>81859000</v>
      </c>
      <c r="H215" s="210" t="b">
        <f t="shared" si="4"/>
        <v>1</v>
      </c>
    </row>
    <row r="216" spans="1:8" ht="13.8" x14ac:dyDescent="0.25">
      <c r="A216" s="7" t="s">
        <v>1490</v>
      </c>
      <c r="B216" s="59" t="s">
        <v>579</v>
      </c>
      <c r="C216" s="38" t="s">
        <v>56</v>
      </c>
      <c r="D216" s="59"/>
      <c r="E216" s="59"/>
      <c r="F216" s="39"/>
      <c r="G216" s="39">
        <f>SUM(G217,G222,G224,G226)</f>
        <v>350000000</v>
      </c>
      <c r="H216" s="210" t="b">
        <f t="shared" si="4"/>
        <v>1</v>
      </c>
    </row>
    <row r="217" spans="1:8" ht="13.8" x14ac:dyDescent="0.25">
      <c r="A217" s="7" t="s">
        <v>1491</v>
      </c>
      <c r="B217" s="60">
        <v>521211</v>
      </c>
      <c r="C217" s="41" t="s">
        <v>7</v>
      </c>
      <c r="D217" s="60"/>
      <c r="E217" s="60"/>
      <c r="F217" s="42"/>
      <c r="G217" s="42">
        <f>SUM(G218:G221)</f>
        <v>31000000</v>
      </c>
      <c r="H217" s="210" t="b">
        <f t="shared" si="4"/>
        <v>1</v>
      </c>
    </row>
    <row r="218" spans="1:8" ht="13.8" x14ac:dyDescent="0.25">
      <c r="A218" s="7" t="s">
        <v>1492</v>
      </c>
      <c r="B218" s="152"/>
      <c r="C218" s="151" t="s">
        <v>3713</v>
      </c>
      <c r="D218" s="152">
        <v>300</v>
      </c>
      <c r="E218" s="152" t="s">
        <v>10</v>
      </c>
      <c r="F218" s="153">
        <v>75000</v>
      </c>
      <c r="G218" s="153">
        <f>ROUNDDOWN(D218*F218,-3)</f>
        <v>22500000</v>
      </c>
      <c r="H218" s="210" t="b">
        <f t="shared" si="4"/>
        <v>1</v>
      </c>
    </row>
    <row r="219" spans="1:8" ht="13.8" x14ac:dyDescent="0.25">
      <c r="A219" s="7" t="s">
        <v>1493</v>
      </c>
      <c r="B219" s="152"/>
      <c r="C219" s="151" t="s">
        <v>3714</v>
      </c>
      <c r="D219" s="152">
        <v>1</v>
      </c>
      <c r="E219" s="152" t="s">
        <v>9</v>
      </c>
      <c r="F219" s="153">
        <v>1000000</v>
      </c>
      <c r="G219" s="153">
        <f>ROUNDDOWN(D219*F219,-3)</f>
        <v>1000000</v>
      </c>
      <c r="H219" s="210" t="b">
        <f t="shared" si="4"/>
        <v>1</v>
      </c>
    </row>
    <row r="220" spans="1:8" ht="13.8" x14ac:dyDescent="0.25">
      <c r="A220" s="7" t="s">
        <v>1494</v>
      </c>
      <c r="B220" s="152"/>
      <c r="C220" s="151" t="s">
        <v>3600</v>
      </c>
      <c r="D220" s="152">
        <v>3</v>
      </c>
      <c r="E220" s="152" t="s">
        <v>9</v>
      </c>
      <c r="F220" s="153">
        <v>1000000</v>
      </c>
      <c r="G220" s="153">
        <f>ROUNDDOWN(D220*F220,-3)</f>
        <v>3000000</v>
      </c>
      <c r="H220" s="210" t="b">
        <f t="shared" si="4"/>
        <v>1</v>
      </c>
    </row>
    <row r="221" spans="1:8" ht="13.8" x14ac:dyDescent="0.25">
      <c r="A221" s="7" t="s">
        <v>1495</v>
      </c>
      <c r="B221" s="152"/>
      <c r="C221" s="151" t="s">
        <v>3601</v>
      </c>
      <c r="D221" s="152">
        <v>3</v>
      </c>
      <c r="E221" s="152" t="s">
        <v>9</v>
      </c>
      <c r="F221" s="153">
        <v>1500000</v>
      </c>
      <c r="G221" s="153">
        <f>ROUNDDOWN(D221*F221,-3)</f>
        <v>4500000</v>
      </c>
      <c r="H221" s="210" t="b">
        <f t="shared" si="4"/>
        <v>1</v>
      </c>
    </row>
    <row r="222" spans="1:8" ht="13.8" x14ac:dyDescent="0.25">
      <c r="A222" s="7" t="s">
        <v>1496</v>
      </c>
      <c r="B222" s="60">
        <v>521219</v>
      </c>
      <c r="C222" s="41" t="s">
        <v>53</v>
      </c>
      <c r="D222" s="60"/>
      <c r="E222" s="60"/>
      <c r="F222" s="42"/>
      <c r="G222" s="42">
        <f>G223</f>
        <v>3000000</v>
      </c>
      <c r="H222" s="210" t="b">
        <f t="shared" si="4"/>
        <v>1</v>
      </c>
    </row>
    <row r="223" spans="1:8" ht="13.8" x14ac:dyDescent="0.25">
      <c r="A223" s="7" t="s">
        <v>1497</v>
      </c>
      <c r="B223" s="152"/>
      <c r="C223" s="151" t="s">
        <v>3722</v>
      </c>
      <c r="D223" s="152">
        <v>12</v>
      </c>
      <c r="E223" s="152" t="s">
        <v>78</v>
      </c>
      <c r="F223" s="153">
        <v>250000</v>
      </c>
      <c r="G223" s="153">
        <f>ROUNDDOWN(D223*F223,-3)</f>
        <v>3000000</v>
      </c>
      <c r="H223" s="210" t="b">
        <f t="shared" si="4"/>
        <v>1</v>
      </c>
    </row>
    <row r="224" spans="1:8" ht="13.8" x14ac:dyDescent="0.25">
      <c r="A224" s="7" t="s">
        <v>1498</v>
      </c>
      <c r="B224" s="60">
        <v>522151</v>
      </c>
      <c r="C224" s="41" t="s">
        <v>11</v>
      </c>
      <c r="D224" s="60"/>
      <c r="E224" s="60"/>
      <c r="F224" s="42"/>
      <c r="G224" s="42">
        <f>G225</f>
        <v>70000000</v>
      </c>
      <c r="H224" s="210" t="b">
        <f t="shared" si="4"/>
        <v>1</v>
      </c>
    </row>
    <row r="225" spans="1:8" ht="13.8" x14ac:dyDescent="0.25">
      <c r="A225" s="7" t="s">
        <v>1499</v>
      </c>
      <c r="B225" s="152"/>
      <c r="C225" s="151" t="s">
        <v>3910</v>
      </c>
      <c r="D225" s="152">
        <v>70</v>
      </c>
      <c r="E225" s="152" t="s">
        <v>12</v>
      </c>
      <c r="F225" s="153">
        <v>1000000</v>
      </c>
      <c r="G225" s="153">
        <f>ROUNDDOWN(D225*F225,-3)</f>
        <v>70000000</v>
      </c>
      <c r="H225" s="210" t="b">
        <f t="shared" si="4"/>
        <v>1</v>
      </c>
    </row>
    <row r="226" spans="1:8" ht="13.8" x14ac:dyDescent="0.25">
      <c r="A226" s="7" t="s">
        <v>1501</v>
      </c>
      <c r="B226" s="60">
        <v>524111</v>
      </c>
      <c r="C226" s="41" t="s">
        <v>19</v>
      </c>
      <c r="D226" s="60"/>
      <c r="E226" s="60"/>
      <c r="F226" s="42"/>
      <c r="G226" s="42">
        <f>G227</f>
        <v>246000000</v>
      </c>
      <c r="H226" s="210" t="b">
        <f t="shared" si="4"/>
        <v>1</v>
      </c>
    </row>
    <row r="227" spans="1:8" ht="13.8" x14ac:dyDescent="0.25">
      <c r="A227" s="7" t="s">
        <v>1502</v>
      </c>
      <c r="B227" s="152"/>
      <c r="C227" s="151" t="s">
        <v>3911</v>
      </c>
      <c r="D227" s="152">
        <v>39</v>
      </c>
      <c r="E227" s="152" t="s">
        <v>10</v>
      </c>
      <c r="F227" s="153">
        <v>6307694</v>
      </c>
      <c r="G227" s="153">
        <f>ROUNDDOWN(D227*F227,-3)</f>
        <v>246000000</v>
      </c>
      <c r="H227" s="210" t="b">
        <f t="shared" si="4"/>
        <v>1</v>
      </c>
    </row>
    <row r="228" spans="1:8" ht="26.4" x14ac:dyDescent="0.25">
      <c r="A228" s="7" t="s">
        <v>1504</v>
      </c>
      <c r="B228" s="59" t="s">
        <v>580</v>
      </c>
      <c r="C228" s="38" t="s">
        <v>1505</v>
      </c>
      <c r="D228" s="59"/>
      <c r="E228" s="59"/>
      <c r="F228" s="39"/>
      <c r="G228" s="39">
        <f>SUM(G229,G239,G242,G246)</f>
        <v>668000000</v>
      </c>
      <c r="H228" s="210" t="b">
        <f t="shared" si="4"/>
        <v>1</v>
      </c>
    </row>
    <row r="229" spans="1:8" ht="13.8" x14ac:dyDescent="0.25">
      <c r="A229" s="7" t="s">
        <v>1506</v>
      </c>
      <c r="B229" s="60">
        <v>521211</v>
      </c>
      <c r="C229" s="41" t="s">
        <v>7</v>
      </c>
      <c r="D229" s="60"/>
      <c r="E229" s="60"/>
      <c r="F229" s="42"/>
      <c r="G229" s="42">
        <f>SUM(G230:G238)</f>
        <v>84800000</v>
      </c>
      <c r="H229" s="210" t="b">
        <f t="shared" si="4"/>
        <v>1</v>
      </c>
    </row>
    <row r="230" spans="1:8" ht="13.8" x14ac:dyDescent="0.25">
      <c r="A230" s="7" t="s">
        <v>1507</v>
      </c>
      <c r="B230" s="152"/>
      <c r="C230" s="151" t="s">
        <v>3713</v>
      </c>
      <c r="D230" s="152">
        <v>50</v>
      </c>
      <c r="E230" s="152" t="s">
        <v>10</v>
      </c>
      <c r="F230" s="153">
        <v>75000</v>
      </c>
      <c r="G230" s="153">
        <f t="shared" ref="G230:G238" si="5">ROUNDDOWN(D230*F230,-3)</f>
        <v>3750000</v>
      </c>
      <c r="H230" s="210" t="b">
        <f t="shared" si="4"/>
        <v>1</v>
      </c>
    </row>
    <row r="231" spans="1:8" ht="13.8" x14ac:dyDescent="0.25">
      <c r="A231" s="7" t="s">
        <v>1508</v>
      </c>
      <c r="B231" s="152"/>
      <c r="C231" s="151" t="s">
        <v>3714</v>
      </c>
      <c r="D231" s="152">
        <v>2</v>
      </c>
      <c r="E231" s="152" t="s">
        <v>9</v>
      </c>
      <c r="F231" s="153">
        <v>1000000</v>
      </c>
      <c r="G231" s="153">
        <f t="shared" si="5"/>
        <v>2000000</v>
      </c>
      <c r="H231" s="210" t="b">
        <f t="shared" si="4"/>
        <v>1</v>
      </c>
    </row>
    <row r="232" spans="1:8" ht="13.8" x14ac:dyDescent="0.25">
      <c r="A232" s="7" t="s">
        <v>1509</v>
      </c>
      <c r="B232" s="152"/>
      <c r="C232" s="151" t="s">
        <v>3600</v>
      </c>
      <c r="D232" s="152">
        <v>2</v>
      </c>
      <c r="E232" s="152" t="s">
        <v>9</v>
      </c>
      <c r="F232" s="153">
        <v>1000000</v>
      </c>
      <c r="G232" s="153">
        <f t="shared" si="5"/>
        <v>2000000</v>
      </c>
      <c r="H232" s="210" t="b">
        <f t="shared" si="4"/>
        <v>1</v>
      </c>
    </row>
    <row r="233" spans="1:8" ht="13.8" x14ac:dyDescent="0.25">
      <c r="A233" s="7" t="s">
        <v>1510</v>
      </c>
      <c r="B233" s="152"/>
      <c r="C233" s="151" t="s">
        <v>3601</v>
      </c>
      <c r="D233" s="152">
        <v>2</v>
      </c>
      <c r="E233" s="152" t="s">
        <v>9</v>
      </c>
      <c r="F233" s="153">
        <v>1500000</v>
      </c>
      <c r="G233" s="153">
        <f t="shared" si="5"/>
        <v>3000000</v>
      </c>
      <c r="H233" s="210" t="b">
        <f t="shared" si="4"/>
        <v>1</v>
      </c>
    </row>
    <row r="234" spans="1:8" ht="13.8" x14ac:dyDescent="0.25">
      <c r="A234" s="7" t="s">
        <v>1511</v>
      </c>
      <c r="B234" s="152"/>
      <c r="C234" s="151" t="s">
        <v>3912</v>
      </c>
      <c r="D234" s="152">
        <v>20</v>
      </c>
      <c r="E234" s="152" t="s">
        <v>58</v>
      </c>
      <c r="F234" s="153">
        <v>450000</v>
      </c>
      <c r="G234" s="153">
        <f t="shared" si="5"/>
        <v>9000000</v>
      </c>
      <c r="H234" s="210" t="b">
        <f t="shared" si="4"/>
        <v>1</v>
      </c>
    </row>
    <row r="235" spans="1:8" ht="13.8" x14ac:dyDescent="0.25">
      <c r="A235" s="7" t="s">
        <v>1513</v>
      </c>
      <c r="B235" s="152"/>
      <c r="C235" s="151" t="s">
        <v>3913</v>
      </c>
      <c r="D235" s="152">
        <v>20</v>
      </c>
      <c r="E235" s="152" t="s">
        <v>58</v>
      </c>
      <c r="F235" s="153">
        <v>450000</v>
      </c>
      <c r="G235" s="153">
        <f t="shared" si="5"/>
        <v>9000000</v>
      </c>
      <c r="H235" s="210" t="b">
        <f t="shared" si="4"/>
        <v>1</v>
      </c>
    </row>
    <row r="236" spans="1:8" ht="13.8" x14ac:dyDescent="0.25">
      <c r="A236" s="7" t="s">
        <v>1515</v>
      </c>
      <c r="B236" s="152"/>
      <c r="C236" s="151" t="s">
        <v>3914</v>
      </c>
      <c r="D236" s="152">
        <v>1</v>
      </c>
      <c r="E236" s="152" t="s">
        <v>23</v>
      </c>
      <c r="F236" s="153">
        <v>27575000</v>
      </c>
      <c r="G236" s="153">
        <f t="shared" si="5"/>
        <v>27575000</v>
      </c>
      <c r="H236" s="210" t="b">
        <f t="shared" si="4"/>
        <v>1</v>
      </c>
    </row>
    <row r="237" spans="1:8" ht="13.8" x14ac:dyDescent="0.25">
      <c r="A237" s="7" t="s">
        <v>1517</v>
      </c>
      <c r="B237" s="152"/>
      <c r="C237" s="151" t="s">
        <v>3915</v>
      </c>
      <c r="D237" s="152">
        <v>1</v>
      </c>
      <c r="E237" s="152" t="s">
        <v>23</v>
      </c>
      <c r="F237" s="153">
        <v>27575000</v>
      </c>
      <c r="G237" s="153">
        <f t="shared" si="5"/>
        <v>27575000</v>
      </c>
      <c r="H237" s="210" t="b">
        <f t="shared" si="4"/>
        <v>1</v>
      </c>
    </row>
    <row r="238" spans="1:8" ht="13.8" x14ac:dyDescent="0.25">
      <c r="A238" s="7" t="s">
        <v>1519</v>
      </c>
      <c r="B238" s="152"/>
      <c r="C238" s="151" t="s">
        <v>3916</v>
      </c>
      <c r="D238" s="152">
        <v>3</v>
      </c>
      <c r="E238" s="152" t="s">
        <v>58</v>
      </c>
      <c r="F238" s="153">
        <v>300000</v>
      </c>
      <c r="G238" s="153">
        <f t="shared" si="5"/>
        <v>900000</v>
      </c>
      <c r="H238" s="210" t="b">
        <f t="shared" si="4"/>
        <v>1</v>
      </c>
    </row>
    <row r="239" spans="1:8" ht="13.8" x14ac:dyDescent="0.25">
      <c r="A239" s="7" t="s">
        <v>1521</v>
      </c>
      <c r="B239" s="60">
        <v>521219</v>
      </c>
      <c r="C239" s="41" t="s">
        <v>53</v>
      </c>
      <c r="D239" s="60"/>
      <c r="E239" s="60"/>
      <c r="F239" s="42"/>
      <c r="G239" s="42">
        <f>SUM(G240:G241)</f>
        <v>393200000</v>
      </c>
      <c r="H239" s="210" t="b">
        <f t="shared" si="4"/>
        <v>1</v>
      </c>
    </row>
    <row r="240" spans="1:8" ht="13.8" x14ac:dyDescent="0.25">
      <c r="A240" s="7" t="s">
        <v>1522</v>
      </c>
      <c r="B240" s="152"/>
      <c r="C240" s="151" t="s">
        <v>3917</v>
      </c>
      <c r="D240" s="152">
        <v>1</v>
      </c>
      <c r="E240" s="152" t="s">
        <v>66</v>
      </c>
      <c r="F240" s="153">
        <v>196600000</v>
      </c>
      <c r="G240" s="153">
        <f>ROUNDDOWN(D240*F240,-3)</f>
        <v>196600000</v>
      </c>
      <c r="H240" s="210" t="b">
        <f t="shared" si="4"/>
        <v>1</v>
      </c>
    </row>
    <row r="241" spans="1:8" ht="13.8" x14ac:dyDescent="0.25">
      <c r="A241" s="7" t="s">
        <v>1524</v>
      </c>
      <c r="B241" s="152"/>
      <c r="C241" s="151" t="s">
        <v>3918</v>
      </c>
      <c r="D241" s="152">
        <v>1</v>
      </c>
      <c r="E241" s="152" t="s">
        <v>66</v>
      </c>
      <c r="F241" s="153">
        <v>196600000</v>
      </c>
      <c r="G241" s="153">
        <f>ROUNDDOWN(D241*F241,-3)</f>
        <v>196600000</v>
      </c>
      <c r="H241" s="210" t="b">
        <f t="shared" si="4"/>
        <v>1</v>
      </c>
    </row>
    <row r="242" spans="1:8" ht="13.8" x14ac:dyDescent="0.25">
      <c r="A242" s="7" t="s">
        <v>1526</v>
      </c>
      <c r="B242" s="60">
        <v>522141</v>
      </c>
      <c r="C242" s="41" t="s">
        <v>95</v>
      </c>
      <c r="D242" s="60"/>
      <c r="E242" s="60"/>
      <c r="F242" s="42"/>
      <c r="G242" s="42">
        <f>SUM(G243:G245)</f>
        <v>160000000</v>
      </c>
      <c r="H242" s="210" t="b">
        <f t="shared" si="4"/>
        <v>1</v>
      </c>
    </row>
    <row r="243" spans="1:8" ht="13.8" x14ac:dyDescent="0.25">
      <c r="A243" s="7" t="s">
        <v>1527</v>
      </c>
      <c r="B243" s="152"/>
      <c r="C243" s="151" t="s">
        <v>3919</v>
      </c>
      <c r="D243" s="152">
        <v>2</v>
      </c>
      <c r="E243" s="152" t="s">
        <v>23</v>
      </c>
      <c r="F243" s="153">
        <v>50000000</v>
      </c>
      <c r="G243" s="153">
        <f>ROUNDDOWN(D243*F243,-3)</f>
        <v>100000000</v>
      </c>
      <c r="H243" s="210" t="b">
        <f t="shared" si="4"/>
        <v>1</v>
      </c>
    </row>
    <row r="244" spans="1:8" ht="13.8" x14ac:dyDescent="0.25">
      <c r="A244" s="7" t="s">
        <v>1529</v>
      </c>
      <c r="B244" s="152"/>
      <c r="C244" s="151" t="s">
        <v>3920</v>
      </c>
      <c r="D244" s="152">
        <v>2</v>
      </c>
      <c r="E244" s="152" t="s">
        <v>23</v>
      </c>
      <c r="F244" s="153">
        <v>10000000</v>
      </c>
      <c r="G244" s="153">
        <f>ROUNDDOWN(D244*F244,-3)</f>
        <v>20000000</v>
      </c>
      <c r="H244" s="210" t="b">
        <f t="shared" si="4"/>
        <v>1</v>
      </c>
    </row>
    <row r="245" spans="1:8" ht="13.8" x14ac:dyDescent="0.25">
      <c r="A245" s="7" t="s">
        <v>1531</v>
      </c>
      <c r="B245" s="152"/>
      <c r="C245" s="151" t="s">
        <v>3921</v>
      </c>
      <c r="D245" s="152">
        <v>4</v>
      </c>
      <c r="E245" s="152" t="s">
        <v>23</v>
      </c>
      <c r="F245" s="153">
        <v>10000000</v>
      </c>
      <c r="G245" s="153">
        <f>ROUNDDOWN(D245*F245,-3)</f>
        <v>40000000</v>
      </c>
      <c r="H245" s="210" t="b">
        <f t="shared" si="4"/>
        <v>1</v>
      </c>
    </row>
    <row r="246" spans="1:8" ht="13.8" x14ac:dyDescent="0.25">
      <c r="A246" s="7" t="s">
        <v>1533</v>
      </c>
      <c r="B246" s="60">
        <v>524111</v>
      </c>
      <c r="C246" s="41" t="s">
        <v>19</v>
      </c>
      <c r="D246" s="60"/>
      <c r="E246" s="60"/>
      <c r="F246" s="42"/>
      <c r="G246" s="42">
        <f>G247</f>
        <v>30000000</v>
      </c>
      <c r="H246" s="210" t="b">
        <f t="shared" si="4"/>
        <v>1</v>
      </c>
    </row>
    <row r="247" spans="1:8" ht="26.4" x14ac:dyDescent="0.25">
      <c r="A247" s="7" t="s">
        <v>1534</v>
      </c>
      <c r="B247" s="152"/>
      <c r="C247" s="151" t="s">
        <v>3922</v>
      </c>
      <c r="D247" s="152">
        <v>12</v>
      </c>
      <c r="E247" s="152" t="s">
        <v>10</v>
      </c>
      <c r="F247" s="153">
        <v>2500000</v>
      </c>
      <c r="G247" s="153">
        <f>ROUNDDOWN(D247*F247,-3)</f>
        <v>30000000</v>
      </c>
      <c r="H247" s="210" t="b">
        <f t="shared" si="4"/>
        <v>1</v>
      </c>
    </row>
    <row r="248" spans="1:8" ht="26.4" x14ac:dyDescent="0.25">
      <c r="A248" s="7" t="s">
        <v>1536</v>
      </c>
      <c r="B248" s="59" t="s">
        <v>581</v>
      </c>
      <c r="C248" s="38" t="s">
        <v>1537</v>
      </c>
      <c r="D248" s="59"/>
      <c r="E248" s="59"/>
      <c r="F248" s="39"/>
      <c r="G248" s="39">
        <f>SUM(G249,G257,G259,G261)</f>
        <v>82000000</v>
      </c>
      <c r="H248" s="210" t="b">
        <f t="shared" si="4"/>
        <v>1</v>
      </c>
    </row>
    <row r="249" spans="1:8" ht="13.8" x14ac:dyDescent="0.25">
      <c r="A249" s="7" t="s">
        <v>1538</v>
      </c>
      <c r="B249" s="60">
        <v>521211</v>
      </c>
      <c r="C249" s="41" t="s">
        <v>7</v>
      </c>
      <c r="D249" s="60"/>
      <c r="E249" s="60"/>
      <c r="F249" s="42"/>
      <c r="G249" s="42">
        <f>SUM(G250:G256)</f>
        <v>17550000</v>
      </c>
      <c r="H249" s="210" t="b">
        <f t="shared" si="4"/>
        <v>1</v>
      </c>
    </row>
    <row r="250" spans="1:8" ht="13.8" x14ac:dyDescent="0.25">
      <c r="A250" s="7" t="s">
        <v>1539</v>
      </c>
      <c r="B250" s="152"/>
      <c r="C250" s="151" t="s">
        <v>3713</v>
      </c>
      <c r="D250" s="152">
        <v>20</v>
      </c>
      <c r="E250" s="152" t="s">
        <v>10</v>
      </c>
      <c r="F250" s="153">
        <v>75000</v>
      </c>
      <c r="G250" s="153">
        <f t="shared" ref="G250:G256" si="6">ROUNDDOWN(D250*F250,-3)</f>
        <v>1500000</v>
      </c>
      <c r="H250" s="210" t="b">
        <f t="shared" si="4"/>
        <v>1</v>
      </c>
    </row>
    <row r="251" spans="1:8" ht="13.8" x14ac:dyDescent="0.25">
      <c r="A251" s="7" t="s">
        <v>1540</v>
      </c>
      <c r="B251" s="152"/>
      <c r="C251" s="151" t="s">
        <v>3714</v>
      </c>
      <c r="D251" s="152">
        <v>2</v>
      </c>
      <c r="E251" s="152" t="s">
        <v>9</v>
      </c>
      <c r="F251" s="153">
        <v>1000000</v>
      </c>
      <c r="G251" s="153">
        <f t="shared" si="6"/>
        <v>2000000</v>
      </c>
      <c r="H251" s="210" t="b">
        <f t="shared" si="4"/>
        <v>1</v>
      </c>
    </row>
    <row r="252" spans="1:8" ht="13.8" x14ac:dyDescent="0.25">
      <c r="A252" s="7" t="s">
        <v>1541</v>
      </c>
      <c r="B252" s="152"/>
      <c r="C252" s="151" t="s">
        <v>3600</v>
      </c>
      <c r="D252" s="152">
        <v>2</v>
      </c>
      <c r="E252" s="152" t="s">
        <v>9</v>
      </c>
      <c r="F252" s="153">
        <v>1000000</v>
      </c>
      <c r="G252" s="153">
        <f t="shared" si="6"/>
        <v>2000000</v>
      </c>
      <c r="H252" s="210" t="b">
        <f t="shared" si="4"/>
        <v>1</v>
      </c>
    </row>
    <row r="253" spans="1:8" ht="13.8" x14ac:dyDescent="0.25">
      <c r="A253" s="7" t="s">
        <v>1542</v>
      </c>
      <c r="B253" s="152"/>
      <c r="C253" s="151" t="s">
        <v>3601</v>
      </c>
      <c r="D253" s="152">
        <v>2</v>
      </c>
      <c r="E253" s="152" t="s">
        <v>9</v>
      </c>
      <c r="F253" s="153">
        <v>1500000</v>
      </c>
      <c r="G253" s="153">
        <f t="shared" si="6"/>
        <v>3000000</v>
      </c>
      <c r="H253" s="210" t="b">
        <f t="shared" si="4"/>
        <v>1</v>
      </c>
    </row>
    <row r="254" spans="1:8" ht="13.8" x14ac:dyDescent="0.25">
      <c r="A254" s="7" t="s">
        <v>1543</v>
      </c>
      <c r="B254" s="152"/>
      <c r="C254" s="151" t="s">
        <v>3923</v>
      </c>
      <c r="D254" s="152">
        <v>10</v>
      </c>
      <c r="E254" s="152" t="s">
        <v>58</v>
      </c>
      <c r="F254" s="153">
        <v>250000</v>
      </c>
      <c r="G254" s="153">
        <f t="shared" si="6"/>
        <v>2500000</v>
      </c>
      <c r="H254" s="210" t="b">
        <f t="shared" si="4"/>
        <v>1</v>
      </c>
    </row>
    <row r="255" spans="1:8" ht="13.8" x14ac:dyDescent="0.25">
      <c r="A255" s="7" t="s">
        <v>1545</v>
      </c>
      <c r="B255" s="152"/>
      <c r="C255" s="151" t="s">
        <v>3924</v>
      </c>
      <c r="D255" s="152">
        <v>500</v>
      </c>
      <c r="E255" s="152" t="s">
        <v>58</v>
      </c>
      <c r="F255" s="153">
        <v>6000</v>
      </c>
      <c r="G255" s="153">
        <f t="shared" si="6"/>
        <v>3000000</v>
      </c>
      <c r="H255" s="210" t="b">
        <f t="shared" si="4"/>
        <v>1</v>
      </c>
    </row>
    <row r="256" spans="1:8" ht="13.8" x14ac:dyDescent="0.25">
      <c r="A256" s="7" t="s">
        <v>1547</v>
      </c>
      <c r="B256" s="152"/>
      <c r="C256" s="151" t="s">
        <v>3925</v>
      </c>
      <c r="D256" s="152">
        <v>100</v>
      </c>
      <c r="E256" s="152" t="s">
        <v>58</v>
      </c>
      <c r="F256" s="153">
        <v>35500</v>
      </c>
      <c r="G256" s="153">
        <f t="shared" si="6"/>
        <v>3550000</v>
      </c>
      <c r="H256" s="210" t="b">
        <f t="shared" si="4"/>
        <v>1</v>
      </c>
    </row>
    <row r="257" spans="1:8" ht="13.8" x14ac:dyDescent="0.25">
      <c r="A257" s="7" t="s">
        <v>1549</v>
      </c>
      <c r="B257" s="60">
        <v>521219</v>
      </c>
      <c r="C257" s="41" t="s">
        <v>53</v>
      </c>
      <c r="D257" s="60"/>
      <c r="E257" s="60"/>
      <c r="F257" s="42"/>
      <c r="G257" s="42">
        <f>G258</f>
        <v>3000000</v>
      </c>
      <c r="H257" s="210" t="b">
        <f t="shared" si="4"/>
        <v>1</v>
      </c>
    </row>
    <row r="258" spans="1:8" ht="13.8" x14ac:dyDescent="0.25">
      <c r="A258" s="7" t="s">
        <v>1550</v>
      </c>
      <c r="B258" s="152"/>
      <c r="C258" s="151" t="s">
        <v>3722</v>
      </c>
      <c r="D258" s="152">
        <v>12</v>
      </c>
      <c r="E258" s="152" t="s">
        <v>66</v>
      </c>
      <c r="F258" s="153">
        <v>250000</v>
      </c>
      <c r="G258" s="153">
        <f>ROUNDDOWN(D258*F258,-3)</f>
        <v>3000000</v>
      </c>
      <c r="H258" s="210" t="b">
        <f t="shared" si="4"/>
        <v>1</v>
      </c>
    </row>
    <row r="259" spans="1:8" ht="13.8" x14ac:dyDescent="0.25">
      <c r="A259" s="7" t="s">
        <v>1551</v>
      </c>
      <c r="B259" s="60">
        <v>522151</v>
      </c>
      <c r="C259" s="41" t="s">
        <v>11</v>
      </c>
      <c r="D259" s="60"/>
      <c r="E259" s="60"/>
      <c r="F259" s="42"/>
      <c r="G259" s="42">
        <f>G260</f>
        <v>40000000</v>
      </c>
      <c r="H259" s="210" t="b">
        <f t="shared" si="4"/>
        <v>1</v>
      </c>
    </row>
    <row r="260" spans="1:8" ht="13.8" x14ac:dyDescent="0.25">
      <c r="A260" s="7" t="s">
        <v>1552</v>
      </c>
      <c r="B260" s="152"/>
      <c r="C260" s="151" t="s">
        <v>3910</v>
      </c>
      <c r="D260" s="152">
        <v>40</v>
      </c>
      <c r="E260" s="152" t="s">
        <v>54</v>
      </c>
      <c r="F260" s="153">
        <v>1000000</v>
      </c>
      <c r="G260" s="153">
        <f>ROUNDDOWN(D260*F260,-3)</f>
        <v>40000000</v>
      </c>
      <c r="H260" s="210" t="b">
        <f t="shared" si="4"/>
        <v>1</v>
      </c>
    </row>
    <row r="261" spans="1:8" ht="13.8" x14ac:dyDescent="0.25">
      <c r="A261" s="7" t="s">
        <v>1553</v>
      </c>
      <c r="B261" s="60">
        <v>524111</v>
      </c>
      <c r="C261" s="41" t="s">
        <v>19</v>
      </c>
      <c r="D261" s="60"/>
      <c r="E261" s="60"/>
      <c r="F261" s="42"/>
      <c r="G261" s="42">
        <f>G262</f>
        <v>21450000</v>
      </c>
      <c r="H261" s="210" t="b">
        <f t="shared" si="4"/>
        <v>1</v>
      </c>
    </row>
    <row r="262" spans="1:8" ht="26.4" x14ac:dyDescent="0.25">
      <c r="A262" s="7" t="s">
        <v>1554</v>
      </c>
      <c r="B262" s="152"/>
      <c r="C262" s="151" t="s">
        <v>3926</v>
      </c>
      <c r="D262" s="152">
        <v>10</v>
      </c>
      <c r="E262" s="152" t="s">
        <v>10</v>
      </c>
      <c r="F262" s="153">
        <v>2145000</v>
      </c>
      <c r="G262" s="153">
        <f>ROUNDDOWN(D262*F262,-3)</f>
        <v>21450000</v>
      </c>
      <c r="H262" s="210" t="b">
        <f t="shared" si="4"/>
        <v>1</v>
      </c>
    </row>
    <row r="263" spans="1:8" ht="13.8" x14ac:dyDescent="0.25">
      <c r="A263" s="7" t="s">
        <v>1699</v>
      </c>
      <c r="B263" s="138" t="s">
        <v>3986</v>
      </c>
      <c r="C263" s="137" t="s">
        <v>1701</v>
      </c>
      <c r="D263" s="138">
        <v>1</v>
      </c>
      <c r="E263" s="138" t="s">
        <v>3740</v>
      </c>
      <c r="F263" s="139"/>
      <c r="G263" s="139">
        <f>SUM(G264,G307)</f>
        <v>8674654000</v>
      </c>
      <c r="H263" s="210" t="b">
        <f t="shared" si="4"/>
        <v>1</v>
      </c>
    </row>
    <row r="264" spans="1:8" ht="13.8" x14ac:dyDescent="0.25">
      <c r="A264" s="7" t="s">
        <v>1702</v>
      </c>
      <c r="B264" s="58" t="s">
        <v>501</v>
      </c>
      <c r="C264" s="35" t="s">
        <v>76</v>
      </c>
      <c r="D264" s="58"/>
      <c r="E264" s="58"/>
      <c r="F264" s="36"/>
      <c r="G264" s="36">
        <f>SUM(G265,G304)</f>
        <v>6478996000</v>
      </c>
      <c r="H264" s="210" t="b">
        <f t="shared" si="4"/>
        <v>1</v>
      </c>
    </row>
    <row r="265" spans="1:8" ht="13.8" x14ac:dyDescent="0.25">
      <c r="A265" s="7" t="s">
        <v>1806</v>
      </c>
      <c r="B265" s="59" t="s">
        <v>1807</v>
      </c>
      <c r="C265" s="38" t="s">
        <v>1808</v>
      </c>
      <c r="D265" s="59"/>
      <c r="E265" s="59"/>
      <c r="F265" s="39"/>
      <c r="G265" s="39">
        <f>SUM(G266,G270,G274,G278,G282,G286,G290,G294,G296,G298,G302)</f>
        <v>6155047000</v>
      </c>
      <c r="H265" s="210" t="b">
        <f t="shared" si="4"/>
        <v>1</v>
      </c>
    </row>
    <row r="266" spans="1:8" ht="13.8" x14ac:dyDescent="0.25">
      <c r="A266" s="7" t="s">
        <v>1809</v>
      </c>
      <c r="B266" s="60">
        <v>511111</v>
      </c>
      <c r="C266" s="41" t="s">
        <v>77</v>
      </c>
      <c r="D266" s="60"/>
      <c r="E266" s="60"/>
      <c r="F266" s="42"/>
      <c r="G266" s="42">
        <f>SUM(G267:G269)</f>
        <v>2483477000</v>
      </c>
      <c r="H266" s="210" t="b">
        <f t="shared" si="4"/>
        <v>1</v>
      </c>
    </row>
    <row r="267" spans="1:8" ht="13.8" x14ac:dyDescent="0.25">
      <c r="A267" s="7" t="s">
        <v>1810</v>
      </c>
      <c r="B267" s="152"/>
      <c r="C267" s="151" t="s">
        <v>3987</v>
      </c>
      <c r="D267" s="152">
        <v>1</v>
      </c>
      <c r="E267" s="152" t="s">
        <v>97</v>
      </c>
      <c r="F267" s="153">
        <v>180000000</v>
      </c>
      <c r="G267" s="153">
        <f>ROUNDDOWN(D267*F267,-3)</f>
        <v>180000000</v>
      </c>
      <c r="H267" s="210" t="b">
        <f t="shared" si="4"/>
        <v>1</v>
      </c>
    </row>
    <row r="268" spans="1:8" ht="13.8" x14ac:dyDescent="0.25">
      <c r="A268" s="7" t="s">
        <v>1811</v>
      </c>
      <c r="B268" s="152"/>
      <c r="C268" s="151" t="s">
        <v>3988</v>
      </c>
      <c r="D268" s="152">
        <v>1</v>
      </c>
      <c r="E268" s="152" t="s">
        <v>60</v>
      </c>
      <c r="F268" s="153">
        <v>2123477000</v>
      </c>
      <c r="G268" s="153">
        <f>ROUNDDOWN(D268*F268,-3)</f>
        <v>2123477000</v>
      </c>
      <c r="H268" s="210" t="b">
        <f t="shared" si="4"/>
        <v>1</v>
      </c>
    </row>
    <row r="269" spans="1:8" ht="13.8" x14ac:dyDescent="0.25">
      <c r="A269" s="7" t="s">
        <v>1812</v>
      </c>
      <c r="B269" s="152"/>
      <c r="C269" s="151" t="s">
        <v>3989</v>
      </c>
      <c r="D269" s="152">
        <v>1</v>
      </c>
      <c r="E269" s="152" t="s">
        <v>97</v>
      </c>
      <c r="F269" s="153">
        <v>180000000</v>
      </c>
      <c r="G269" s="153">
        <f>ROUNDDOWN(D269*F269,-3)</f>
        <v>180000000</v>
      </c>
      <c r="H269" s="210" t="b">
        <f t="shared" ref="H269:H332" si="7">_xlfn.ISFORMULA(G269)</f>
        <v>1</v>
      </c>
    </row>
    <row r="270" spans="1:8" ht="13.8" x14ac:dyDescent="0.25">
      <c r="A270" s="7" t="s">
        <v>1813</v>
      </c>
      <c r="B270" s="60">
        <v>511119</v>
      </c>
      <c r="C270" s="41" t="s">
        <v>79</v>
      </c>
      <c r="D270" s="60"/>
      <c r="E270" s="60"/>
      <c r="F270" s="42"/>
      <c r="G270" s="42">
        <f>SUM(G271:G273)</f>
        <v>38000</v>
      </c>
      <c r="H270" s="210" t="b">
        <f t="shared" si="7"/>
        <v>1</v>
      </c>
    </row>
    <row r="271" spans="1:8" ht="13.8" x14ac:dyDescent="0.25">
      <c r="A271" s="7" t="s">
        <v>1814</v>
      </c>
      <c r="B271" s="152"/>
      <c r="C271" s="151" t="s">
        <v>3990</v>
      </c>
      <c r="D271" s="152">
        <v>1</v>
      </c>
      <c r="E271" s="152" t="s">
        <v>97</v>
      </c>
      <c r="F271" s="153">
        <v>3000</v>
      </c>
      <c r="G271" s="153">
        <f>ROUNDDOWN(D271*F271,-3)</f>
        <v>3000</v>
      </c>
      <c r="H271" s="210" t="b">
        <f t="shared" si="7"/>
        <v>1</v>
      </c>
    </row>
    <row r="272" spans="1:8" ht="13.8" x14ac:dyDescent="0.25">
      <c r="A272" s="7" t="s">
        <v>1815</v>
      </c>
      <c r="B272" s="152"/>
      <c r="C272" s="151" t="s">
        <v>3991</v>
      </c>
      <c r="D272" s="152">
        <v>1</v>
      </c>
      <c r="E272" s="152" t="s">
        <v>153</v>
      </c>
      <c r="F272" s="153">
        <v>32000</v>
      </c>
      <c r="G272" s="153">
        <f>ROUNDDOWN(D272*F272,-3)</f>
        <v>32000</v>
      </c>
      <c r="H272" s="210" t="b">
        <f t="shared" si="7"/>
        <v>1</v>
      </c>
    </row>
    <row r="273" spans="1:8" ht="13.8" x14ac:dyDescent="0.25">
      <c r="A273" s="7" t="s">
        <v>1816</v>
      </c>
      <c r="B273" s="152"/>
      <c r="C273" s="151" t="s">
        <v>3992</v>
      </c>
      <c r="D273" s="152">
        <v>1</v>
      </c>
      <c r="E273" s="152" t="s">
        <v>97</v>
      </c>
      <c r="F273" s="153">
        <v>3000</v>
      </c>
      <c r="G273" s="153">
        <f>ROUNDDOWN(D273*F273,-3)</f>
        <v>3000</v>
      </c>
      <c r="H273" s="210" t="b">
        <f t="shared" si="7"/>
        <v>1</v>
      </c>
    </row>
    <row r="274" spans="1:8" ht="13.8" x14ac:dyDescent="0.25">
      <c r="A274" s="7" t="s">
        <v>1817</v>
      </c>
      <c r="B274" s="60">
        <v>511121</v>
      </c>
      <c r="C274" s="41" t="s">
        <v>80</v>
      </c>
      <c r="D274" s="60"/>
      <c r="E274" s="60"/>
      <c r="F274" s="42"/>
      <c r="G274" s="42">
        <f>SUM(G275:G277)</f>
        <v>171959000</v>
      </c>
      <c r="H274" s="210" t="b">
        <f t="shared" si="7"/>
        <v>1</v>
      </c>
    </row>
    <row r="275" spans="1:8" ht="13.8" x14ac:dyDescent="0.25">
      <c r="A275" s="7" t="s">
        <v>1818</v>
      </c>
      <c r="B275" s="152"/>
      <c r="C275" s="151" t="s">
        <v>3993</v>
      </c>
      <c r="D275" s="152">
        <v>1</v>
      </c>
      <c r="E275" s="152" t="s">
        <v>153</v>
      </c>
      <c r="F275" s="153">
        <v>147267000</v>
      </c>
      <c r="G275" s="153">
        <f>ROUNDDOWN(D275*F275,-3)</f>
        <v>147267000</v>
      </c>
      <c r="H275" s="210" t="b">
        <f t="shared" si="7"/>
        <v>1</v>
      </c>
    </row>
    <row r="276" spans="1:8" ht="13.8" x14ac:dyDescent="0.25">
      <c r="A276" s="7" t="s">
        <v>1819</v>
      </c>
      <c r="B276" s="152"/>
      <c r="C276" s="151" t="s">
        <v>3994</v>
      </c>
      <c r="D276" s="152">
        <v>1</v>
      </c>
      <c r="E276" s="152" t="s">
        <v>97</v>
      </c>
      <c r="F276" s="153">
        <v>12494000</v>
      </c>
      <c r="G276" s="153">
        <f>ROUNDDOWN(D276*F276,-3)</f>
        <v>12494000</v>
      </c>
      <c r="H276" s="210" t="b">
        <f t="shared" si="7"/>
        <v>1</v>
      </c>
    </row>
    <row r="277" spans="1:8" ht="13.8" x14ac:dyDescent="0.25">
      <c r="A277" s="7" t="s">
        <v>1820</v>
      </c>
      <c r="B277" s="152"/>
      <c r="C277" s="151" t="s">
        <v>3995</v>
      </c>
      <c r="D277" s="152">
        <v>1</v>
      </c>
      <c r="E277" s="152" t="s">
        <v>97</v>
      </c>
      <c r="F277" s="153">
        <v>12198000</v>
      </c>
      <c r="G277" s="153">
        <f>ROUNDDOWN(D277*F277,-3)</f>
        <v>12198000</v>
      </c>
      <c r="H277" s="210" t="b">
        <f t="shared" si="7"/>
        <v>1</v>
      </c>
    </row>
    <row r="278" spans="1:8" ht="13.8" x14ac:dyDescent="0.25">
      <c r="A278" s="7" t="s">
        <v>1821</v>
      </c>
      <c r="B278" s="60">
        <v>511122</v>
      </c>
      <c r="C278" s="41" t="s">
        <v>81</v>
      </c>
      <c r="D278" s="60"/>
      <c r="E278" s="60"/>
      <c r="F278" s="42"/>
      <c r="G278" s="42">
        <f>SUM(G279:G281)</f>
        <v>46700000</v>
      </c>
      <c r="H278" s="210" t="b">
        <f t="shared" si="7"/>
        <v>1</v>
      </c>
    </row>
    <row r="279" spans="1:8" ht="13.8" x14ac:dyDescent="0.25">
      <c r="A279" s="7" t="s">
        <v>1822</v>
      </c>
      <c r="B279" s="152"/>
      <c r="C279" s="151" t="s">
        <v>3996</v>
      </c>
      <c r="D279" s="152">
        <v>1</v>
      </c>
      <c r="E279" s="152" t="s">
        <v>97</v>
      </c>
      <c r="F279" s="153">
        <v>3282000</v>
      </c>
      <c r="G279" s="153">
        <f>ROUNDDOWN(D279*F279,-3)</f>
        <v>3282000</v>
      </c>
      <c r="H279" s="210" t="b">
        <f t="shared" si="7"/>
        <v>1</v>
      </c>
    </row>
    <row r="280" spans="1:8" ht="13.8" x14ac:dyDescent="0.25">
      <c r="A280" s="7" t="s">
        <v>1823</v>
      </c>
      <c r="B280" s="152"/>
      <c r="C280" s="151" t="s">
        <v>3997</v>
      </c>
      <c r="D280" s="152">
        <v>1</v>
      </c>
      <c r="E280" s="152" t="s">
        <v>153</v>
      </c>
      <c r="F280" s="153">
        <v>40080000</v>
      </c>
      <c r="G280" s="153">
        <f>ROUNDDOWN(D280*F280,-3)</f>
        <v>40080000</v>
      </c>
      <c r="H280" s="210" t="b">
        <f t="shared" si="7"/>
        <v>1</v>
      </c>
    </row>
    <row r="281" spans="1:8" ht="13.8" x14ac:dyDescent="0.25">
      <c r="A281" s="7" t="s">
        <v>1824</v>
      </c>
      <c r="B281" s="152"/>
      <c r="C281" s="151" t="s">
        <v>3998</v>
      </c>
      <c r="D281" s="152">
        <v>1</v>
      </c>
      <c r="E281" s="152" t="s">
        <v>97</v>
      </c>
      <c r="F281" s="153">
        <v>3338000</v>
      </c>
      <c r="G281" s="153">
        <f>ROUNDDOWN(D281*F281,-3)</f>
        <v>3338000</v>
      </c>
      <c r="H281" s="210" t="b">
        <f t="shared" si="7"/>
        <v>1</v>
      </c>
    </row>
    <row r="282" spans="1:8" ht="13.8" x14ac:dyDescent="0.25">
      <c r="A282" s="7" t="s">
        <v>1825</v>
      </c>
      <c r="B282" s="60">
        <v>511123</v>
      </c>
      <c r="C282" s="41" t="s">
        <v>82</v>
      </c>
      <c r="D282" s="60"/>
      <c r="E282" s="60"/>
      <c r="F282" s="42"/>
      <c r="G282" s="42">
        <f>SUM(G283:G285)</f>
        <v>158000000</v>
      </c>
      <c r="H282" s="210" t="b">
        <f t="shared" si="7"/>
        <v>1</v>
      </c>
    </row>
    <row r="283" spans="1:8" ht="13.8" x14ac:dyDescent="0.25">
      <c r="A283" s="7" t="s">
        <v>1826</v>
      </c>
      <c r="B283" s="152"/>
      <c r="C283" s="151" t="s">
        <v>3999</v>
      </c>
      <c r="D283" s="152">
        <v>1</v>
      </c>
      <c r="E283" s="152" t="s">
        <v>97</v>
      </c>
      <c r="F283" s="153">
        <v>12070000</v>
      </c>
      <c r="G283" s="153">
        <f>ROUNDDOWN(D283*F283,-3)</f>
        <v>12070000</v>
      </c>
      <c r="H283" s="210" t="b">
        <f t="shared" si="7"/>
        <v>1</v>
      </c>
    </row>
    <row r="284" spans="1:8" ht="13.8" x14ac:dyDescent="0.25">
      <c r="A284" s="7" t="s">
        <v>1827</v>
      </c>
      <c r="B284" s="152"/>
      <c r="C284" s="151" t="s">
        <v>4000</v>
      </c>
      <c r="D284" s="152">
        <v>1</v>
      </c>
      <c r="E284" s="152" t="s">
        <v>60</v>
      </c>
      <c r="F284" s="153">
        <v>133860000</v>
      </c>
      <c r="G284" s="153">
        <f>ROUNDDOWN(D284*F284,-3)</f>
        <v>133860000</v>
      </c>
      <c r="H284" s="210" t="b">
        <f t="shared" si="7"/>
        <v>1</v>
      </c>
    </row>
    <row r="285" spans="1:8" ht="13.8" x14ac:dyDescent="0.25">
      <c r="A285" s="7" t="s">
        <v>1828</v>
      </c>
      <c r="B285" s="152"/>
      <c r="C285" s="151" t="s">
        <v>4001</v>
      </c>
      <c r="D285" s="152">
        <v>1</v>
      </c>
      <c r="E285" s="152" t="s">
        <v>97</v>
      </c>
      <c r="F285" s="153">
        <v>12070000</v>
      </c>
      <c r="G285" s="153">
        <f>ROUNDDOWN(D285*F285,-3)</f>
        <v>12070000</v>
      </c>
      <c r="H285" s="210" t="b">
        <f t="shared" si="7"/>
        <v>1</v>
      </c>
    </row>
    <row r="286" spans="1:8" ht="13.8" x14ac:dyDescent="0.25">
      <c r="A286" s="7" t="s">
        <v>1829</v>
      </c>
      <c r="B286" s="60">
        <v>511124</v>
      </c>
      <c r="C286" s="41" t="s">
        <v>83</v>
      </c>
      <c r="D286" s="60"/>
      <c r="E286" s="60"/>
      <c r="F286" s="42"/>
      <c r="G286" s="42">
        <f>SUM(G287:G289)</f>
        <v>48180000</v>
      </c>
      <c r="H286" s="210" t="b">
        <f t="shared" si="7"/>
        <v>1</v>
      </c>
    </row>
    <row r="287" spans="1:8" ht="13.8" x14ac:dyDescent="0.25">
      <c r="A287" s="7" t="s">
        <v>1830</v>
      </c>
      <c r="B287" s="152"/>
      <c r="C287" s="151" t="s">
        <v>4002</v>
      </c>
      <c r="D287" s="152">
        <v>1</v>
      </c>
      <c r="E287" s="152" t="s">
        <v>97</v>
      </c>
      <c r="F287" s="153">
        <v>2000000</v>
      </c>
      <c r="G287" s="153">
        <f>ROUNDDOWN(D287*F287,-3)</f>
        <v>2000000</v>
      </c>
      <c r="H287" s="210" t="b">
        <f t="shared" si="7"/>
        <v>1</v>
      </c>
    </row>
    <row r="288" spans="1:8" ht="13.8" x14ac:dyDescent="0.25">
      <c r="A288" s="7" t="s">
        <v>1831</v>
      </c>
      <c r="B288" s="152"/>
      <c r="C288" s="151" t="s">
        <v>4003</v>
      </c>
      <c r="D288" s="152">
        <v>1</v>
      </c>
      <c r="E288" s="152" t="s">
        <v>60</v>
      </c>
      <c r="F288" s="153">
        <v>44180000</v>
      </c>
      <c r="G288" s="153">
        <f>ROUNDDOWN(D288*F288,-3)</f>
        <v>44180000</v>
      </c>
      <c r="H288" s="210" t="b">
        <f t="shared" si="7"/>
        <v>1</v>
      </c>
    </row>
    <row r="289" spans="1:8" ht="13.8" x14ac:dyDescent="0.25">
      <c r="A289" s="7" t="s">
        <v>1832</v>
      </c>
      <c r="B289" s="152"/>
      <c r="C289" s="151" t="s">
        <v>4004</v>
      </c>
      <c r="D289" s="152">
        <v>1</v>
      </c>
      <c r="E289" s="152" t="s">
        <v>97</v>
      </c>
      <c r="F289" s="153">
        <v>2000000</v>
      </c>
      <c r="G289" s="153">
        <f>ROUNDDOWN(D289*F289,-3)</f>
        <v>2000000</v>
      </c>
      <c r="H289" s="210" t="b">
        <f t="shared" si="7"/>
        <v>1</v>
      </c>
    </row>
    <row r="290" spans="1:8" ht="13.8" x14ac:dyDescent="0.25">
      <c r="A290" s="7" t="s">
        <v>1833</v>
      </c>
      <c r="B290" s="60">
        <v>511125</v>
      </c>
      <c r="C290" s="41" t="s">
        <v>84</v>
      </c>
      <c r="D290" s="60"/>
      <c r="E290" s="60"/>
      <c r="F290" s="42"/>
      <c r="G290" s="42">
        <f>SUM(G291:G293)</f>
        <v>13133000</v>
      </c>
      <c r="H290" s="210" t="b">
        <f t="shared" si="7"/>
        <v>1</v>
      </c>
    </row>
    <row r="291" spans="1:8" ht="13.8" x14ac:dyDescent="0.25">
      <c r="A291" s="7" t="s">
        <v>1834</v>
      </c>
      <c r="B291" s="152"/>
      <c r="C291" s="151" t="s">
        <v>4005</v>
      </c>
      <c r="D291" s="152">
        <v>1</v>
      </c>
      <c r="E291" s="152" t="s">
        <v>97</v>
      </c>
      <c r="F291" s="153">
        <v>3360000</v>
      </c>
      <c r="G291" s="153">
        <f>ROUNDDOWN(D291*F291,-3)</f>
        <v>3360000</v>
      </c>
      <c r="H291" s="210" t="b">
        <f t="shared" si="7"/>
        <v>1</v>
      </c>
    </row>
    <row r="292" spans="1:8" ht="13.8" x14ac:dyDescent="0.25">
      <c r="A292" s="7" t="s">
        <v>1835</v>
      </c>
      <c r="B292" s="152"/>
      <c r="C292" s="151" t="s">
        <v>4006</v>
      </c>
      <c r="D292" s="152">
        <v>1</v>
      </c>
      <c r="E292" s="152" t="s">
        <v>153</v>
      </c>
      <c r="F292" s="153">
        <v>6407000</v>
      </c>
      <c r="G292" s="153">
        <f>ROUNDDOWN(D292*F292,-3)</f>
        <v>6407000</v>
      </c>
      <c r="H292" s="210" t="b">
        <f t="shared" si="7"/>
        <v>1</v>
      </c>
    </row>
    <row r="293" spans="1:8" ht="13.8" x14ac:dyDescent="0.25">
      <c r="A293" s="7" t="s">
        <v>1836</v>
      </c>
      <c r="B293" s="152"/>
      <c r="C293" s="151" t="s">
        <v>4007</v>
      </c>
      <c r="D293" s="152">
        <v>1</v>
      </c>
      <c r="E293" s="152" t="s">
        <v>97</v>
      </c>
      <c r="F293" s="153">
        <v>3366000</v>
      </c>
      <c r="G293" s="153">
        <f>ROUNDDOWN(D293*F293,-3)</f>
        <v>3366000</v>
      </c>
      <c r="H293" s="210" t="b">
        <f t="shared" si="7"/>
        <v>1</v>
      </c>
    </row>
    <row r="294" spans="1:8" ht="13.8" x14ac:dyDescent="0.25">
      <c r="A294" s="7" t="s">
        <v>1837</v>
      </c>
      <c r="B294" s="60">
        <v>511126</v>
      </c>
      <c r="C294" s="41" t="s">
        <v>85</v>
      </c>
      <c r="D294" s="60"/>
      <c r="E294" s="60"/>
      <c r="F294" s="42"/>
      <c r="G294" s="42">
        <f>G295</f>
        <v>130333000</v>
      </c>
      <c r="H294" s="210" t="b">
        <f t="shared" si="7"/>
        <v>1</v>
      </c>
    </row>
    <row r="295" spans="1:8" ht="13.8" x14ac:dyDescent="0.25">
      <c r="A295" s="7" t="s">
        <v>1838</v>
      </c>
      <c r="B295" s="152"/>
      <c r="C295" s="151" t="s">
        <v>4008</v>
      </c>
      <c r="D295" s="152">
        <v>1</v>
      </c>
      <c r="E295" s="152" t="s">
        <v>60</v>
      </c>
      <c r="F295" s="153">
        <v>130333000</v>
      </c>
      <c r="G295" s="153">
        <f>ROUNDDOWN(D295*F295,-3)</f>
        <v>130333000</v>
      </c>
      <c r="H295" s="210" t="b">
        <f t="shared" si="7"/>
        <v>1</v>
      </c>
    </row>
    <row r="296" spans="1:8" ht="13.8" x14ac:dyDescent="0.25">
      <c r="A296" s="7" t="s">
        <v>1839</v>
      </c>
      <c r="B296" s="60">
        <v>511129</v>
      </c>
      <c r="C296" s="41" t="s">
        <v>86</v>
      </c>
      <c r="D296" s="60"/>
      <c r="E296" s="60"/>
      <c r="F296" s="42"/>
      <c r="G296" s="42">
        <f>G297</f>
        <v>379379000</v>
      </c>
      <c r="H296" s="210" t="b">
        <f t="shared" si="7"/>
        <v>1</v>
      </c>
    </row>
    <row r="297" spans="1:8" ht="13.8" x14ac:dyDescent="0.25">
      <c r="A297" s="7" t="s">
        <v>1840</v>
      </c>
      <c r="B297" s="152"/>
      <c r="C297" s="151" t="s">
        <v>4009</v>
      </c>
      <c r="D297" s="152">
        <v>1</v>
      </c>
      <c r="E297" s="152" t="s">
        <v>153</v>
      </c>
      <c r="F297" s="153">
        <v>379379000</v>
      </c>
      <c r="G297" s="153">
        <f>ROUNDDOWN(D297*F297,-3)</f>
        <v>379379000</v>
      </c>
      <c r="H297" s="210" t="b">
        <f t="shared" si="7"/>
        <v>1</v>
      </c>
    </row>
    <row r="298" spans="1:8" ht="13.8" x14ac:dyDescent="0.25">
      <c r="A298" s="7" t="s">
        <v>1841</v>
      </c>
      <c r="B298" s="60">
        <v>511151</v>
      </c>
      <c r="C298" s="41" t="s">
        <v>87</v>
      </c>
      <c r="D298" s="60"/>
      <c r="E298" s="60"/>
      <c r="F298" s="42"/>
      <c r="G298" s="42">
        <f>SUM(G299:G301)</f>
        <v>88360000</v>
      </c>
      <c r="H298" s="210" t="b">
        <f t="shared" si="7"/>
        <v>1</v>
      </c>
    </row>
    <row r="299" spans="1:8" ht="13.8" x14ac:dyDescent="0.25">
      <c r="A299" s="7" t="s">
        <v>1842</v>
      </c>
      <c r="B299" s="152"/>
      <c r="C299" s="151" t="s">
        <v>4010</v>
      </c>
      <c r="D299" s="152">
        <v>1</v>
      </c>
      <c r="E299" s="152" t="s">
        <v>97</v>
      </c>
      <c r="F299" s="153">
        <v>6655000</v>
      </c>
      <c r="G299" s="153">
        <f>ROUNDDOWN(D299*F299,-3)</f>
        <v>6655000</v>
      </c>
      <c r="H299" s="210" t="b">
        <f t="shared" si="7"/>
        <v>1</v>
      </c>
    </row>
    <row r="300" spans="1:8" ht="13.8" x14ac:dyDescent="0.25">
      <c r="A300" s="7" t="s">
        <v>1843</v>
      </c>
      <c r="B300" s="152"/>
      <c r="C300" s="151" t="s">
        <v>4011</v>
      </c>
      <c r="D300" s="152">
        <v>1</v>
      </c>
      <c r="E300" s="152" t="s">
        <v>60</v>
      </c>
      <c r="F300" s="153">
        <v>75605000</v>
      </c>
      <c r="G300" s="153">
        <f>ROUNDDOWN(D300*F300,-3)</f>
        <v>75605000</v>
      </c>
      <c r="H300" s="210" t="b">
        <f t="shared" si="7"/>
        <v>1</v>
      </c>
    </row>
    <row r="301" spans="1:8" ht="13.8" x14ac:dyDescent="0.25">
      <c r="A301" s="7" t="s">
        <v>1844</v>
      </c>
      <c r="B301" s="152"/>
      <c r="C301" s="151" t="s">
        <v>4012</v>
      </c>
      <c r="D301" s="152">
        <v>1</v>
      </c>
      <c r="E301" s="152" t="s">
        <v>97</v>
      </c>
      <c r="F301" s="153">
        <v>6100000</v>
      </c>
      <c r="G301" s="153">
        <f>ROUNDDOWN(D301*F301,-3)</f>
        <v>6100000</v>
      </c>
      <c r="H301" s="210" t="b">
        <f t="shared" si="7"/>
        <v>1</v>
      </c>
    </row>
    <row r="302" spans="1:8" ht="13.8" x14ac:dyDescent="0.25">
      <c r="A302" s="7" t="s">
        <v>1845</v>
      </c>
      <c r="B302" s="60">
        <v>512411</v>
      </c>
      <c r="C302" s="41" t="s">
        <v>88</v>
      </c>
      <c r="D302" s="60"/>
      <c r="E302" s="60"/>
      <c r="F302" s="42"/>
      <c r="G302" s="42">
        <f>G303</f>
        <v>2635488000</v>
      </c>
      <c r="H302" s="210" t="b">
        <f t="shared" si="7"/>
        <v>1</v>
      </c>
    </row>
    <row r="303" spans="1:8" ht="13.8" x14ac:dyDescent="0.25">
      <c r="A303" s="7" t="s">
        <v>1846</v>
      </c>
      <c r="B303" s="152"/>
      <c r="C303" s="151" t="s">
        <v>4013</v>
      </c>
      <c r="D303" s="152">
        <v>1</v>
      </c>
      <c r="E303" s="152" t="s">
        <v>153</v>
      </c>
      <c r="F303" s="153">
        <v>2635488000</v>
      </c>
      <c r="G303" s="153">
        <f>ROUNDDOWN(D303*F303,-3)</f>
        <v>2635488000</v>
      </c>
      <c r="H303" s="210" t="b">
        <f t="shared" si="7"/>
        <v>1</v>
      </c>
    </row>
    <row r="304" spans="1:8" ht="13.8" x14ac:dyDescent="0.25">
      <c r="A304" s="7" t="s">
        <v>4041</v>
      </c>
      <c r="B304" s="59" t="s">
        <v>2208</v>
      </c>
      <c r="C304" s="38" t="s">
        <v>4042</v>
      </c>
      <c r="D304" s="59"/>
      <c r="E304" s="59"/>
      <c r="F304" s="39"/>
      <c r="G304" s="39">
        <f>G305</f>
        <v>323949000</v>
      </c>
      <c r="H304" s="210" t="b">
        <f t="shared" si="7"/>
        <v>1</v>
      </c>
    </row>
    <row r="305" spans="1:8" ht="13.8" x14ac:dyDescent="0.25">
      <c r="A305" s="7" t="s">
        <v>4043</v>
      </c>
      <c r="B305" s="60">
        <v>512411</v>
      </c>
      <c r="C305" s="41" t="s">
        <v>88</v>
      </c>
      <c r="D305" s="60"/>
      <c r="E305" s="60"/>
      <c r="F305" s="42"/>
      <c r="G305" s="42">
        <f>G306</f>
        <v>323949000</v>
      </c>
      <c r="H305" s="210" t="b">
        <f t="shared" si="7"/>
        <v>1</v>
      </c>
    </row>
    <row r="306" spans="1:8" ht="13.8" x14ac:dyDescent="0.25">
      <c r="A306" s="7" t="s">
        <v>4044</v>
      </c>
      <c r="B306" s="152"/>
      <c r="C306" s="151" t="s">
        <v>4045</v>
      </c>
      <c r="D306" s="152">
        <v>1</v>
      </c>
      <c r="E306" s="152" t="s">
        <v>4046</v>
      </c>
      <c r="F306" s="153">
        <v>323949000</v>
      </c>
      <c r="G306" s="153">
        <f>ROUNDDOWN(D306*F306,-3)</f>
        <v>323949000</v>
      </c>
      <c r="H306" s="210" t="b">
        <f t="shared" si="7"/>
        <v>1</v>
      </c>
    </row>
    <row r="307" spans="1:8" ht="13.8" x14ac:dyDescent="0.25">
      <c r="A307" s="7" t="s">
        <v>1847</v>
      </c>
      <c r="B307" s="58" t="s">
        <v>557</v>
      </c>
      <c r="C307" s="35" t="s">
        <v>89</v>
      </c>
      <c r="D307" s="58"/>
      <c r="E307" s="58"/>
      <c r="F307" s="36"/>
      <c r="G307" s="36">
        <f>SUM(G308,G329,G335,G348,G363)</f>
        <v>2195658000</v>
      </c>
      <c r="H307" s="210" t="b">
        <f t="shared" si="7"/>
        <v>1</v>
      </c>
    </row>
    <row r="308" spans="1:8" ht="26.4" x14ac:dyDescent="0.25">
      <c r="A308" s="7" t="s">
        <v>2170</v>
      </c>
      <c r="B308" s="59" t="s">
        <v>1807</v>
      </c>
      <c r="C308" s="38" t="s">
        <v>2171</v>
      </c>
      <c r="D308" s="59"/>
      <c r="E308" s="59"/>
      <c r="F308" s="39"/>
      <c r="G308" s="39">
        <f>SUM(G309,G319)</f>
        <v>1254380000</v>
      </c>
      <c r="H308" s="210" t="b">
        <f t="shared" si="7"/>
        <v>1</v>
      </c>
    </row>
    <row r="309" spans="1:8" ht="13.8" x14ac:dyDescent="0.25">
      <c r="A309" s="7" t="s">
        <v>2172</v>
      </c>
      <c r="B309" s="60">
        <v>521111</v>
      </c>
      <c r="C309" s="41" t="s">
        <v>90</v>
      </c>
      <c r="D309" s="60"/>
      <c r="E309" s="60"/>
      <c r="F309" s="42"/>
      <c r="G309" s="42">
        <f>SUM(G310:G318)</f>
        <v>1076220000</v>
      </c>
      <c r="H309" s="210" t="b">
        <f t="shared" si="7"/>
        <v>1</v>
      </c>
    </row>
    <row r="310" spans="1:8" ht="13.8" x14ac:dyDescent="0.25">
      <c r="A310" s="7" t="s">
        <v>2173</v>
      </c>
      <c r="B310" s="152"/>
      <c r="C310" s="151" t="s">
        <v>4154</v>
      </c>
      <c r="D310" s="152">
        <v>60</v>
      </c>
      <c r="E310" s="152" t="s">
        <v>116</v>
      </c>
      <c r="F310" s="153">
        <v>1300000</v>
      </c>
      <c r="G310" s="153">
        <f t="shared" ref="G310:G318" si="8">ROUNDDOWN(D310*F310,-3)</f>
        <v>78000000</v>
      </c>
      <c r="H310" s="210" t="b">
        <f t="shared" si="7"/>
        <v>1</v>
      </c>
    </row>
    <row r="311" spans="1:8" ht="13.8" x14ac:dyDescent="0.25">
      <c r="A311" s="7" t="s">
        <v>2174</v>
      </c>
      <c r="B311" s="152"/>
      <c r="C311" s="151" t="s">
        <v>4182</v>
      </c>
      <c r="D311" s="152">
        <v>1</v>
      </c>
      <c r="E311" s="152" t="s">
        <v>60</v>
      </c>
      <c r="F311" s="153">
        <v>60000000</v>
      </c>
      <c r="G311" s="153">
        <f t="shared" si="8"/>
        <v>60000000</v>
      </c>
      <c r="H311" s="210" t="b">
        <f t="shared" si="7"/>
        <v>1</v>
      </c>
    </row>
    <row r="312" spans="1:8" ht="13.8" x14ac:dyDescent="0.25">
      <c r="A312" s="7" t="s">
        <v>2176</v>
      </c>
      <c r="B312" s="152"/>
      <c r="C312" s="151" t="s">
        <v>4183</v>
      </c>
      <c r="D312" s="152">
        <v>156</v>
      </c>
      <c r="E312" s="152" t="s">
        <v>21</v>
      </c>
      <c r="F312" s="153">
        <v>4858000</v>
      </c>
      <c r="G312" s="153">
        <f t="shared" si="8"/>
        <v>757848000</v>
      </c>
      <c r="H312" s="210" t="b">
        <f t="shared" si="7"/>
        <v>1</v>
      </c>
    </row>
    <row r="313" spans="1:8" ht="13.8" x14ac:dyDescent="0.25">
      <c r="A313" s="7" t="s">
        <v>2178</v>
      </c>
      <c r="B313" s="152"/>
      <c r="C313" s="151" t="s">
        <v>4184</v>
      </c>
      <c r="D313" s="152">
        <v>13</v>
      </c>
      <c r="E313" s="152" t="s">
        <v>32</v>
      </c>
      <c r="F313" s="153">
        <v>5344000</v>
      </c>
      <c r="G313" s="153">
        <f t="shared" si="8"/>
        <v>69472000</v>
      </c>
      <c r="H313" s="210" t="b">
        <f t="shared" si="7"/>
        <v>1</v>
      </c>
    </row>
    <row r="314" spans="1:8" ht="13.8" x14ac:dyDescent="0.25">
      <c r="A314" s="7" t="s">
        <v>2179</v>
      </c>
      <c r="B314" s="152"/>
      <c r="C314" s="151" t="s">
        <v>4185</v>
      </c>
      <c r="D314" s="152">
        <v>12</v>
      </c>
      <c r="E314" s="152" t="s">
        <v>78</v>
      </c>
      <c r="F314" s="153">
        <v>500000</v>
      </c>
      <c r="G314" s="153">
        <f t="shared" si="8"/>
        <v>6000000</v>
      </c>
      <c r="H314" s="210" t="b">
        <f t="shared" si="7"/>
        <v>1</v>
      </c>
    </row>
    <row r="315" spans="1:8" ht="13.8" x14ac:dyDescent="0.25">
      <c r="A315" s="7" t="s">
        <v>2181</v>
      </c>
      <c r="B315" s="152"/>
      <c r="C315" s="151" t="s">
        <v>4186</v>
      </c>
      <c r="D315" s="152">
        <v>100</v>
      </c>
      <c r="E315" s="152" t="s">
        <v>58</v>
      </c>
      <c r="F315" s="153">
        <v>500000</v>
      </c>
      <c r="G315" s="153">
        <f t="shared" si="8"/>
        <v>50000000</v>
      </c>
      <c r="H315" s="210" t="b">
        <f t="shared" si="7"/>
        <v>1</v>
      </c>
    </row>
    <row r="316" spans="1:8" ht="13.8" x14ac:dyDescent="0.25">
      <c r="A316" s="7" t="s">
        <v>2183</v>
      </c>
      <c r="B316" s="152"/>
      <c r="C316" s="151" t="s">
        <v>4187</v>
      </c>
      <c r="D316" s="152">
        <v>12</v>
      </c>
      <c r="E316" s="152" t="s">
        <v>115</v>
      </c>
      <c r="F316" s="153">
        <v>750000</v>
      </c>
      <c r="G316" s="153">
        <f t="shared" si="8"/>
        <v>9000000</v>
      </c>
      <c r="H316" s="210" t="b">
        <f t="shared" si="7"/>
        <v>1</v>
      </c>
    </row>
    <row r="317" spans="1:8" ht="13.8" x14ac:dyDescent="0.25">
      <c r="A317" s="7" t="s">
        <v>2185</v>
      </c>
      <c r="B317" s="152"/>
      <c r="C317" s="151" t="s">
        <v>4188</v>
      </c>
      <c r="D317" s="152">
        <v>12</v>
      </c>
      <c r="E317" s="152" t="s">
        <v>115</v>
      </c>
      <c r="F317" s="153">
        <v>1325000</v>
      </c>
      <c r="G317" s="153">
        <f t="shared" si="8"/>
        <v>15900000</v>
      </c>
      <c r="H317" s="210" t="b">
        <f t="shared" si="7"/>
        <v>1</v>
      </c>
    </row>
    <row r="318" spans="1:8" ht="13.8" x14ac:dyDescent="0.25">
      <c r="A318" s="7" t="s">
        <v>2187</v>
      </c>
      <c r="B318" s="152"/>
      <c r="C318" s="151" t="s">
        <v>4189</v>
      </c>
      <c r="D318" s="152">
        <v>12</v>
      </c>
      <c r="E318" s="152" t="s">
        <v>78</v>
      </c>
      <c r="F318" s="153">
        <v>2500000</v>
      </c>
      <c r="G318" s="153">
        <f t="shared" si="8"/>
        <v>30000000</v>
      </c>
      <c r="H318" s="210" t="b">
        <f t="shared" si="7"/>
        <v>1</v>
      </c>
    </row>
    <row r="319" spans="1:8" ht="13.8" x14ac:dyDescent="0.25">
      <c r="A319" s="7" t="s">
        <v>2189</v>
      </c>
      <c r="B319" s="60">
        <v>521811</v>
      </c>
      <c r="C319" s="41" t="s">
        <v>64</v>
      </c>
      <c r="D319" s="60"/>
      <c r="E319" s="60"/>
      <c r="F319" s="42"/>
      <c r="G319" s="42">
        <f>SUM(G320:G328)</f>
        <v>178160000</v>
      </c>
      <c r="H319" s="210" t="b">
        <f t="shared" si="7"/>
        <v>1</v>
      </c>
    </row>
    <row r="320" spans="1:8" ht="13.8" x14ac:dyDescent="0.25">
      <c r="A320" s="7" t="s">
        <v>2190</v>
      </c>
      <c r="B320" s="152"/>
      <c r="C320" s="151" t="s">
        <v>3625</v>
      </c>
      <c r="D320" s="152">
        <v>40</v>
      </c>
      <c r="E320" s="152" t="s">
        <v>9</v>
      </c>
      <c r="F320" s="153">
        <v>1000000</v>
      </c>
      <c r="G320" s="153">
        <f t="shared" ref="G320:G328" si="9">ROUNDDOWN(D320*F320,-3)</f>
        <v>40000000</v>
      </c>
      <c r="H320" s="210" t="b">
        <f t="shared" si="7"/>
        <v>1</v>
      </c>
    </row>
    <row r="321" spans="1:8" ht="13.8" x14ac:dyDescent="0.25">
      <c r="A321" s="7" t="s">
        <v>2191</v>
      </c>
      <c r="B321" s="152"/>
      <c r="C321" s="151" t="s">
        <v>3626</v>
      </c>
      <c r="D321" s="152">
        <v>40</v>
      </c>
      <c r="E321" s="152" t="s">
        <v>9</v>
      </c>
      <c r="F321" s="153">
        <v>1500000</v>
      </c>
      <c r="G321" s="153">
        <f t="shared" si="9"/>
        <v>60000000</v>
      </c>
      <c r="H321" s="210" t="b">
        <f t="shared" si="7"/>
        <v>1</v>
      </c>
    </row>
    <row r="322" spans="1:8" ht="13.8" x14ac:dyDescent="0.25">
      <c r="A322" s="7" t="s">
        <v>2192</v>
      </c>
      <c r="B322" s="152"/>
      <c r="C322" s="151" t="s">
        <v>4190</v>
      </c>
      <c r="D322" s="152">
        <v>192</v>
      </c>
      <c r="E322" s="152" t="s">
        <v>9</v>
      </c>
      <c r="F322" s="153">
        <v>50000</v>
      </c>
      <c r="G322" s="153">
        <f t="shared" si="9"/>
        <v>9600000</v>
      </c>
      <c r="H322" s="210" t="b">
        <f t="shared" si="7"/>
        <v>1</v>
      </c>
    </row>
    <row r="323" spans="1:8" ht="13.8" x14ac:dyDescent="0.25">
      <c r="A323" s="7" t="s">
        <v>2194</v>
      </c>
      <c r="B323" s="152"/>
      <c r="C323" s="151" t="s">
        <v>4191</v>
      </c>
      <c r="D323" s="152">
        <v>192</v>
      </c>
      <c r="E323" s="152" t="s">
        <v>9</v>
      </c>
      <c r="F323" s="153">
        <v>55000</v>
      </c>
      <c r="G323" s="153">
        <f t="shared" si="9"/>
        <v>10560000</v>
      </c>
      <c r="H323" s="210" t="b">
        <f t="shared" si="7"/>
        <v>1</v>
      </c>
    </row>
    <row r="324" spans="1:8" ht="13.8" x14ac:dyDescent="0.25">
      <c r="A324" s="7" t="s">
        <v>2196</v>
      </c>
      <c r="B324" s="152"/>
      <c r="C324" s="151" t="s">
        <v>4192</v>
      </c>
      <c r="D324" s="152">
        <v>50</v>
      </c>
      <c r="E324" s="152" t="s">
        <v>2198</v>
      </c>
      <c r="F324" s="153">
        <v>220000</v>
      </c>
      <c r="G324" s="153">
        <f t="shared" si="9"/>
        <v>11000000</v>
      </c>
      <c r="H324" s="210" t="b">
        <f t="shared" si="7"/>
        <v>1</v>
      </c>
    </row>
    <row r="325" spans="1:8" ht="13.8" x14ac:dyDescent="0.25">
      <c r="A325" s="7" t="s">
        <v>2199</v>
      </c>
      <c r="B325" s="152"/>
      <c r="C325" s="151" t="s">
        <v>4193</v>
      </c>
      <c r="D325" s="152">
        <v>50</v>
      </c>
      <c r="E325" s="152" t="s">
        <v>2198</v>
      </c>
      <c r="F325" s="153">
        <v>240000</v>
      </c>
      <c r="G325" s="153">
        <f t="shared" si="9"/>
        <v>12000000</v>
      </c>
      <c r="H325" s="210" t="b">
        <f t="shared" si="7"/>
        <v>1</v>
      </c>
    </row>
    <row r="326" spans="1:8" ht="13.8" x14ac:dyDescent="0.25">
      <c r="A326" s="7" t="s">
        <v>2201</v>
      </c>
      <c r="B326" s="152"/>
      <c r="C326" s="151" t="s">
        <v>4194</v>
      </c>
      <c r="D326" s="152">
        <v>800</v>
      </c>
      <c r="E326" s="152" t="s">
        <v>120</v>
      </c>
      <c r="F326" s="153">
        <v>5000</v>
      </c>
      <c r="G326" s="153">
        <f t="shared" si="9"/>
        <v>4000000</v>
      </c>
      <c r="H326" s="210" t="b">
        <f t="shared" si="7"/>
        <v>1</v>
      </c>
    </row>
    <row r="327" spans="1:8" ht="13.8" x14ac:dyDescent="0.25">
      <c r="A327" s="7" t="s">
        <v>2203</v>
      </c>
      <c r="B327" s="152"/>
      <c r="C327" s="151" t="s">
        <v>4195</v>
      </c>
      <c r="D327" s="152">
        <v>50</v>
      </c>
      <c r="E327" s="152" t="s">
        <v>1422</v>
      </c>
      <c r="F327" s="153">
        <v>220000</v>
      </c>
      <c r="G327" s="153">
        <f t="shared" si="9"/>
        <v>11000000</v>
      </c>
      <c r="H327" s="210" t="b">
        <f t="shared" si="7"/>
        <v>1</v>
      </c>
    </row>
    <row r="328" spans="1:8" ht="13.8" x14ac:dyDescent="0.25">
      <c r="A328" s="7" t="s">
        <v>2205</v>
      </c>
      <c r="B328" s="152"/>
      <c r="C328" s="151" t="s">
        <v>4196</v>
      </c>
      <c r="D328" s="152">
        <v>800</v>
      </c>
      <c r="E328" s="152" t="s">
        <v>120</v>
      </c>
      <c r="F328" s="153">
        <v>25000</v>
      </c>
      <c r="G328" s="153">
        <f t="shared" si="9"/>
        <v>20000000</v>
      </c>
      <c r="H328" s="210" t="b">
        <f t="shared" si="7"/>
        <v>1</v>
      </c>
    </row>
    <row r="329" spans="1:8" ht="13.8" x14ac:dyDescent="0.25">
      <c r="A329" s="7" t="s">
        <v>2207</v>
      </c>
      <c r="B329" s="59" t="s">
        <v>2208</v>
      </c>
      <c r="C329" s="38" t="s">
        <v>2209</v>
      </c>
      <c r="D329" s="59"/>
      <c r="E329" s="59"/>
      <c r="F329" s="39"/>
      <c r="G329" s="39">
        <f>SUM(G330,G332)</f>
        <v>148852000</v>
      </c>
      <c r="H329" s="210" t="b">
        <f t="shared" si="7"/>
        <v>1</v>
      </c>
    </row>
    <row r="330" spans="1:8" ht="13.8" x14ac:dyDescent="0.25">
      <c r="A330" s="7" t="s">
        <v>2210</v>
      </c>
      <c r="B330" s="60">
        <v>521114</v>
      </c>
      <c r="C330" s="41" t="s">
        <v>94</v>
      </c>
      <c r="D330" s="60"/>
      <c r="E330" s="60"/>
      <c r="F330" s="42"/>
      <c r="G330" s="42">
        <f>G331</f>
        <v>30000000</v>
      </c>
      <c r="H330" s="210" t="b">
        <f t="shared" si="7"/>
        <v>1</v>
      </c>
    </row>
    <row r="331" spans="1:8" ht="13.8" x14ac:dyDescent="0.25">
      <c r="A331" s="7" t="s">
        <v>2211</v>
      </c>
      <c r="B331" s="152"/>
      <c r="C331" s="151" t="s">
        <v>4197</v>
      </c>
      <c r="D331" s="152">
        <v>12</v>
      </c>
      <c r="E331" s="152" t="s">
        <v>78</v>
      </c>
      <c r="F331" s="153">
        <v>2500000</v>
      </c>
      <c r="G331" s="153">
        <f>ROUNDDOWN(D331*F331,-3)</f>
        <v>30000000</v>
      </c>
      <c r="H331" s="210" t="b">
        <f t="shared" si="7"/>
        <v>1</v>
      </c>
    </row>
    <row r="332" spans="1:8" ht="13.8" x14ac:dyDescent="0.25">
      <c r="A332" s="7" t="s">
        <v>2213</v>
      </c>
      <c r="B332" s="60">
        <v>522141</v>
      </c>
      <c r="C332" s="41" t="s">
        <v>95</v>
      </c>
      <c r="D332" s="60"/>
      <c r="E332" s="60"/>
      <c r="F332" s="42"/>
      <c r="G332" s="42">
        <f>SUM(G333:G334)</f>
        <v>118852000</v>
      </c>
      <c r="H332" s="210" t="b">
        <f t="shared" si="7"/>
        <v>1</v>
      </c>
    </row>
    <row r="333" spans="1:8" ht="13.8" x14ac:dyDescent="0.25">
      <c r="A333" s="7" t="s">
        <v>2214</v>
      </c>
      <c r="B333" s="152"/>
      <c r="C333" s="151" t="s">
        <v>4198</v>
      </c>
      <c r="D333" s="152">
        <v>12</v>
      </c>
      <c r="E333" s="152" t="s">
        <v>78</v>
      </c>
      <c r="F333" s="153">
        <v>5000000</v>
      </c>
      <c r="G333" s="153">
        <f>ROUNDDOWN(D333*F333,-3)</f>
        <v>60000000</v>
      </c>
      <c r="H333" s="210" t="b">
        <f t="shared" ref="H333:H396" si="10">_xlfn.ISFORMULA(G333)</f>
        <v>1</v>
      </c>
    </row>
    <row r="334" spans="1:8" ht="13.8" x14ac:dyDescent="0.25">
      <c r="A334" s="7" t="s">
        <v>2216</v>
      </c>
      <c r="B334" s="152"/>
      <c r="C334" s="151" t="s">
        <v>4199</v>
      </c>
      <c r="D334" s="152">
        <v>1</v>
      </c>
      <c r="E334" s="152" t="s">
        <v>60</v>
      </c>
      <c r="F334" s="153">
        <v>58852000</v>
      </c>
      <c r="G334" s="153">
        <f>ROUNDDOWN(D334*F334,-3)</f>
        <v>58852000</v>
      </c>
      <c r="H334" s="210" t="b">
        <f t="shared" si="10"/>
        <v>1</v>
      </c>
    </row>
    <row r="335" spans="1:8" ht="13.8" x14ac:dyDescent="0.25">
      <c r="A335" s="7" t="s">
        <v>2218</v>
      </c>
      <c r="B335" s="59" t="s">
        <v>2219</v>
      </c>
      <c r="C335" s="38" t="s">
        <v>2220</v>
      </c>
      <c r="D335" s="59"/>
      <c r="E335" s="59"/>
      <c r="F335" s="39"/>
      <c r="G335" s="39">
        <f>SUM(G336,G346)</f>
        <v>533050000</v>
      </c>
      <c r="H335" s="210" t="b">
        <f t="shared" si="10"/>
        <v>1</v>
      </c>
    </row>
    <row r="336" spans="1:8" ht="13.8" x14ac:dyDescent="0.25">
      <c r="A336" s="7" t="s">
        <v>2221</v>
      </c>
      <c r="B336" s="60">
        <v>523121</v>
      </c>
      <c r="C336" s="41" t="s">
        <v>99</v>
      </c>
      <c r="D336" s="60"/>
      <c r="E336" s="60"/>
      <c r="F336" s="42"/>
      <c r="G336" s="42">
        <f>SUM(G337:G345)</f>
        <v>497050000</v>
      </c>
      <c r="H336" s="210" t="b">
        <f t="shared" si="10"/>
        <v>1</v>
      </c>
    </row>
    <row r="337" spans="1:8" ht="26.4" x14ac:dyDescent="0.25">
      <c r="A337" s="7" t="s">
        <v>2222</v>
      </c>
      <c r="B337" s="152"/>
      <c r="C337" s="151" t="s">
        <v>4200</v>
      </c>
      <c r="D337" s="152">
        <v>1</v>
      </c>
      <c r="E337" s="152" t="s">
        <v>44</v>
      </c>
      <c r="F337" s="153">
        <v>38730000</v>
      </c>
      <c r="G337" s="153">
        <f t="shared" ref="G337:G345" si="11">ROUNDDOWN(D337*F337,-3)</f>
        <v>38730000</v>
      </c>
      <c r="H337" s="210" t="b">
        <f t="shared" si="10"/>
        <v>1</v>
      </c>
    </row>
    <row r="338" spans="1:8" ht="13.8" x14ac:dyDescent="0.25">
      <c r="A338" s="7" t="s">
        <v>2224</v>
      </c>
      <c r="B338" s="152"/>
      <c r="C338" s="151" t="s">
        <v>4201</v>
      </c>
      <c r="D338" s="152">
        <v>9</v>
      </c>
      <c r="E338" s="152" t="s">
        <v>4202</v>
      </c>
      <c r="F338" s="153">
        <v>32850000</v>
      </c>
      <c r="G338" s="153">
        <f t="shared" si="11"/>
        <v>295650000</v>
      </c>
      <c r="H338" s="210" t="b">
        <f t="shared" si="10"/>
        <v>1</v>
      </c>
    </row>
    <row r="339" spans="1:8" ht="13.8" x14ac:dyDescent="0.25">
      <c r="A339" s="7" t="s">
        <v>2226</v>
      </c>
      <c r="B339" s="152"/>
      <c r="C339" s="151" t="s">
        <v>4203</v>
      </c>
      <c r="D339" s="152">
        <v>5</v>
      </c>
      <c r="E339" s="152" t="s">
        <v>42</v>
      </c>
      <c r="F339" s="153">
        <v>3640000</v>
      </c>
      <c r="G339" s="153">
        <f t="shared" si="11"/>
        <v>18200000</v>
      </c>
      <c r="H339" s="210" t="b">
        <f t="shared" si="10"/>
        <v>1</v>
      </c>
    </row>
    <row r="340" spans="1:8" ht="13.8" x14ac:dyDescent="0.25">
      <c r="A340" s="7" t="s">
        <v>2228</v>
      </c>
      <c r="B340" s="152"/>
      <c r="C340" s="151" t="s">
        <v>4204</v>
      </c>
      <c r="D340" s="152">
        <v>40</v>
      </c>
      <c r="E340" s="152" t="s">
        <v>42</v>
      </c>
      <c r="F340" s="153">
        <v>730000</v>
      </c>
      <c r="G340" s="153">
        <f t="shared" si="11"/>
        <v>29200000</v>
      </c>
      <c r="H340" s="210" t="b">
        <f t="shared" si="10"/>
        <v>1</v>
      </c>
    </row>
    <row r="341" spans="1:8" ht="13.8" x14ac:dyDescent="0.25">
      <c r="A341" s="7" t="s">
        <v>2229</v>
      </c>
      <c r="B341" s="152"/>
      <c r="C341" s="151" t="s">
        <v>4205</v>
      </c>
      <c r="D341" s="152">
        <v>35</v>
      </c>
      <c r="E341" s="152" t="s">
        <v>44</v>
      </c>
      <c r="F341" s="153">
        <v>730000</v>
      </c>
      <c r="G341" s="153">
        <f t="shared" si="11"/>
        <v>25550000</v>
      </c>
      <c r="H341" s="210" t="b">
        <f t="shared" si="10"/>
        <v>1</v>
      </c>
    </row>
    <row r="342" spans="1:8" ht="13.8" x14ac:dyDescent="0.25">
      <c r="A342" s="7" t="s">
        <v>2230</v>
      </c>
      <c r="B342" s="152"/>
      <c r="C342" s="151" t="s">
        <v>4206</v>
      </c>
      <c r="D342" s="152">
        <v>35</v>
      </c>
      <c r="E342" s="152" t="s">
        <v>44</v>
      </c>
      <c r="F342" s="153">
        <v>690000</v>
      </c>
      <c r="G342" s="153">
        <f t="shared" si="11"/>
        <v>24150000</v>
      </c>
      <c r="H342" s="210" t="b">
        <f t="shared" si="10"/>
        <v>1</v>
      </c>
    </row>
    <row r="343" spans="1:8" ht="13.8" x14ac:dyDescent="0.25">
      <c r="A343" s="7" t="s">
        <v>2231</v>
      </c>
      <c r="B343" s="152"/>
      <c r="C343" s="151" t="s">
        <v>4207</v>
      </c>
      <c r="D343" s="152">
        <v>3</v>
      </c>
      <c r="E343" s="152" t="s">
        <v>44</v>
      </c>
      <c r="F343" s="153">
        <v>3500000</v>
      </c>
      <c r="G343" s="153">
        <f t="shared" si="11"/>
        <v>10500000</v>
      </c>
      <c r="H343" s="210" t="b">
        <f t="shared" si="10"/>
        <v>1</v>
      </c>
    </row>
    <row r="344" spans="1:8" ht="13.8" x14ac:dyDescent="0.25">
      <c r="A344" s="7" t="s">
        <v>2232</v>
      </c>
      <c r="B344" s="152"/>
      <c r="C344" s="151" t="s">
        <v>4208</v>
      </c>
      <c r="D344" s="152">
        <v>6</v>
      </c>
      <c r="E344" s="152" t="s">
        <v>44</v>
      </c>
      <c r="F344" s="153">
        <v>470000</v>
      </c>
      <c r="G344" s="153">
        <f t="shared" si="11"/>
        <v>2820000</v>
      </c>
      <c r="H344" s="210" t="b">
        <f t="shared" si="10"/>
        <v>1</v>
      </c>
    </row>
    <row r="345" spans="1:8" ht="13.8" x14ac:dyDescent="0.25">
      <c r="A345" s="7" t="s">
        <v>2234</v>
      </c>
      <c r="B345" s="152"/>
      <c r="C345" s="151" t="s">
        <v>4209</v>
      </c>
      <c r="D345" s="152">
        <v>1</v>
      </c>
      <c r="E345" s="152" t="s">
        <v>60</v>
      </c>
      <c r="F345" s="153">
        <v>52250000</v>
      </c>
      <c r="G345" s="153">
        <f t="shared" si="11"/>
        <v>52250000</v>
      </c>
      <c r="H345" s="210" t="b">
        <f t="shared" si="10"/>
        <v>1</v>
      </c>
    </row>
    <row r="346" spans="1:8" ht="13.8" x14ac:dyDescent="0.25">
      <c r="A346" s="7" t="s">
        <v>2235</v>
      </c>
      <c r="B346" s="60">
        <v>523199</v>
      </c>
      <c r="C346" s="41" t="s">
        <v>102</v>
      </c>
      <c r="D346" s="60"/>
      <c r="E346" s="60"/>
      <c r="F346" s="42"/>
      <c r="G346" s="42">
        <f>G347</f>
        <v>36000000</v>
      </c>
      <c r="H346" s="210" t="b">
        <f t="shared" si="10"/>
        <v>1</v>
      </c>
    </row>
    <row r="347" spans="1:8" ht="13.8" x14ac:dyDescent="0.25">
      <c r="A347" s="7" t="s">
        <v>2236</v>
      </c>
      <c r="B347" s="152"/>
      <c r="C347" s="151" t="s">
        <v>4210</v>
      </c>
      <c r="D347" s="152">
        <v>24</v>
      </c>
      <c r="E347" s="152" t="s">
        <v>96</v>
      </c>
      <c r="F347" s="153">
        <v>1500000</v>
      </c>
      <c r="G347" s="153">
        <f>ROUNDDOWN(D347*F347,-3)</f>
        <v>36000000</v>
      </c>
      <c r="H347" s="210" t="b">
        <f t="shared" si="10"/>
        <v>1</v>
      </c>
    </row>
    <row r="348" spans="1:8" ht="26.4" x14ac:dyDescent="0.25">
      <c r="A348" s="7" t="s">
        <v>2238</v>
      </c>
      <c r="B348" s="59" t="s">
        <v>2239</v>
      </c>
      <c r="C348" s="38" t="s">
        <v>2240</v>
      </c>
      <c r="D348" s="59"/>
      <c r="E348" s="59"/>
      <c r="F348" s="39"/>
      <c r="G348" s="39">
        <f>SUM(G349,G352)</f>
        <v>159376000</v>
      </c>
      <c r="H348" s="210" t="b">
        <f t="shared" si="10"/>
        <v>1</v>
      </c>
    </row>
    <row r="349" spans="1:8" ht="13.8" x14ac:dyDescent="0.25">
      <c r="A349" s="7" t="s">
        <v>2241</v>
      </c>
      <c r="B349" s="60">
        <v>521111</v>
      </c>
      <c r="C349" s="41" t="s">
        <v>90</v>
      </c>
      <c r="D349" s="60"/>
      <c r="E349" s="60"/>
      <c r="F349" s="42"/>
      <c r="G349" s="42">
        <f>SUM(G350:G351)</f>
        <v>101040000</v>
      </c>
      <c r="H349" s="210" t="b">
        <f t="shared" si="10"/>
        <v>1</v>
      </c>
    </row>
    <row r="350" spans="1:8" s="212" customFormat="1" ht="13.8" x14ac:dyDescent="0.25">
      <c r="A350" s="211" t="s">
        <v>2242</v>
      </c>
      <c r="B350" s="152"/>
      <c r="C350" s="151" t="s">
        <v>4211</v>
      </c>
      <c r="D350" s="152">
        <v>100</v>
      </c>
      <c r="E350" s="152" t="s">
        <v>2244</v>
      </c>
      <c r="F350" s="153">
        <v>857000</v>
      </c>
      <c r="G350" s="153">
        <f>ROUNDDOWN(D350*F350,-3)</f>
        <v>85700000</v>
      </c>
      <c r="H350" s="210" t="b">
        <f t="shared" si="10"/>
        <v>1</v>
      </c>
    </row>
    <row r="351" spans="1:8" ht="13.8" x14ac:dyDescent="0.25">
      <c r="A351" s="7" t="s">
        <v>2245</v>
      </c>
      <c r="B351" s="152"/>
      <c r="C351" s="151" t="s">
        <v>4212</v>
      </c>
      <c r="D351" s="152">
        <v>26</v>
      </c>
      <c r="E351" s="152" t="s">
        <v>121</v>
      </c>
      <c r="F351" s="153">
        <v>590000</v>
      </c>
      <c r="G351" s="153">
        <f>ROUNDDOWN(D351*F351,-3)</f>
        <v>15340000</v>
      </c>
      <c r="H351" s="210" t="b">
        <f t="shared" si="10"/>
        <v>1</v>
      </c>
    </row>
    <row r="352" spans="1:8" ht="13.8" x14ac:dyDescent="0.25">
      <c r="A352" s="7" t="s">
        <v>2247</v>
      </c>
      <c r="B352" s="60">
        <v>521115</v>
      </c>
      <c r="C352" s="41" t="s">
        <v>104</v>
      </c>
      <c r="D352" s="60"/>
      <c r="E352" s="60"/>
      <c r="F352" s="42"/>
      <c r="G352" s="42">
        <f>SUM(G353:G362)</f>
        <v>58336000</v>
      </c>
      <c r="H352" s="210" t="b">
        <f t="shared" si="10"/>
        <v>1</v>
      </c>
    </row>
    <row r="353" spans="1:8" ht="13.8" x14ac:dyDescent="0.25">
      <c r="A353" s="7" t="s">
        <v>2248</v>
      </c>
      <c r="B353" s="152"/>
      <c r="C353" s="151" t="s">
        <v>4213</v>
      </c>
      <c r="D353" s="152">
        <v>12</v>
      </c>
      <c r="E353" s="152" t="s">
        <v>32</v>
      </c>
      <c r="F353" s="153">
        <v>2920000</v>
      </c>
      <c r="G353" s="153">
        <f t="shared" ref="G353:G362" si="12">ROUNDDOWN(D353*F353,-3)</f>
        <v>35040000</v>
      </c>
      <c r="H353" s="210" t="b">
        <f t="shared" si="10"/>
        <v>1</v>
      </c>
    </row>
    <row r="354" spans="1:8" ht="13.8" x14ac:dyDescent="0.25">
      <c r="A354" s="7" t="s">
        <v>2250</v>
      </c>
      <c r="B354" s="152"/>
      <c r="C354" s="151" t="s">
        <v>4214</v>
      </c>
      <c r="D354" s="152">
        <v>12</v>
      </c>
      <c r="E354" s="152" t="s">
        <v>32</v>
      </c>
      <c r="F354" s="153">
        <v>324000</v>
      </c>
      <c r="G354" s="153">
        <f t="shared" si="12"/>
        <v>3888000</v>
      </c>
      <c r="H354" s="210" t="b">
        <f t="shared" si="10"/>
        <v>1</v>
      </c>
    </row>
    <row r="355" spans="1:8" ht="13.8" x14ac:dyDescent="0.25">
      <c r="A355" s="7" t="s">
        <v>2252</v>
      </c>
      <c r="B355" s="152"/>
      <c r="C355" s="151" t="s">
        <v>4215</v>
      </c>
      <c r="D355" s="152">
        <v>12</v>
      </c>
      <c r="E355" s="152" t="s">
        <v>32</v>
      </c>
      <c r="F355" s="153">
        <v>324000</v>
      </c>
      <c r="G355" s="153">
        <f t="shared" si="12"/>
        <v>3888000</v>
      </c>
      <c r="H355" s="210" t="b">
        <f t="shared" si="10"/>
        <v>1</v>
      </c>
    </row>
    <row r="356" spans="1:8" s="212" customFormat="1" ht="26.4" x14ac:dyDescent="0.25">
      <c r="A356" s="211" t="s">
        <v>2254</v>
      </c>
      <c r="B356" s="152"/>
      <c r="C356" s="151" t="s">
        <v>4216</v>
      </c>
      <c r="D356" s="152">
        <v>12</v>
      </c>
      <c r="E356" s="152" t="s">
        <v>32</v>
      </c>
      <c r="F356" s="153">
        <v>680000</v>
      </c>
      <c r="G356" s="153">
        <f t="shared" si="12"/>
        <v>8160000</v>
      </c>
      <c r="H356" s="210" t="b">
        <f t="shared" si="10"/>
        <v>1</v>
      </c>
    </row>
    <row r="357" spans="1:8" ht="13.8" x14ac:dyDescent="0.25">
      <c r="A357" s="7" t="s">
        <v>2256</v>
      </c>
      <c r="B357" s="152"/>
      <c r="C357" s="151" t="s">
        <v>4217</v>
      </c>
      <c r="D357" s="152">
        <v>12</v>
      </c>
      <c r="E357" s="152" t="s">
        <v>32</v>
      </c>
      <c r="F357" s="153">
        <v>200000</v>
      </c>
      <c r="G357" s="153">
        <f t="shared" si="12"/>
        <v>2400000</v>
      </c>
      <c r="H357" s="210" t="b">
        <f t="shared" si="10"/>
        <v>1</v>
      </c>
    </row>
    <row r="358" spans="1:8" ht="13.8" x14ac:dyDescent="0.25">
      <c r="A358" s="7" t="s">
        <v>2258</v>
      </c>
      <c r="B358" s="152"/>
      <c r="C358" s="151" t="s">
        <v>4218</v>
      </c>
      <c r="D358" s="152">
        <v>12</v>
      </c>
      <c r="E358" s="152" t="s">
        <v>32</v>
      </c>
      <c r="F358" s="153">
        <v>80000</v>
      </c>
      <c r="G358" s="153">
        <f t="shared" si="12"/>
        <v>960000</v>
      </c>
      <c r="H358" s="210" t="b">
        <f t="shared" si="10"/>
        <v>1</v>
      </c>
    </row>
    <row r="359" spans="1:8" ht="13.8" x14ac:dyDescent="0.25">
      <c r="A359" s="7" t="s">
        <v>2260</v>
      </c>
      <c r="B359" s="152"/>
      <c r="C359" s="151" t="s">
        <v>4219</v>
      </c>
      <c r="D359" s="152">
        <v>12</v>
      </c>
      <c r="E359" s="152" t="s">
        <v>32</v>
      </c>
      <c r="F359" s="153">
        <v>200000</v>
      </c>
      <c r="G359" s="153">
        <f t="shared" si="12"/>
        <v>2400000</v>
      </c>
      <c r="H359" s="210" t="b">
        <f t="shared" si="10"/>
        <v>1</v>
      </c>
    </row>
    <row r="360" spans="1:8" ht="13.8" x14ac:dyDescent="0.25">
      <c r="A360" s="7" t="s">
        <v>2262</v>
      </c>
      <c r="B360" s="152"/>
      <c r="C360" s="151" t="s">
        <v>4220</v>
      </c>
      <c r="D360" s="152">
        <v>1</v>
      </c>
      <c r="E360" s="152" t="s">
        <v>776</v>
      </c>
      <c r="F360" s="153">
        <v>400000</v>
      </c>
      <c r="G360" s="153">
        <f t="shared" si="12"/>
        <v>400000</v>
      </c>
      <c r="H360" s="210" t="b">
        <f t="shared" si="10"/>
        <v>1</v>
      </c>
    </row>
    <row r="361" spans="1:8" s="212" customFormat="1" ht="13.8" x14ac:dyDescent="0.25">
      <c r="A361" s="211" t="s">
        <v>2264</v>
      </c>
      <c r="B361" s="152"/>
      <c r="C361" s="151" t="s">
        <v>4221</v>
      </c>
      <c r="D361" s="152">
        <v>1</v>
      </c>
      <c r="E361" s="152" t="s">
        <v>25</v>
      </c>
      <c r="F361" s="153">
        <v>300000</v>
      </c>
      <c r="G361" s="153">
        <f t="shared" si="12"/>
        <v>300000</v>
      </c>
      <c r="H361" s="210" t="b">
        <f t="shared" si="10"/>
        <v>1</v>
      </c>
    </row>
    <row r="362" spans="1:8" ht="13.8" x14ac:dyDescent="0.25">
      <c r="A362" s="7" t="s">
        <v>2266</v>
      </c>
      <c r="B362" s="152"/>
      <c r="C362" s="151" t="s">
        <v>4222</v>
      </c>
      <c r="D362" s="152">
        <v>3</v>
      </c>
      <c r="E362" s="152" t="s">
        <v>25</v>
      </c>
      <c r="F362" s="153">
        <v>300000</v>
      </c>
      <c r="G362" s="153">
        <f t="shared" si="12"/>
        <v>900000</v>
      </c>
      <c r="H362" s="210" t="b">
        <f t="shared" si="10"/>
        <v>1</v>
      </c>
    </row>
    <row r="363" spans="1:8" ht="13.8" x14ac:dyDescent="0.25">
      <c r="A363" s="7" t="s">
        <v>4223</v>
      </c>
      <c r="B363" s="59" t="s">
        <v>4224</v>
      </c>
      <c r="C363" s="38" t="s">
        <v>4225</v>
      </c>
      <c r="D363" s="59"/>
      <c r="E363" s="59"/>
      <c r="F363" s="39"/>
      <c r="G363" s="39">
        <f>SUM(G364,G369,G374)</f>
        <v>100000000</v>
      </c>
      <c r="H363" s="210" t="b">
        <f t="shared" si="10"/>
        <v>1</v>
      </c>
    </row>
    <row r="364" spans="1:8" ht="13.8" x14ac:dyDescent="0.25">
      <c r="A364" s="7" t="s">
        <v>4226</v>
      </c>
      <c r="B364" s="60">
        <v>521111</v>
      </c>
      <c r="C364" s="41" t="s">
        <v>90</v>
      </c>
      <c r="D364" s="60"/>
      <c r="E364" s="60"/>
      <c r="F364" s="42"/>
      <c r="G364" s="42">
        <f>SUM(G365:G368)</f>
        <v>45000000</v>
      </c>
      <c r="H364" s="210" t="b">
        <f t="shared" si="10"/>
        <v>1</v>
      </c>
    </row>
    <row r="365" spans="1:8" ht="13.8" x14ac:dyDescent="0.25">
      <c r="A365" s="7" t="s">
        <v>4227</v>
      </c>
      <c r="B365" s="152"/>
      <c r="C365" s="151" t="s">
        <v>4228</v>
      </c>
      <c r="D365" s="152">
        <v>1</v>
      </c>
      <c r="E365" s="152" t="s">
        <v>60</v>
      </c>
      <c r="F365" s="153">
        <v>3000000</v>
      </c>
      <c r="G365" s="153">
        <f>ROUNDDOWN(D365*F365,-3)</f>
        <v>3000000</v>
      </c>
      <c r="H365" s="210" t="b">
        <f t="shared" si="10"/>
        <v>1</v>
      </c>
    </row>
    <row r="366" spans="1:8" s="212" customFormat="1" ht="13.8" x14ac:dyDescent="0.25">
      <c r="A366" s="211" t="s">
        <v>4229</v>
      </c>
      <c r="B366" s="152"/>
      <c r="C366" s="151" t="s">
        <v>4230</v>
      </c>
      <c r="D366" s="152">
        <v>48</v>
      </c>
      <c r="E366" s="152" t="s">
        <v>58</v>
      </c>
      <c r="F366" s="153">
        <v>500000</v>
      </c>
      <c r="G366" s="153">
        <f>ROUNDDOWN(D366*F366,-3)</f>
        <v>24000000</v>
      </c>
      <c r="H366" s="210" t="b">
        <f t="shared" si="10"/>
        <v>1</v>
      </c>
    </row>
    <row r="367" spans="1:8" ht="13.8" x14ac:dyDescent="0.25">
      <c r="A367" s="7" t="s">
        <v>4231</v>
      </c>
      <c r="B367" s="152"/>
      <c r="C367" s="151" t="s">
        <v>4232</v>
      </c>
      <c r="D367" s="152">
        <v>12</v>
      </c>
      <c r="E367" s="152" t="s">
        <v>78</v>
      </c>
      <c r="F367" s="153">
        <v>500000</v>
      </c>
      <c r="G367" s="153">
        <f>ROUNDDOWN(D367*F367,-3)</f>
        <v>6000000</v>
      </c>
      <c r="H367" s="210" t="b">
        <f t="shared" si="10"/>
        <v>1</v>
      </c>
    </row>
    <row r="368" spans="1:8" ht="13.8" x14ac:dyDescent="0.25">
      <c r="A368" s="7" t="s">
        <v>4233</v>
      </c>
      <c r="B368" s="152"/>
      <c r="C368" s="151" t="s">
        <v>4234</v>
      </c>
      <c r="D368" s="152">
        <v>60</v>
      </c>
      <c r="E368" s="152" t="s">
        <v>116</v>
      </c>
      <c r="F368" s="153">
        <v>200000</v>
      </c>
      <c r="G368" s="153">
        <f>ROUNDDOWN(D368*F368,-3)</f>
        <v>12000000</v>
      </c>
      <c r="H368" s="210" t="b">
        <f t="shared" si="10"/>
        <v>1</v>
      </c>
    </row>
    <row r="369" spans="1:8" ht="13.8" x14ac:dyDescent="0.25">
      <c r="A369" s="7" t="s">
        <v>4235</v>
      </c>
      <c r="B369" s="60">
        <v>521811</v>
      </c>
      <c r="C369" s="41" t="s">
        <v>64</v>
      </c>
      <c r="D369" s="60"/>
      <c r="E369" s="60"/>
      <c r="F369" s="42"/>
      <c r="G369" s="42">
        <f>SUM(G370:G373)</f>
        <v>26000000</v>
      </c>
      <c r="H369" s="210" t="b">
        <f t="shared" si="10"/>
        <v>1</v>
      </c>
    </row>
    <row r="370" spans="1:8" ht="13.8" x14ac:dyDescent="0.25">
      <c r="A370" s="7" t="s">
        <v>4236</v>
      </c>
      <c r="B370" s="152"/>
      <c r="C370" s="151" t="s">
        <v>3625</v>
      </c>
      <c r="D370" s="152">
        <v>8</v>
      </c>
      <c r="E370" s="152" t="s">
        <v>9</v>
      </c>
      <c r="F370" s="153">
        <v>1000000</v>
      </c>
      <c r="G370" s="153">
        <f>ROUNDDOWN(D370*F370,-3)</f>
        <v>8000000</v>
      </c>
      <c r="H370" s="210" t="b">
        <f t="shared" si="10"/>
        <v>1</v>
      </c>
    </row>
    <row r="371" spans="1:8" ht="13.8" x14ac:dyDescent="0.25">
      <c r="A371" s="7" t="s">
        <v>4237</v>
      </c>
      <c r="B371" s="152"/>
      <c r="C371" s="151" t="s">
        <v>3626</v>
      </c>
      <c r="D371" s="152">
        <v>8</v>
      </c>
      <c r="E371" s="152" t="s">
        <v>9</v>
      </c>
      <c r="F371" s="153">
        <v>1500000</v>
      </c>
      <c r="G371" s="153">
        <f>ROUNDDOWN(D371*F371,-3)</f>
        <v>12000000</v>
      </c>
      <c r="H371" s="210" t="b">
        <f t="shared" si="10"/>
        <v>1</v>
      </c>
    </row>
    <row r="372" spans="1:8" ht="13.8" x14ac:dyDescent="0.25">
      <c r="A372" s="7" t="s">
        <v>4238</v>
      </c>
      <c r="B372" s="152"/>
      <c r="C372" s="151" t="s">
        <v>4239</v>
      </c>
      <c r="D372" s="152">
        <v>200</v>
      </c>
      <c r="E372" s="152" t="s">
        <v>120</v>
      </c>
      <c r="F372" s="153">
        <v>5000</v>
      </c>
      <c r="G372" s="153">
        <f>ROUNDDOWN(D372*F372,-3)</f>
        <v>1000000</v>
      </c>
      <c r="H372" s="210" t="b">
        <f t="shared" si="10"/>
        <v>1</v>
      </c>
    </row>
    <row r="373" spans="1:8" s="212" customFormat="1" ht="13.8" x14ac:dyDescent="0.25">
      <c r="A373" s="211" t="s">
        <v>4240</v>
      </c>
      <c r="B373" s="152"/>
      <c r="C373" s="151" t="s">
        <v>4241</v>
      </c>
      <c r="D373" s="152">
        <v>200</v>
      </c>
      <c r="E373" s="152" t="s">
        <v>120</v>
      </c>
      <c r="F373" s="153">
        <v>25000</v>
      </c>
      <c r="G373" s="153">
        <f>ROUNDDOWN(D373*F373,-3)</f>
        <v>5000000</v>
      </c>
      <c r="H373" s="210" t="b">
        <f t="shared" si="10"/>
        <v>1</v>
      </c>
    </row>
    <row r="374" spans="1:8" ht="13.8" x14ac:dyDescent="0.25">
      <c r="A374" s="7" t="s">
        <v>4242</v>
      </c>
      <c r="B374" s="60">
        <v>523121</v>
      </c>
      <c r="C374" s="41" t="s">
        <v>99</v>
      </c>
      <c r="D374" s="60"/>
      <c r="E374" s="60"/>
      <c r="F374" s="42"/>
      <c r="G374" s="42">
        <f>SUM(G375:G379)</f>
        <v>29000000</v>
      </c>
      <c r="H374" s="210" t="b">
        <f t="shared" si="10"/>
        <v>1</v>
      </c>
    </row>
    <row r="375" spans="1:8" s="212" customFormat="1" ht="13.8" x14ac:dyDescent="0.25">
      <c r="A375" s="211" t="s">
        <v>4243</v>
      </c>
      <c r="B375" s="152"/>
      <c r="C375" s="151" t="s">
        <v>4244</v>
      </c>
      <c r="D375" s="152">
        <v>1</v>
      </c>
      <c r="E375" s="152" t="s">
        <v>42</v>
      </c>
      <c r="F375" s="153">
        <v>7200000</v>
      </c>
      <c r="G375" s="153">
        <f>ROUNDDOWN(D375*F375,-3)</f>
        <v>7200000</v>
      </c>
      <c r="H375" s="210" t="b">
        <f t="shared" si="10"/>
        <v>1</v>
      </c>
    </row>
    <row r="376" spans="1:8" ht="13.8" x14ac:dyDescent="0.25">
      <c r="A376" s="7" t="s">
        <v>4245</v>
      </c>
      <c r="B376" s="152"/>
      <c r="C376" s="151" t="s">
        <v>4246</v>
      </c>
      <c r="D376" s="152">
        <v>10</v>
      </c>
      <c r="E376" s="152" t="s">
        <v>42</v>
      </c>
      <c r="F376" s="153">
        <v>730000</v>
      </c>
      <c r="G376" s="153">
        <f>ROUNDDOWN(D376*F376,-3)</f>
        <v>7300000</v>
      </c>
      <c r="H376" s="210" t="b">
        <f t="shared" si="10"/>
        <v>1</v>
      </c>
    </row>
    <row r="377" spans="1:8" ht="13.8" x14ac:dyDescent="0.25">
      <c r="A377" s="7" t="s">
        <v>4247</v>
      </c>
      <c r="B377" s="152"/>
      <c r="C377" s="151" t="s">
        <v>4248</v>
      </c>
      <c r="D377" s="152">
        <v>10</v>
      </c>
      <c r="E377" s="152" t="s">
        <v>44</v>
      </c>
      <c r="F377" s="153">
        <v>730000</v>
      </c>
      <c r="G377" s="153">
        <f>ROUNDDOWN(D377*F377,-3)</f>
        <v>7300000</v>
      </c>
      <c r="H377" s="210" t="b">
        <f t="shared" si="10"/>
        <v>1</v>
      </c>
    </row>
    <row r="378" spans="1:8" ht="13.8" x14ac:dyDescent="0.25">
      <c r="A378" s="7" t="s">
        <v>4249</v>
      </c>
      <c r="B378" s="152"/>
      <c r="C378" s="151" t="s">
        <v>4250</v>
      </c>
      <c r="D378" s="152">
        <v>10</v>
      </c>
      <c r="E378" s="152" t="s">
        <v>44</v>
      </c>
      <c r="F378" s="153">
        <v>690000</v>
      </c>
      <c r="G378" s="153">
        <f>ROUNDDOWN(D378*F378,-3)</f>
        <v>6900000</v>
      </c>
      <c r="H378" s="210" t="b">
        <f t="shared" si="10"/>
        <v>1</v>
      </c>
    </row>
    <row r="379" spans="1:8" ht="13.8" x14ac:dyDescent="0.25">
      <c r="A379" s="7" t="s">
        <v>4251</v>
      </c>
      <c r="B379" s="152"/>
      <c r="C379" s="151" t="s">
        <v>4252</v>
      </c>
      <c r="D379" s="152">
        <v>1</v>
      </c>
      <c r="E379" s="152" t="s">
        <v>60</v>
      </c>
      <c r="F379" s="153">
        <v>300000</v>
      </c>
      <c r="G379" s="153">
        <f>ROUNDDOWN(D379*F379,-3)</f>
        <v>300000</v>
      </c>
      <c r="H379" s="210" t="b">
        <f t="shared" si="10"/>
        <v>1</v>
      </c>
    </row>
    <row r="380" spans="1:8" ht="13.8" x14ac:dyDescent="0.25">
      <c r="A380" s="7" t="s">
        <v>2268</v>
      </c>
      <c r="B380" s="135" t="s">
        <v>2269</v>
      </c>
      <c r="C380" s="133" t="s">
        <v>2270</v>
      </c>
      <c r="D380" s="135">
        <v>2</v>
      </c>
      <c r="E380" s="135" t="s">
        <v>42</v>
      </c>
      <c r="F380" s="136"/>
      <c r="G380" s="136">
        <f>G381</f>
        <v>540934000</v>
      </c>
      <c r="H380" s="210" t="b">
        <f t="shared" si="10"/>
        <v>1</v>
      </c>
    </row>
    <row r="381" spans="1:8" ht="13.8" x14ac:dyDescent="0.25">
      <c r="A381" s="7" t="s">
        <v>2271</v>
      </c>
      <c r="B381" s="138" t="s">
        <v>4253</v>
      </c>
      <c r="C381" s="137" t="s">
        <v>2273</v>
      </c>
      <c r="D381" s="138">
        <v>1</v>
      </c>
      <c r="E381" s="138" t="s">
        <v>42</v>
      </c>
      <c r="F381" s="139"/>
      <c r="G381" s="139">
        <f>G382</f>
        <v>540934000</v>
      </c>
      <c r="H381" s="210" t="b">
        <f t="shared" si="10"/>
        <v>1</v>
      </c>
    </row>
    <row r="382" spans="1:8" ht="13.8" x14ac:dyDescent="0.25">
      <c r="A382" s="7" t="s">
        <v>2289</v>
      </c>
      <c r="B382" s="58">
        <v>301</v>
      </c>
      <c r="C382" s="35" t="s">
        <v>2290</v>
      </c>
      <c r="D382" s="58"/>
      <c r="E382" s="58"/>
      <c r="F382" s="36"/>
      <c r="G382" s="36">
        <f>G383</f>
        <v>540934000</v>
      </c>
      <c r="H382" s="210" t="b">
        <f t="shared" si="10"/>
        <v>1</v>
      </c>
    </row>
    <row r="383" spans="1:8" ht="13.8" x14ac:dyDescent="0.25">
      <c r="A383" s="7" t="s">
        <v>2291</v>
      </c>
      <c r="B383" s="59" t="s">
        <v>8</v>
      </c>
      <c r="C383" s="38" t="s">
        <v>2292</v>
      </c>
      <c r="D383" s="59"/>
      <c r="E383" s="59"/>
      <c r="F383" s="39"/>
      <c r="G383" s="39">
        <f>G384</f>
        <v>540934000</v>
      </c>
      <c r="H383" s="210" t="b">
        <f t="shared" si="10"/>
        <v>1</v>
      </c>
    </row>
    <row r="384" spans="1:8" ht="13.8" x14ac:dyDescent="0.25">
      <c r="A384" s="7" t="s">
        <v>2293</v>
      </c>
      <c r="B384" s="60">
        <v>532111</v>
      </c>
      <c r="C384" s="41" t="s">
        <v>43</v>
      </c>
      <c r="D384" s="60"/>
      <c r="E384" s="60"/>
      <c r="F384" s="42"/>
      <c r="G384" s="42">
        <f>G385</f>
        <v>540934000</v>
      </c>
      <c r="H384" s="210" t="b">
        <f t="shared" si="10"/>
        <v>1</v>
      </c>
    </row>
    <row r="385" spans="1:8" ht="13.8" x14ac:dyDescent="0.25">
      <c r="A385" s="7" t="s">
        <v>2294</v>
      </c>
      <c r="B385" s="152"/>
      <c r="C385" s="151" t="s">
        <v>4258</v>
      </c>
      <c r="D385" s="152">
        <v>1</v>
      </c>
      <c r="E385" s="152" t="s">
        <v>42</v>
      </c>
      <c r="F385" s="153">
        <v>540934000</v>
      </c>
      <c r="G385" s="153">
        <f>ROUNDDOWN(D385*F385,-3)</f>
        <v>540934000</v>
      </c>
      <c r="H385" s="210" t="b">
        <f t="shared" si="10"/>
        <v>1</v>
      </c>
    </row>
    <row r="386" spans="1:8" ht="13.8" x14ac:dyDescent="0.25">
      <c r="A386" s="7" t="s">
        <v>2465</v>
      </c>
      <c r="B386" s="135" t="s">
        <v>2466</v>
      </c>
      <c r="C386" s="133" t="s">
        <v>2467</v>
      </c>
      <c r="D386" s="135">
        <v>5</v>
      </c>
      <c r="E386" s="135" t="s">
        <v>4315</v>
      </c>
      <c r="F386" s="136"/>
      <c r="G386" s="136">
        <f>SUM(G387,G427,G469)</f>
        <v>1538790000</v>
      </c>
      <c r="H386" s="210" t="b">
        <f t="shared" si="10"/>
        <v>1</v>
      </c>
    </row>
    <row r="387" spans="1:8" ht="13.8" x14ac:dyDescent="0.25">
      <c r="A387" s="7" t="s">
        <v>2468</v>
      </c>
      <c r="B387" s="138" t="s">
        <v>4316</v>
      </c>
      <c r="C387" s="137" t="s">
        <v>2470</v>
      </c>
      <c r="D387" s="138">
        <v>1</v>
      </c>
      <c r="E387" s="138" t="s">
        <v>4315</v>
      </c>
      <c r="F387" s="139"/>
      <c r="G387" s="139">
        <f>G388</f>
        <v>615138000</v>
      </c>
      <c r="H387" s="210" t="b">
        <f t="shared" si="10"/>
        <v>1</v>
      </c>
    </row>
    <row r="388" spans="1:8" ht="26.4" x14ac:dyDescent="0.25">
      <c r="A388" s="7" t="s">
        <v>2739</v>
      </c>
      <c r="B388" s="58">
        <v>301</v>
      </c>
      <c r="C388" s="35" t="s">
        <v>2740</v>
      </c>
      <c r="D388" s="58"/>
      <c r="E388" s="58"/>
      <c r="F388" s="36"/>
      <c r="G388" s="36">
        <f>SUM(G389,G401,G415)</f>
        <v>615138000</v>
      </c>
      <c r="H388" s="210" t="b">
        <f t="shared" si="10"/>
        <v>1</v>
      </c>
    </row>
    <row r="389" spans="1:8" ht="13.8" x14ac:dyDescent="0.25">
      <c r="A389" s="7" t="s">
        <v>2741</v>
      </c>
      <c r="B389" s="59" t="s">
        <v>8</v>
      </c>
      <c r="C389" s="38" t="s">
        <v>129</v>
      </c>
      <c r="D389" s="59"/>
      <c r="E389" s="59"/>
      <c r="F389" s="39"/>
      <c r="G389" s="39">
        <f>SUM(G390,G394,G396,G399)</f>
        <v>101050000</v>
      </c>
      <c r="H389" s="210" t="b">
        <f t="shared" si="10"/>
        <v>1</v>
      </c>
    </row>
    <row r="390" spans="1:8" ht="13.8" x14ac:dyDescent="0.25">
      <c r="A390" s="7" t="s">
        <v>2742</v>
      </c>
      <c r="B390" s="60">
        <v>521211</v>
      </c>
      <c r="C390" s="41" t="s">
        <v>7</v>
      </c>
      <c r="D390" s="60"/>
      <c r="E390" s="60"/>
      <c r="F390" s="42"/>
      <c r="G390" s="42">
        <f>SUM(G391:G393)</f>
        <v>22650000</v>
      </c>
      <c r="H390" s="210" t="b">
        <f t="shared" si="10"/>
        <v>1</v>
      </c>
    </row>
    <row r="391" spans="1:8" ht="13.8" x14ac:dyDescent="0.25">
      <c r="A391" s="7" t="s">
        <v>2743</v>
      </c>
      <c r="B391" s="152"/>
      <c r="C391" s="151" t="s">
        <v>3598</v>
      </c>
      <c r="D391" s="152">
        <v>6</v>
      </c>
      <c r="E391" s="152" t="s">
        <v>9</v>
      </c>
      <c r="F391" s="153">
        <v>1500000</v>
      </c>
      <c r="G391" s="153">
        <f>ROUNDDOWN(D391*F391,-3)</f>
        <v>9000000</v>
      </c>
      <c r="H391" s="210" t="b">
        <f t="shared" si="10"/>
        <v>1</v>
      </c>
    </row>
    <row r="392" spans="1:8" ht="13.8" x14ac:dyDescent="0.25">
      <c r="A392" s="7" t="s">
        <v>2744</v>
      </c>
      <c r="B392" s="152"/>
      <c r="C392" s="151" t="s">
        <v>4420</v>
      </c>
      <c r="D392" s="152">
        <v>70</v>
      </c>
      <c r="E392" s="152" t="s">
        <v>10</v>
      </c>
      <c r="F392" s="153">
        <v>70000</v>
      </c>
      <c r="G392" s="153">
        <f>ROUNDDOWN(D392*F392,-3)</f>
        <v>4900000</v>
      </c>
      <c r="H392" s="210" t="b">
        <f t="shared" si="10"/>
        <v>1</v>
      </c>
    </row>
    <row r="393" spans="1:8" ht="13.8" x14ac:dyDescent="0.25">
      <c r="A393" s="7" t="s">
        <v>2746</v>
      </c>
      <c r="B393" s="152"/>
      <c r="C393" s="151" t="s">
        <v>4421</v>
      </c>
      <c r="D393" s="152">
        <v>25</v>
      </c>
      <c r="E393" s="152" t="s">
        <v>176</v>
      </c>
      <c r="F393" s="153">
        <v>350000</v>
      </c>
      <c r="G393" s="153">
        <f>ROUNDDOWN(D393*F393,-3)</f>
        <v>8750000</v>
      </c>
      <c r="H393" s="210" t="b">
        <f t="shared" si="10"/>
        <v>1</v>
      </c>
    </row>
    <row r="394" spans="1:8" ht="13.8" x14ac:dyDescent="0.25">
      <c r="A394" s="7" t="s">
        <v>2747</v>
      </c>
      <c r="B394" s="60">
        <v>521219</v>
      </c>
      <c r="C394" s="41" t="s">
        <v>53</v>
      </c>
      <c r="D394" s="60"/>
      <c r="E394" s="60"/>
      <c r="F394" s="42"/>
      <c r="G394" s="42">
        <f>G395</f>
        <v>1000000</v>
      </c>
      <c r="H394" s="210" t="b">
        <f t="shared" si="10"/>
        <v>1</v>
      </c>
    </row>
    <row r="395" spans="1:8" ht="13.8" x14ac:dyDescent="0.25">
      <c r="A395" s="7" t="s">
        <v>2748</v>
      </c>
      <c r="B395" s="152"/>
      <c r="C395" s="151" t="s">
        <v>3722</v>
      </c>
      <c r="D395" s="152">
        <v>4</v>
      </c>
      <c r="E395" s="152" t="s">
        <v>2749</v>
      </c>
      <c r="F395" s="153">
        <v>250000</v>
      </c>
      <c r="G395" s="153">
        <f>ROUNDDOWN(D395*F395,-3)</f>
        <v>1000000</v>
      </c>
      <c r="H395" s="210" t="b">
        <f t="shared" si="10"/>
        <v>1</v>
      </c>
    </row>
    <row r="396" spans="1:8" ht="13.8" x14ac:dyDescent="0.25">
      <c r="A396" s="7" t="s">
        <v>2750</v>
      </c>
      <c r="B396" s="60">
        <v>521811</v>
      </c>
      <c r="C396" s="41" t="s">
        <v>64</v>
      </c>
      <c r="D396" s="60"/>
      <c r="E396" s="60"/>
      <c r="F396" s="42"/>
      <c r="G396" s="42">
        <f>SUM(G397:G398)</f>
        <v>15000000</v>
      </c>
      <c r="H396" s="210" t="b">
        <f t="shared" si="10"/>
        <v>1</v>
      </c>
    </row>
    <row r="397" spans="1:8" ht="13.8" x14ac:dyDescent="0.25">
      <c r="A397" s="7" t="s">
        <v>2751</v>
      </c>
      <c r="B397" s="152"/>
      <c r="C397" s="151" t="s">
        <v>3625</v>
      </c>
      <c r="D397" s="152">
        <v>6</v>
      </c>
      <c r="E397" s="152" t="s">
        <v>106</v>
      </c>
      <c r="F397" s="153">
        <v>1000000</v>
      </c>
      <c r="G397" s="153">
        <f>ROUNDDOWN(D397*F397,-3)</f>
        <v>6000000</v>
      </c>
      <c r="H397" s="210" t="b">
        <f t="shared" ref="H397:H460" si="13">_xlfn.ISFORMULA(G397)</f>
        <v>1</v>
      </c>
    </row>
    <row r="398" spans="1:8" ht="13.8" x14ac:dyDescent="0.25">
      <c r="A398" s="7" t="s">
        <v>2752</v>
      </c>
      <c r="B398" s="152"/>
      <c r="C398" s="151" t="s">
        <v>3626</v>
      </c>
      <c r="D398" s="152">
        <v>6</v>
      </c>
      <c r="E398" s="152" t="s">
        <v>106</v>
      </c>
      <c r="F398" s="153">
        <v>1500000</v>
      </c>
      <c r="G398" s="153">
        <f>ROUNDDOWN(D398*F398,-3)</f>
        <v>9000000</v>
      </c>
      <c r="H398" s="210" t="b">
        <f t="shared" si="13"/>
        <v>1</v>
      </c>
    </row>
    <row r="399" spans="1:8" ht="13.8" x14ac:dyDescent="0.25">
      <c r="A399" s="7" t="s">
        <v>2753</v>
      </c>
      <c r="B399" s="60">
        <v>524111</v>
      </c>
      <c r="C399" s="41" t="s">
        <v>19</v>
      </c>
      <c r="D399" s="60"/>
      <c r="E399" s="60"/>
      <c r="F399" s="42"/>
      <c r="G399" s="42">
        <f>G400</f>
        <v>62400000</v>
      </c>
      <c r="H399" s="210" t="b">
        <f t="shared" si="13"/>
        <v>1</v>
      </c>
    </row>
    <row r="400" spans="1:8" ht="13.8" x14ac:dyDescent="0.25">
      <c r="A400" s="7" t="s">
        <v>2754</v>
      </c>
      <c r="B400" s="152"/>
      <c r="C400" s="151" t="s">
        <v>4422</v>
      </c>
      <c r="D400" s="152">
        <v>12</v>
      </c>
      <c r="E400" s="152" t="s">
        <v>10</v>
      </c>
      <c r="F400" s="153">
        <v>5200000</v>
      </c>
      <c r="G400" s="153">
        <f>ROUNDDOWN(D400*F400,-3)</f>
        <v>62400000</v>
      </c>
      <c r="H400" s="210" t="b">
        <f t="shared" si="13"/>
        <v>1</v>
      </c>
    </row>
    <row r="401" spans="1:8" ht="13.8" x14ac:dyDescent="0.25">
      <c r="A401" s="7" t="s">
        <v>2756</v>
      </c>
      <c r="B401" s="59" t="s">
        <v>511</v>
      </c>
      <c r="C401" s="38" t="s">
        <v>130</v>
      </c>
      <c r="D401" s="59"/>
      <c r="E401" s="59"/>
      <c r="F401" s="39"/>
      <c r="G401" s="39">
        <f>SUM(G402,G406,G408,G411,G413)</f>
        <v>345988000</v>
      </c>
      <c r="H401" s="210" t="b">
        <f t="shared" si="13"/>
        <v>1</v>
      </c>
    </row>
    <row r="402" spans="1:8" ht="13.8" x14ac:dyDescent="0.25">
      <c r="A402" s="7" t="s">
        <v>2757</v>
      </c>
      <c r="B402" s="60">
        <v>521211</v>
      </c>
      <c r="C402" s="41" t="s">
        <v>7</v>
      </c>
      <c r="D402" s="60"/>
      <c r="E402" s="60"/>
      <c r="F402" s="42"/>
      <c r="G402" s="42">
        <f>SUM(G403:G405)</f>
        <v>49300000</v>
      </c>
      <c r="H402" s="210" t="b">
        <f t="shared" si="13"/>
        <v>1</v>
      </c>
    </row>
    <row r="403" spans="1:8" ht="13.8" x14ac:dyDescent="0.25">
      <c r="A403" s="7" t="s">
        <v>2758</v>
      </c>
      <c r="B403" s="152"/>
      <c r="C403" s="151" t="s">
        <v>3598</v>
      </c>
      <c r="D403" s="152">
        <v>10</v>
      </c>
      <c r="E403" s="152" t="s">
        <v>9</v>
      </c>
      <c r="F403" s="153">
        <v>1500000</v>
      </c>
      <c r="G403" s="153">
        <f>ROUNDDOWN(D403*F403,-3)</f>
        <v>15000000</v>
      </c>
      <c r="H403" s="210" t="b">
        <f t="shared" si="13"/>
        <v>1</v>
      </c>
    </row>
    <row r="404" spans="1:8" ht="13.8" x14ac:dyDescent="0.25">
      <c r="A404" s="7" t="s">
        <v>2759</v>
      </c>
      <c r="B404" s="152"/>
      <c r="C404" s="151" t="s">
        <v>4420</v>
      </c>
      <c r="D404" s="152">
        <v>290</v>
      </c>
      <c r="E404" s="152" t="s">
        <v>10</v>
      </c>
      <c r="F404" s="153">
        <v>70000</v>
      </c>
      <c r="G404" s="153">
        <f>ROUNDDOWN(D404*F404,-3)</f>
        <v>20300000</v>
      </c>
      <c r="H404" s="210" t="b">
        <f t="shared" si="13"/>
        <v>1</v>
      </c>
    </row>
    <row r="405" spans="1:8" ht="13.8" x14ac:dyDescent="0.25">
      <c r="A405" s="7" t="s">
        <v>2760</v>
      </c>
      <c r="B405" s="152"/>
      <c r="C405" s="151" t="s">
        <v>4421</v>
      </c>
      <c r="D405" s="152">
        <v>40</v>
      </c>
      <c r="E405" s="152" t="s">
        <v>176</v>
      </c>
      <c r="F405" s="153">
        <v>350000</v>
      </c>
      <c r="G405" s="153">
        <f>ROUNDDOWN(D405*F405,-3)</f>
        <v>14000000</v>
      </c>
      <c r="H405" s="210" t="b">
        <f t="shared" si="13"/>
        <v>1</v>
      </c>
    </row>
    <row r="406" spans="1:8" ht="13.8" x14ac:dyDescent="0.25">
      <c r="A406" s="7" t="s">
        <v>2761</v>
      </c>
      <c r="B406" s="60">
        <v>521219</v>
      </c>
      <c r="C406" s="41" t="s">
        <v>53</v>
      </c>
      <c r="D406" s="60"/>
      <c r="E406" s="60"/>
      <c r="F406" s="42"/>
      <c r="G406" s="42">
        <f>G407</f>
        <v>1000000</v>
      </c>
      <c r="H406" s="210" t="b">
        <f t="shared" si="13"/>
        <v>1</v>
      </c>
    </row>
    <row r="407" spans="1:8" ht="13.8" x14ac:dyDescent="0.25">
      <c r="A407" s="7" t="s">
        <v>2762</v>
      </c>
      <c r="B407" s="152"/>
      <c r="C407" s="151" t="s">
        <v>3722</v>
      </c>
      <c r="D407" s="152">
        <v>4</v>
      </c>
      <c r="E407" s="152" t="s">
        <v>9</v>
      </c>
      <c r="F407" s="153">
        <v>250000</v>
      </c>
      <c r="G407" s="153">
        <f>ROUNDDOWN(D407*F407,-3)</f>
        <v>1000000</v>
      </c>
      <c r="H407" s="210" t="b">
        <f t="shared" si="13"/>
        <v>1</v>
      </c>
    </row>
    <row r="408" spans="1:8" ht="13.8" x14ac:dyDescent="0.25">
      <c r="A408" s="7" t="s">
        <v>2763</v>
      </c>
      <c r="B408" s="60">
        <v>521811</v>
      </c>
      <c r="C408" s="41" t="s">
        <v>64</v>
      </c>
      <c r="D408" s="60"/>
      <c r="E408" s="60"/>
      <c r="F408" s="42"/>
      <c r="G408" s="42">
        <f>SUM(G409:G410)</f>
        <v>25000000</v>
      </c>
      <c r="H408" s="210" t="b">
        <f t="shared" si="13"/>
        <v>1</v>
      </c>
    </row>
    <row r="409" spans="1:8" ht="13.8" x14ac:dyDescent="0.25">
      <c r="A409" s="7" t="s">
        <v>2764</v>
      </c>
      <c r="B409" s="152"/>
      <c r="C409" s="151" t="s">
        <v>3625</v>
      </c>
      <c r="D409" s="152">
        <v>10</v>
      </c>
      <c r="E409" s="152" t="s">
        <v>106</v>
      </c>
      <c r="F409" s="153">
        <v>1000000</v>
      </c>
      <c r="G409" s="153">
        <f>ROUNDDOWN(D409*F409,-3)</f>
        <v>10000000</v>
      </c>
      <c r="H409" s="210" t="b">
        <f t="shared" si="13"/>
        <v>1</v>
      </c>
    </row>
    <row r="410" spans="1:8" ht="13.8" x14ac:dyDescent="0.25">
      <c r="A410" s="7" t="s">
        <v>2765</v>
      </c>
      <c r="B410" s="152"/>
      <c r="C410" s="151" t="s">
        <v>3626</v>
      </c>
      <c r="D410" s="152">
        <v>10</v>
      </c>
      <c r="E410" s="152" t="s">
        <v>106</v>
      </c>
      <c r="F410" s="153">
        <v>1500000</v>
      </c>
      <c r="G410" s="153">
        <f>ROUNDDOWN(D410*F410,-3)</f>
        <v>15000000</v>
      </c>
      <c r="H410" s="210" t="b">
        <f t="shared" si="13"/>
        <v>1</v>
      </c>
    </row>
    <row r="411" spans="1:8" ht="13.8" x14ac:dyDescent="0.25">
      <c r="A411" s="7" t="s">
        <v>2766</v>
      </c>
      <c r="B411" s="60">
        <v>522151</v>
      </c>
      <c r="C411" s="41" t="s">
        <v>11</v>
      </c>
      <c r="D411" s="60"/>
      <c r="E411" s="60"/>
      <c r="F411" s="42"/>
      <c r="G411" s="42">
        <f>G412</f>
        <v>12000000</v>
      </c>
      <c r="H411" s="210" t="b">
        <f t="shared" si="13"/>
        <v>1</v>
      </c>
    </row>
    <row r="412" spans="1:8" ht="13.8" x14ac:dyDescent="0.25">
      <c r="A412" s="7" t="s">
        <v>2767</v>
      </c>
      <c r="B412" s="152"/>
      <c r="C412" s="151" t="s">
        <v>3715</v>
      </c>
      <c r="D412" s="152">
        <v>12</v>
      </c>
      <c r="E412" s="152" t="s">
        <v>54</v>
      </c>
      <c r="F412" s="153">
        <v>1000000</v>
      </c>
      <c r="G412" s="153">
        <f>ROUNDDOWN(D412*F412,-3)</f>
        <v>12000000</v>
      </c>
      <c r="H412" s="210" t="b">
        <f t="shared" si="13"/>
        <v>1</v>
      </c>
    </row>
    <row r="413" spans="1:8" ht="13.8" x14ac:dyDescent="0.25">
      <c r="A413" s="7" t="s">
        <v>2768</v>
      </c>
      <c r="B413" s="60">
        <v>524111</v>
      </c>
      <c r="C413" s="41" t="s">
        <v>19</v>
      </c>
      <c r="D413" s="60"/>
      <c r="E413" s="60"/>
      <c r="F413" s="42"/>
      <c r="G413" s="42">
        <f>G414</f>
        <v>258688000</v>
      </c>
      <c r="H413" s="210" t="b">
        <f t="shared" si="13"/>
        <v>1</v>
      </c>
    </row>
    <row r="414" spans="1:8" ht="13.8" x14ac:dyDescent="0.25">
      <c r="A414" s="7" t="s">
        <v>2769</v>
      </c>
      <c r="B414" s="152"/>
      <c r="C414" s="151" t="s">
        <v>4423</v>
      </c>
      <c r="D414" s="152">
        <v>40</v>
      </c>
      <c r="E414" s="152" t="s">
        <v>10</v>
      </c>
      <c r="F414" s="153">
        <v>6467200</v>
      </c>
      <c r="G414" s="153">
        <f>ROUNDDOWN(D414*F414,-3)</f>
        <v>258688000</v>
      </c>
      <c r="H414" s="210" t="b">
        <f t="shared" si="13"/>
        <v>1</v>
      </c>
    </row>
    <row r="415" spans="1:8" ht="13.8" x14ac:dyDescent="0.25">
      <c r="A415" s="7" t="s">
        <v>2771</v>
      </c>
      <c r="B415" s="59" t="s">
        <v>512</v>
      </c>
      <c r="C415" s="38" t="s">
        <v>131</v>
      </c>
      <c r="D415" s="59"/>
      <c r="E415" s="59"/>
      <c r="F415" s="39"/>
      <c r="G415" s="39">
        <f>SUM(G416,G420,G423,G425)</f>
        <v>168100000</v>
      </c>
      <c r="H415" s="210" t="b">
        <f t="shared" si="13"/>
        <v>1</v>
      </c>
    </row>
    <row r="416" spans="1:8" ht="13.8" x14ac:dyDescent="0.25">
      <c r="A416" s="7" t="s">
        <v>2772</v>
      </c>
      <c r="B416" s="60">
        <v>521211</v>
      </c>
      <c r="C416" s="41" t="s">
        <v>7</v>
      </c>
      <c r="D416" s="60"/>
      <c r="E416" s="60"/>
      <c r="F416" s="42"/>
      <c r="G416" s="42">
        <f>SUM(G417:G419)</f>
        <v>39500000</v>
      </c>
      <c r="H416" s="210" t="b">
        <f t="shared" si="13"/>
        <v>1</v>
      </c>
    </row>
    <row r="417" spans="1:8" ht="13.8" x14ac:dyDescent="0.25">
      <c r="A417" s="7" t="s">
        <v>2773</v>
      </c>
      <c r="B417" s="152"/>
      <c r="C417" s="151" t="s">
        <v>3598</v>
      </c>
      <c r="D417" s="152">
        <v>10</v>
      </c>
      <c r="E417" s="152" t="s">
        <v>9</v>
      </c>
      <c r="F417" s="153">
        <v>1500000</v>
      </c>
      <c r="G417" s="153">
        <f>ROUNDDOWN(D417*F417,-3)</f>
        <v>15000000</v>
      </c>
      <c r="H417" s="210" t="b">
        <f t="shared" si="13"/>
        <v>1</v>
      </c>
    </row>
    <row r="418" spans="1:8" ht="13.8" x14ac:dyDescent="0.25">
      <c r="A418" s="7" t="s">
        <v>2774</v>
      </c>
      <c r="B418" s="152"/>
      <c r="C418" s="151" t="s">
        <v>4420</v>
      </c>
      <c r="D418" s="152">
        <v>150</v>
      </c>
      <c r="E418" s="152" t="s">
        <v>10</v>
      </c>
      <c r="F418" s="153">
        <v>70000</v>
      </c>
      <c r="G418" s="153">
        <f>ROUNDDOWN(D418*F418,-3)</f>
        <v>10500000</v>
      </c>
      <c r="H418" s="210" t="b">
        <f t="shared" si="13"/>
        <v>1</v>
      </c>
    </row>
    <row r="419" spans="1:8" ht="13.8" x14ac:dyDescent="0.25">
      <c r="A419" s="7" t="s">
        <v>2775</v>
      </c>
      <c r="B419" s="152"/>
      <c r="C419" s="151" t="s">
        <v>4421</v>
      </c>
      <c r="D419" s="152">
        <v>40</v>
      </c>
      <c r="E419" s="152" t="s">
        <v>176</v>
      </c>
      <c r="F419" s="153">
        <v>350000</v>
      </c>
      <c r="G419" s="153">
        <f>ROUNDDOWN(D419*F419,-3)</f>
        <v>14000000</v>
      </c>
      <c r="H419" s="210" t="b">
        <f t="shared" si="13"/>
        <v>1</v>
      </c>
    </row>
    <row r="420" spans="1:8" ht="13.8" x14ac:dyDescent="0.25">
      <c r="A420" s="7" t="s">
        <v>2776</v>
      </c>
      <c r="B420" s="60">
        <v>521811</v>
      </c>
      <c r="C420" s="41" t="s">
        <v>64</v>
      </c>
      <c r="D420" s="60"/>
      <c r="E420" s="60"/>
      <c r="F420" s="42"/>
      <c r="G420" s="42">
        <f>SUM(G421:G422)</f>
        <v>25000000</v>
      </c>
      <c r="H420" s="210" t="b">
        <f t="shared" si="13"/>
        <v>1</v>
      </c>
    </row>
    <row r="421" spans="1:8" ht="13.8" x14ac:dyDescent="0.25">
      <c r="A421" s="7" t="s">
        <v>2777</v>
      </c>
      <c r="B421" s="152"/>
      <c r="C421" s="151" t="s">
        <v>3625</v>
      </c>
      <c r="D421" s="152">
        <v>10</v>
      </c>
      <c r="E421" s="152" t="s">
        <v>106</v>
      </c>
      <c r="F421" s="153">
        <v>1000000</v>
      </c>
      <c r="G421" s="153">
        <f>ROUNDDOWN(D421*F421,-3)</f>
        <v>10000000</v>
      </c>
      <c r="H421" s="210" t="b">
        <f t="shared" si="13"/>
        <v>1</v>
      </c>
    </row>
    <row r="422" spans="1:8" ht="13.8" x14ac:dyDescent="0.25">
      <c r="A422" s="7" t="s">
        <v>2778</v>
      </c>
      <c r="B422" s="152"/>
      <c r="C422" s="151" t="s">
        <v>3626</v>
      </c>
      <c r="D422" s="152">
        <v>10</v>
      </c>
      <c r="E422" s="152" t="s">
        <v>106</v>
      </c>
      <c r="F422" s="153">
        <v>1500000</v>
      </c>
      <c r="G422" s="153">
        <f>ROUNDDOWN(D422*F422,-3)</f>
        <v>15000000</v>
      </c>
      <c r="H422" s="210" t="b">
        <f t="shared" si="13"/>
        <v>1</v>
      </c>
    </row>
    <row r="423" spans="1:8" ht="13.8" x14ac:dyDescent="0.25">
      <c r="A423" s="7" t="s">
        <v>2779</v>
      </c>
      <c r="B423" s="60">
        <v>522151</v>
      </c>
      <c r="C423" s="41" t="s">
        <v>11</v>
      </c>
      <c r="D423" s="60"/>
      <c r="E423" s="60"/>
      <c r="F423" s="42"/>
      <c r="G423" s="42">
        <f>G424</f>
        <v>10000000</v>
      </c>
      <c r="H423" s="210" t="b">
        <f t="shared" si="13"/>
        <v>1</v>
      </c>
    </row>
    <row r="424" spans="1:8" ht="13.8" x14ac:dyDescent="0.25">
      <c r="A424" s="7" t="s">
        <v>2780</v>
      </c>
      <c r="B424" s="152"/>
      <c r="C424" s="151" t="s">
        <v>3715</v>
      </c>
      <c r="D424" s="152">
        <v>10</v>
      </c>
      <c r="E424" s="152" t="s">
        <v>54</v>
      </c>
      <c r="F424" s="153">
        <v>1000000</v>
      </c>
      <c r="G424" s="153">
        <f>ROUNDDOWN(D424*F424,-3)</f>
        <v>10000000</v>
      </c>
      <c r="H424" s="210" t="b">
        <f t="shared" si="13"/>
        <v>1</v>
      </c>
    </row>
    <row r="425" spans="1:8" ht="13.8" x14ac:dyDescent="0.25">
      <c r="A425" s="7" t="s">
        <v>2781</v>
      </c>
      <c r="B425" s="60">
        <v>524111</v>
      </c>
      <c r="C425" s="41" t="s">
        <v>19</v>
      </c>
      <c r="D425" s="60"/>
      <c r="E425" s="60"/>
      <c r="F425" s="42"/>
      <c r="G425" s="42">
        <f>G426</f>
        <v>93600000</v>
      </c>
      <c r="H425" s="210" t="b">
        <f t="shared" si="13"/>
        <v>1</v>
      </c>
    </row>
    <row r="426" spans="1:8" ht="26.4" x14ac:dyDescent="0.25">
      <c r="A426" s="7" t="s">
        <v>2782</v>
      </c>
      <c r="B426" s="152"/>
      <c r="C426" s="151" t="s">
        <v>4424</v>
      </c>
      <c r="D426" s="152">
        <v>18</v>
      </c>
      <c r="E426" s="152" t="s">
        <v>10</v>
      </c>
      <c r="F426" s="153">
        <v>5200000</v>
      </c>
      <c r="G426" s="153">
        <f>ROUNDDOWN(D426*F426,-3)</f>
        <v>93600000</v>
      </c>
      <c r="H426" s="210" t="b">
        <f t="shared" si="13"/>
        <v>1</v>
      </c>
    </row>
    <row r="427" spans="1:8" ht="13.8" x14ac:dyDescent="0.25">
      <c r="A427" s="7" t="s">
        <v>2784</v>
      </c>
      <c r="B427" s="138" t="s">
        <v>4425</v>
      </c>
      <c r="C427" s="137" t="s">
        <v>2786</v>
      </c>
      <c r="D427" s="138">
        <v>2</v>
      </c>
      <c r="E427" s="138" t="s">
        <v>4315</v>
      </c>
      <c r="F427" s="139"/>
      <c r="G427" s="139">
        <f>SUM(G428,G457)</f>
        <v>633732000</v>
      </c>
      <c r="H427" s="210" t="b">
        <f t="shared" si="13"/>
        <v>1</v>
      </c>
    </row>
    <row r="428" spans="1:8" ht="26.4" x14ac:dyDescent="0.25">
      <c r="A428" s="7" t="s">
        <v>3052</v>
      </c>
      <c r="B428" s="58">
        <v>301</v>
      </c>
      <c r="C428" s="35" t="s">
        <v>3053</v>
      </c>
      <c r="D428" s="58"/>
      <c r="E428" s="58"/>
      <c r="F428" s="36"/>
      <c r="G428" s="36">
        <f>SUM(G429,G440)</f>
        <v>507200000</v>
      </c>
      <c r="H428" s="210" t="b">
        <f t="shared" si="13"/>
        <v>1</v>
      </c>
    </row>
    <row r="429" spans="1:8" ht="13.8" x14ac:dyDescent="0.25">
      <c r="A429" s="7" t="s">
        <v>3054</v>
      </c>
      <c r="B429" s="59" t="s">
        <v>8</v>
      </c>
      <c r="C429" s="38" t="s">
        <v>174</v>
      </c>
      <c r="D429" s="59"/>
      <c r="E429" s="59"/>
      <c r="F429" s="39"/>
      <c r="G429" s="39">
        <f>SUM(G430,G436,G438)</f>
        <v>295200000</v>
      </c>
      <c r="H429" s="210" t="b">
        <f t="shared" si="13"/>
        <v>1</v>
      </c>
    </row>
    <row r="430" spans="1:8" ht="13.8" x14ac:dyDescent="0.25">
      <c r="A430" s="7" t="s">
        <v>3055</v>
      </c>
      <c r="B430" s="60">
        <v>521211</v>
      </c>
      <c r="C430" s="41" t="s">
        <v>7</v>
      </c>
      <c r="D430" s="60"/>
      <c r="E430" s="60"/>
      <c r="F430" s="42"/>
      <c r="G430" s="42">
        <f>SUM(G431:G435)</f>
        <v>46000000</v>
      </c>
      <c r="H430" s="210" t="b">
        <f t="shared" si="13"/>
        <v>1</v>
      </c>
    </row>
    <row r="431" spans="1:8" ht="13.8" x14ac:dyDescent="0.25">
      <c r="A431" s="7" t="s">
        <v>3056</v>
      </c>
      <c r="B431" s="152"/>
      <c r="C431" s="151" t="s">
        <v>3598</v>
      </c>
      <c r="D431" s="152">
        <v>5</v>
      </c>
      <c r="E431" s="152" t="s">
        <v>9</v>
      </c>
      <c r="F431" s="153">
        <v>1500000</v>
      </c>
      <c r="G431" s="153">
        <f>ROUNDDOWN(D431*F431,-3)</f>
        <v>7500000</v>
      </c>
      <c r="H431" s="210" t="b">
        <f t="shared" si="13"/>
        <v>1</v>
      </c>
    </row>
    <row r="432" spans="1:8" ht="13.8" x14ac:dyDescent="0.25">
      <c r="A432" s="7" t="s">
        <v>3057</v>
      </c>
      <c r="B432" s="152"/>
      <c r="C432" s="151" t="s">
        <v>4420</v>
      </c>
      <c r="D432" s="152">
        <v>280</v>
      </c>
      <c r="E432" s="152" t="s">
        <v>10</v>
      </c>
      <c r="F432" s="153">
        <v>75000</v>
      </c>
      <c r="G432" s="153">
        <f>ROUNDDOWN(D432*F432,-3)</f>
        <v>21000000</v>
      </c>
      <c r="H432" s="210" t="b">
        <f t="shared" si="13"/>
        <v>1</v>
      </c>
    </row>
    <row r="433" spans="1:8" ht="13.8" x14ac:dyDescent="0.25">
      <c r="A433" s="7" t="s">
        <v>3058</v>
      </c>
      <c r="B433" s="152"/>
      <c r="C433" s="151" t="s">
        <v>4421</v>
      </c>
      <c r="D433" s="152">
        <v>30</v>
      </c>
      <c r="E433" s="152" t="s">
        <v>176</v>
      </c>
      <c r="F433" s="153">
        <v>250000</v>
      </c>
      <c r="G433" s="153">
        <f>ROUNDDOWN(D433*F433,-3)</f>
        <v>7500000</v>
      </c>
      <c r="H433" s="210" t="b">
        <f t="shared" si="13"/>
        <v>1</v>
      </c>
    </row>
    <row r="434" spans="1:8" ht="13.8" x14ac:dyDescent="0.25">
      <c r="A434" s="7" t="s">
        <v>3059</v>
      </c>
      <c r="B434" s="152"/>
      <c r="C434" s="151" t="s">
        <v>3610</v>
      </c>
      <c r="D434" s="152">
        <v>4</v>
      </c>
      <c r="E434" s="152" t="s">
        <v>106</v>
      </c>
      <c r="F434" s="153">
        <v>1000000</v>
      </c>
      <c r="G434" s="153">
        <f>ROUNDDOWN(D434*F434,-3)</f>
        <v>4000000</v>
      </c>
      <c r="H434" s="210" t="b">
        <f t="shared" si="13"/>
        <v>1</v>
      </c>
    </row>
    <row r="435" spans="1:8" ht="13.8" x14ac:dyDescent="0.25">
      <c r="A435" s="7" t="s">
        <v>3060</v>
      </c>
      <c r="B435" s="152"/>
      <c r="C435" s="151" t="s">
        <v>3611</v>
      </c>
      <c r="D435" s="152">
        <v>4</v>
      </c>
      <c r="E435" s="152" t="s">
        <v>106</v>
      </c>
      <c r="F435" s="153">
        <v>1500000</v>
      </c>
      <c r="G435" s="153">
        <f>ROUNDDOWN(D435*F435,-3)</f>
        <v>6000000</v>
      </c>
      <c r="H435" s="210" t="b">
        <f t="shared" si="13"/>
        <v>1</v>
      </c>
    </row>
    <row r="436" spans="1:8" ht="13.8" x14ac:dyDescent="0.25">
      <c r="A436" s="7" t="s">
        <v>3061</v>
      </c>
      <c r="B436" s="60">
        <v>521219</v>
      </c>
      <c r="C436" s="41" t="s">
        <v>53</v>
      </c>
      <c r="D436" s="60"/>
      <c r="E436" s="60"/>
      <c r="F436" s="42"/>
      <c r="G436" s="42">
        <f>G437</f>
        <v>2000000</v>
      </c>
      <c r="H436" s="210" t="b">
        <f t="shared" si="13"/>
        <v>1</v>
      </c>
    </row>
    <row r="437" spans="1:8" ht="26.4" x14ac:dyDescent="0.25">
      <c r="A437" s="7" t="s">
        <v>3062</v>
      </c>
      <c r="B437" s="152"/>
      <c r="C437" s="151" t="s">
        <v>4508</v>
      </c>
      <c r="D437" s="152">
        <v>1</v>
      </c>
      <c r="E437" s="152" t="s">
        <v>153</v>
      </c>
      <c r="F437" s="153">
        <v>2000000</v>
      </c>
      <c r="G437" s="153">
        <f>ROUNDDOWN(D437*F437,-3)</f>
        <v>2000000</v>
      </c>
      <c r="H437" s="210" t="b">
        <f t="shared" si="13"/>
        <v>1</v>
      </c>
    </row>
    <row r="438" spans="1:8" ht="13.8" x14ac:dyDescent="0.25">
      <c r="A438" s="7" t="s">
        <v>3064</v>
      </c>
      <c r="B438" s="60">
        <v>524111</v>
      </c>
      <c r="C438" s="41" t="s">
        <v>19</v>
      </c>
      <c r="D438" s="60"/>
      <c r="E438" s="60"/>
      <c r="F438" s="42"/>
      <c r="G438" s="42">
        <f>G439</f>
        <v>247200000</v>
      </c>
      <c r="H438" s="210" t="b">
        <f t="shared" si="13"/>
        <v>1</v>
      </c>
    </row>
    <row r="439" spans="1:8" ht="13.8" x14ac:dyDescent="0.25">
      <c r="A439" s="7" t="s">
        <v>3065</v>
      </c>
      <c r="B439" s="152"/>
      <c r="C439" s="151" t="s">
        <v>4509</v>
      </c>
      <c r="D439" s="152">
        <v>40</v>
      </c>
      <c r="E439" s="152" t="s">
        <v>10</v>
      </c>
      <c r="F439" s="153">
        <v>6180000</v>
      </c>
      <c r="G439" s="153">
        <f>ROUNDDOWN(D439*F439,-3)</f>
        <v>247200000</v>
      </c>
      <c r="H439" s="210" t="b">
        <f t="shared" si="13"/>
        <v>1</v>
      </c>
    </row>
    <row r="440" spans="1:8" ht="13.8" x14ac:dyDescent="0.25">
      <c r="A440" s="7" t="s">
        <v>3067</v>
      </c>
      <c r="B440" s="59" t="s">
        <v>511</v>
      </c>
      <c r="C440" s="38" t="s">
        <v>175</v>
      </c>
      <c r="D440" s="59"/>
      <c r="E440" s="59"/>
      <c r="F440" s="39"/>
      <c r="G440" s="39">
        <f>SUM(G441,G448,G451,G453,G455)</f>
        <v>212000000</v>
      </c>
      <c r="H440" s="210" t="b">
        <f t="shared" si="13"/>
        <v>1</v>
      </c>
    </row>
    <row r="441" spans="1:8" ht="13.8" x14ac:dyDescent="0.25">
      <c r="A441" s="7" t="s">
        <v>3068</v>
      </c>
      <c r="B441" s="60">
        <v>521211</v>
      </c>
      <c r="C441" s="41" t="s">
        <v>7</v>
      </c>
      <c r="D441" s="60"/>
      <c r="E441" s="60"/>
      <c r="F441" s="42"/>
      <c r="G441" s="42">
        <f>SUM(G442:G447)</f>
        <v>41000000</v>
      </c>
      <c r="H441" s="210" t="b">
        <f t="shared" si="13"/>
        <v>1</v>
      </c>
    </row>
    <row r="442" spans="1:8" ht="13.8" x14ac:dyDescent="0.25">
      <c r="A442" s="7" t="s">
        <v>3069</v>
      </c>
      <c r="B442" s="152"/>
      <c r="C442" s="151" t="s">
        <v>3598</v>
      </c>
      <c r="D442" s="152">
        <v>4</v>
      </c>
      <c r="E442" s="152" t="s">
        <v>9</v>
      </c>
      <c r="F442" s="153">
        <v>1500000</v>
      </c>
      <c r="G442" s="153">
        <f t="shared" ref="G442:G447" si="14">ROUNDDOWN(D442*F442,-3)</f>
        <v>6000000</v>
      </c>
      <c r="H442" s="210" t="b">
        <f t="shared" si="13"/>
        <v>1</v>
      </c>
    </row>
    <row r="443" spans="1:8" ht="13.8" x14ac:dyDescent="0.25">
      <c r="A443" s="7" t="s">
        <v>3070</v>
      </c>
      <c r="B443" s="152"/>
      <c r="C443" s="151" t="s">
        <v>4420</v>
      </c>
      <c r="D443" s="152">
        <v>180</v>
      </c>
      <c r="E443" s="152" t="s">
        <v>10</v>
      </c>
      <c r="F443" s="153">
        <v>75000</v>
      </c>
      <c r="G443" s="153">
        <f t="shared" si="14"/>
        <v>13500000</v>
      </c>
      <c r="H443" s="210" t="b">
        <f t="shared" si="13"/>
        <v>1</v>
      </c>
    </row>
    <row r="444" spans="1:8" ht="13.8" x14ac:dyDescent="0.25">
      <c r="A444" s="7" t="s">
        <v>3071</v>
      </c>
      <c r="B444" s="152"/>
      <c r="C444" s="151" t="s">
        <v>4510</v>
      </c>
      <c r="D444" s="152">
        <v>15</v>
      </c>
      <c r="E444" s="152" t="s">
        <v>176</v>
      </c>
      <c r="F444" s="153">
        <v>500000</v>
      </c>
      <c r="G444" s="153">
        <f t="shared" si="14"/>
        <v>7500000</v>
      </c>
      <c r="H444" s="210" t="b">
        <f t="shared" si="13"/>
        <v>1</v>
      </c>
    </row>
    <row r="445" spans="1:8" ht="13.8" x14ac:dyDescent="0.25">
      <c r="A445" s="7" t="s">
        <v>3073</v>
      </c>
      <c r="B445" s="152"/>
      <c r="C445" s="151" t="s">
        <v>3610</v>
      </c>
      <c r="D445" s="152">
        <v>4</v>
      </c>
      <c r="E445" s="152" t="s">
        <v>106</v>
      </c>
      <c r="F445" s="153">
        <v>1000000</v>
      </c>
      <c r="G445" s="153">
        <f t="shared" si="14"/>
        <v>4000000</v>
      </c>
      <c r="H445" s="210" t="b">
        <f t="shared" si="13"/>
        <v>1</v>
      </c>
    </row>
    <row r="446" spans="1:8" ht="13.8" x14ac:dyDescent="0.25">
      <c r="A446" s="7" t="s">
        <v>3074</v>
      </c>
      <c r="B446" s="152"/>
      <c r="C446" s="151" t="s">
        <v>3611</v>
      </c>
      <c r="D446" s="152">
        <v>4</v>
      </c>
      <c r="E446" s="152" t="s">
        <v>106</v>
      </c>
      <c r="F446" s="153">
        <v>1500000</v>
      </c>
      <c r="G446" s="153">
        <f t="shared" si="14"/>
        <v>6000000</v>
      </c>
      <c r="H446" s="210" t="b">
        <f t="shared" si="13"/>
        <v>1</v>
      </c>
    </row>
    <row r="447" spans="1:8" ht="13.8" x14ac:dyDescent="0.25">
      <c r="A447" s="7" t="s">
        <v>3075</v>
      </c>
      <c r="B447" s="152"/>
      <c r="C447" s="151" t="s">
        <v>4511</v>
      </c>
      <c r="D447" s="152">
        <v>8</v>
      </c>
      <c r="E447" s="152" t="s">
        <v>58</v>
      </c>
      <c r="F447" s="153">
        <v>500000</v>
      </c>
      <c r="G447" s="153">
        <f t="shared" si="14"/>
        <v>4000000</v>
      </c>
      <c r="H447" s="210" t="b">
        <f t="shared" si="13"/>
        <v>1</v>
      </c>
    </row>
    <row r="448" spans="1:8" ht="13.8" x14ac:dyDescent="0.25">
      <c r="A448" s="7" t="s">
        <v>3077</v>
      </c>
      <c r="B448" s="60">
        <v>521219</v>
      </c>
      <c r="C448" s="41" t="s">
        <v>53</v>
      </c>
      <c r="D448" s="60"/>
      <c r="E448" s="60"/>
      <c r="F448" s="42"/>
      <c r="G448" s="42">
        <f>SUM(G449:G450)</f>
        <v>32000000</v>
      </c>
      <c r="H448" s="210" t="b">
        <f t="shared" si="13"/>
        <v>1</v>
      </c>
    </row>
    <row r="449" spans="1:8" ht="26.4" x14ac:dyDescent="0.25">
      <c r="A449" s="7" t="s">
        <v>3078</v>
      </c>
      <c r="B449" s="152"/>
      <c r="C449" s="151" t="s">
        <v>4512</v>
      </c>
      <c r="D449" s="152">
        <v>2</v>
      </c>
      <c r="E449" s="152" t="s">
        <v>177</v>
      </c>
      <c r="F449" s="153">
        <v>15000000</v>
      </c>
      <c r="G449" s="153">
        <f>ROUNDDOWN(D449*F449,-3)</f>
        <v>30000000</v>
      </c>
      <c r="H449" s="210" t="b">
        <f t="shared" si="13"/>
        <v>1</v>
      </c>
    </row>
    <row r="450" spans="1:8" ht="26.4" x14ac:dyDescent="0.25">
      <c r="A450" s="7" t="s">
        <v>3080</v>
      </c>
      <c r="B450" s="152"/>
      <c r="C450" s="151" t="s">
        <v>4513</v>
      </c>
      <c r="D450" s="152">
        <v>1</v>
      </c>
      <c r="E450" s="152" t="s">
        <v>60</v>
      </c>
      <c r="F450" s="153">
        <v>2000000</v>
      </c>
      <c r="G450" s="153">
        <f>ROUNDDOWN(D450*F450,-3)</f>
        <v>2000000</v>
      </c>
      <c r="H450" s="210" t="b">
        <f t="shared" si="13"/>
        <v>1</v>
      </c>
    </row>
    <row r="451" spans="1:8" ht="13.8" x14ac:dyDescent="0.25">
      <c r="A451" s="7" t="s">
        <v>3082</v>
      </c>
      <c r="B451" s="60">
        <v>522151</v>
      </c>
      <c r="C451" s="41" t="s">
        <v>11</v>
      </c>
      <c r="D451" s="60"/>
      <c r="E451" s="60"/>
      <c r="F451" s="42"/>
      <c r="G451" s="42">
        <f>G452</f>
        <v>10000000</v>
      </c>
      <c r="H451" s="210" t="b">
        <f t="shared" si="13"/>
        <v>1</v>
      </c>
    </row>
    <row r="452" spans="1:8" ht="13.8" x14ac:dyDescent="0.25">
      <c r="A452" s="7" t="s">
        <v>3083</v>
      </c>
      <c r="B452" s="152"/>
      <c r="C452" s="151" t="s">
        <v>3715</v>
      </c>
      <c r="D452" s="152">
        <v>10</v>
      </c>
      <c r="E452" s="152" t="s">
        <v>54</v>
      </c>
      <c r="F452" s="153">
        <v>1000000</v>
      </c>
      <c r="G452" s="153">
        <f>ROUNDDOWN(D452*F452,-3)</f>
        <v>10000000</v>
      </c>
      <c r="H452" s="210" t="b">
        <f t="shared" si="13"/>
        <v>1</v>
      </c>
    </row>
    <row r="453" spans="1:8" ht="13.8" x14ac:dyDescent="0.25">
      <c r="A453" s="7" t="s">
        <v>3084</v>
      </c>
      <c r="B453" s="60">
        <v>524111</v>
      </c>
      <c r="C453" s="41" t="s">
        <v>19</v>
      </c>
      <c r="D453" s="60"/>
      <c r="E453" s="60"/>
      <c r="F453" s="42"/>
      <c r="G453" s="42">
        <f>G454</f>
        <v>120000000</v>
      </c>
      <c r="H453" s="210" t="b">
        <f t="shared" si="13"/>
        <v>1</v>
      </c>
    </row>
    <row r="454" spans="1:8" ht="13.8" x14ac:dyDescent="0.25">
      <c r="A454" s="7" t="s">
        <v>3085</v>
      </c>
      <c r="B454" s="152"/>
      <c r="C454" s="151" t="s">
        <v>4514</v>
      </c>
      <c r="D454" s="152">
        <v>30</v>
      </c>
      <c r="E454" s="152" t="s">
        <v>10</v>
      </c>
      <c r="F454" s="153">
        <v>4000000</v>
      </c>
      <c r="G454" s="153">
        <f>ROUNDDOWN(D454*F454,-3)</f>
        <v>120000000</v>
      </c>
      <c r="H454" s="210" t="b">
        <f t="shared" si="13"/>
        <v>1</v>
      </c>
    </row>
    <row r="455" spans="1:8" ht="13.8" x14ac:dyDescent="0.25">
      <c r="A455" s="7" t="s">
        <v>3087</v>
      </c>
      <c r="B455" s="60">
        <v>524113</v>
      </c>
      <c r="C455" s="41" t="s">
        <v>13</v>
      </c>
      <c r="D455" s="60"/>
      <c r="E455" s="60"/>
      <c r="F455" s="42"/>
      <c r="G455" s="42">
        <f>G456</f>
        <v>9000000</v>
      </c>
      <c r="H455" s="210" t="b">
        <f t="shared" si="13"/>
        <v>1</v>
      </c>
    </row>
    <row r="456" spans="1:8" ht="13.8" x14ac:dyDescent="0.25">
      <c r="A456" s="7" t="s">
        <v>3088</v>
      </c>
      <c r="B456" s="152"/>
      <c r="C456" s="151" t="s">
        <v>3613</v>
      </c>
      <c r="D456" s="152">
        <v>60</v>
      </c>
      <c r="E456" s="152" t="s">
        <v>25</v>
      </c>
      <c r="F456" s="153">
        <v>150000</v>
      </c>
      <c r="G456" s="153">
        <f>ROUNDDOWN(D456*F456,-3)</f>
        <v>9000000</v>
      </c>
      <c r="H456" s="210" t="b">
        <f t="shared" si="13"/>
        <v>1</v>
      </c>
    </row>
    <row r="457" spans="1:8" ht="26.4" x14ac:dyDescent="0.25">
      <c r="A457" s="7" t="s">
        <v>3089</v>
      </c>
      <c r="B457" s="58">
        <v>302</v>
      </c>
      <c r="C457" s="35" t="s">
        <v>3091</v>
      </c>
      <c r="D457" s="58"/>
      <c r="E457" s="58"/>
      <c r="F457" s="36"/>
      <c r="G457" s="36">
        <f>G458</f>
        <v>126532000</v>
      </c>
      <c r="H457" s="210" t="b">
        <f t="shared" si="13"/>
        <v>1</v>
      </c>
    </row>
    <row r="458" spans="1:8" ht="13.8" x14ac:dyDescent="0.25">
      <c r="A458" s="7" t="s">
        <v>3092</v>
      </c>
      <c r="B458" s="59" t="s">
        <v>8</v>
      </c>
      <c r="C458" s="38" t="s">
        <v>178</v>
      </c>
      <c r="D458" s="59"/>
      <c r="E458" s="59"/>
      <c r="F458" s="39"/>
      <c r="G458" s="39">
        <f>SUM(G459,G465,G467)</f>
        <v>126532000</v>
      </c>
      <c r="H458" s="210" t="b">
        <f t="shared" si="13"/>
        <v>1</v>
      </c>
    </row>
    <row r="459" spans="1:8" ht="13.8" x14ac:dyDescent="0.25">
      <c r="A459" s="7" t="s">
        <v>3093</v>
      </c>
      <c r="B459" s="60">
        <v>521211</v>
      </c>
      <c r="C459" s="41" t="s">
        <v>7</v>
      </c>
      <c r="D459" s="60"/>
      <c r="E459" s="60"/>
      <c r="F459" s="42"/>
      <c r="G459" s="42">
        <f>SUM(G460:G464)</f>
        <v>35500000</v>
      </c>
      <c r="H459" s="210" t="b">
        <f t="shared" si="13"/>
        <v>1</v>
      </c>
    </row>
    <row r="460" spans="1:8" ht="13.8" x14ac:dyDescent="0.25">
      <c r="A460" s="7" t="s">
        <v>3094</v>
      </c>
      <c r="B460" s="152"/>
      <c r="C460" s="151" t="s">
        <v>3598</v>
      </c>
      <c r="D460" s="152">
        <v>4</v>
      </c>
      <c r="E460" s="152" t="s">
        <v>9</v>
      </c>
      <c r="F460" s="153">
        <v>1500000</v>
      </c>
      <c r="G460" s="153">
        <f>ROUNDDOWN(D460*F460,-3)</f>
        <v>6000000</v>
      </c>
      <c r="H460" s="210" t="b">
        <f t="shared" si="13"/>
        <v>1</v>
      </c>
    </row>
    <row r="461" spans="1:8" ht="13.8" x14ac:dyDescent="0.25">
      <c r="A461" s="7" t="s">
        <v>3095</v>
      </c>
      <c r="B461" s="152"/>
      <c r="C461" s="151" t="s">
        <v>4420</v>
      </c>
      <c r="D461" s="152">
        <v>180</v>
      </c>
      <c r="E461" s="152" t="s">
        <v>10</v>
      </c>
      <c r="F461" s="153">
        <v>75000</v>
      </c>
      <c r="G461" s="153">
        <f>ROUNDDOWN(D461*F461,-3)</f>
        <v>13500000</v>
      </c>
      <c r="H461" s="210" t="b">
        <f t="shared" ref="H461:H524" si="15">_xlfn.ISFORMULA(G461)</f>
        <v>1</v>
      </c>
    </row>
    <row r="462" spans="1:8" ht="13.8" x14ac:dyDescent="0.25">
      <c r="A462" s="7" t="s">
        <v>3096</v>
      </c>
      <c r="B462" s="152"/>
      <c r="C462" s="151" t="s">
        <v>3600</v>
      </c>
      <c r="D462" s="152">
        <v>4</v>
      </c>
      <c r="E462" s="152" t="s">
        <v>106</v>
      </c>
      <c r="F462" s="153">
        <v>1000000</v>
      </c>
      <c r="G462" s="153">
        <f>ROUNDDOWN(D462*F462,-3)</f>
        <v>4000000</v>
      </c>
      <c r="H462" s="210" t="b">
        <f t="shared" si="15"/>
        <v>1</v>
      </c>
    </row>
    <row r="463" spans="1:8" ht="13.8" x14ac:dyDescent="0.25">
      <c r="A463" s="7" t="s">
        <v>3097</v>
      </c>
      <c r="B463" s="152"/>
      <c r="C463" s="151" t="s">
        <v>3601</v>
      </c>
      <c r="D463" s="152">
        <v>4</v>
      </c>
      <c r="E463" s="152" t="s">
        <v>106</v>
      </c>
      <c r="F463" s="153">
        <v>1500000</v>
      </c>
      <c r="G463" s="153">
        <f>ROUNDDOWN(D463*F463,-3)</f>
        <v>6000000</v>
      </c>
      <c r="H463" s="210" t="b">
        <f t="shared" si="15"/>
        <v>1</v>
      </c>
    </row>
    <row r="464" spans="1:8" ht="13.8" x14ac:dyDescent="0.25">
      <c r="A464" s="7" t="s">
        <v>3098</v>
      </c>
      <c r="B464" s="152"/>
      <c r="C464" s="151" t="s">
        <v>4515</v>
      </c>
      <c r="D464" s="152">
        <v>12</v>
      </c>
      <c r="E464" s="152" t="s">
        <v>176</v>
      </c>
      <c r="F464" s="153">
        <v>500000</v>
      </c>
      <c r="G464" s="153">
        <f>ROUNDDOWN(D464*F464,-3)</f>
        <v>6000000</v>
      </c>
      <c r="H464" s="210" t="b">
        <f t="shared" si="15"/>
        <v>1</v>
      </c>
    </row>
    <row r="465" spans="1:8" ht="13.8" x14ac:dyDescent="0.25">
      <c r="A465" s="7" t="s">
        <v>3100</v>
      </c>
      <c r="B465" s="60">
        <v>521219</v>
      </c>
      <c r="C465" s="41" t="s">
        <v>53</v>
      </c>
      <c r="D465" s="60"/>
      <c r="E465" s="60"/>
      <c r="F465" s="42"/>
      <c r="G465" s="42">
        <f>G466</f>
        <v>2000000</v>
      </c>
      <c r="H465" s="210" t="b">
        <f t="shared" si="15"/>
        <v>1</v>
      </c>
    </row>
    <row r="466" spans="1:8" ht="26.4" x14ac:dyDescent="0.25">
      <c r="A466" s="7" t="s">
        <v>3101</v>
      </c>
      <c r="B466" s="152"/>
      <c r="C466" s="151" t="s">
        <v>4508</v>
      </c>
      <c r="D466" s="152">
        <v>1</v>
      </c>
      <c r="E466" s="152" t="s">
        <v>153</v>
      </c>
      <c r="F466" s="153">
        <v>2000000</v>
      </c>
      <c r="G466" s="153">
        <f>ROUNDDOWN(D466*F466,-3)</f>
        <v>2000000</v>
      </c>
      <c r="H466" s="210" t="b">
        <f t="shared" si="15"/>
        <v>1</v>
      </c>
    </row>
    <row r="467" spans="1:8" ht="13.8" x14ac:dyDescent="0.25">
      <c r="A467" s="7" t="s">
        <v>3102</v>
      </c>
      <c r="B467" s="60">
        <v>524111</v>
      </c>
      <c r="C467" s="41" t="s">
        <v>19</v>
      </c>
      <c r="D467" s="60"/>
      <c r="E467" s="60"/>
      <c r="F467" s="42"/>
      <c r="G467" s="42">
        <f>G468</f>
        <v>89032000</v>
      </c>
      <c r="H467" s="210" t="b">
        <f t="shared" si="15"/>
        <v>1</v>
      </c>
    </row>
    <row r="468" spans="1:8" ht="13.8" x14ac:dyDescent="0.25">
      <c r="A468" s="7" t="s">
        <v>3103</v>
      </c>
      <c r="B468" s="152"/>
      <c r="C468" s="151" t="s">
        <v>4514</v>
      </c>
      <c r="D468" s="152">
        <v>22</v>
      </c>
      <c r="E468" s="152" t="s">
        <v>10</v>
      </c>
      <c r="F468" s="153">
        <v>4046950</v>
      </c>
      <c r="G468" s="153">
        <f>ROUNDDOWN(D468*F468,-3)</f>
        <v>89032000</v>
      </c>
      <c r="H468" s="210" t="b">
        <f t="shared" si="15"/>
        <v>1</v>
      </c>
    </row>
    <row r="469" spans="1:8" ht="13.8" x14ac:dyDescent="0.25">
      <c r="A469" s="7" t="s">
        <v>3104</v>
      </c>
      <c r="B469" s="138" t="s">
        <v>4516</v>
      </c>
      <c r="C469" s="137" t="s">
        <v>3106</v>
      </c>
      <c r="D469" s="138">
        <v>1</v>
      </c>
      <c r="E469" s="138" t="s">
        <v>4315</v>
      </c>
      <c r="F469" s="139"/>
      <c r="G469" s="139">
        <f>G470</f>
        <v>289920000</v>
      </c>
      <c r="H469" s="210" t="b">
        <f t="shared" si="15"/>
        <v>1</v>
      </c>
    </row>
    <row r="470" spans="1:8" ht="13.8" x14ac:dyDescent="0.25">
      <c r="A470" s="7" t="s">
        <v>3318</v>
      </c>
      <c r="B470" s="58">
        <v>301</v>
      </c>
      <c r="C470" s="35" t="s">
        <v>3319</v>
      </c>
      <c r="D470" s="58"/>
      <c r="E470" s="58"/>
      <c r="F470" s="36"/>
      <c r="G470" s="36">
        <f>SUM(G471,G481,G490,G498,G511,G519)</f>
        <v>289920000</v>
      </c>
      <c r="H470" s="210" t="b">
        <f t="shared" si="15"/>
        <v>1</v>
      </c>
    </row>
    <row r="471" spans="1:8" ht="13.8" x14ac:dyDescent="0.25">
      <c r="A471" s="7" t="s">
        <v>3320</v>
      </c>
      <c r="B471" s="59" t="s">
        <v>8</v>
      </c>
      <c r="C471" s="38" t="s">
        <v>143</v>
      </c>
      <c r="D471" s="59"/>
      <c r="E471" s="59"/>
      <c r="F471" s="39"/>
      <c r="G471" s="39">
        <f>SUM(G472,G477,G479)</f>
        <v>40700000</v>
      </c>
      <c r="H471" s="210" t="b">
        <f t="shared" si="15"/>
        <v>1</v>
      </c>
    </row>
    <row r="472" spans="1:8" ht="13.8" x14ac:dyDescent="0.25">
      <c r="A472" s="7" t="s">
        <v>3321</v>
      </c>
      <c r="B472" s="60">
        <v>521211</v>
      </c>
      <c r="C472" s="41" t="s">
        <v>7</v>
      </c>
      <c r="D472" s="60"/>
      <c r="E472" s="60"/>
      <c r="F472" s="42"/>
      <c r="G472" s="42">
        <f>SUM(G473:G476)</f>
        <v>23900000</v>
      </c>
      <c r="H472" s="210" t="b">
        <f t="shared" si="15"/>
        <v>1</v>
      </c>
    </row>
    <row r="473" spans="1:8" ht="13.8" x14ac:dyDescent="0.25">
      <c r="A473" s="7" t="s">
        <v>3322</v>
      </c>
      <c r="B473" s="152"/>
      <c r="C473" s="151" t="s">
        <v>3598</v>
      </c>
      <c r="D473" s="152">
        <v>5</v>
      </c>
      <c r="E473" s="152" t="s">
        <v>9</v>
      </c>
      <c r="F473" s="153">
        <v>1500000</v>
      </c>
      <c r="G473" s="153">
        <f>ROUNDDOWN(D473*F473,-3)</f>
        <v>7500000</v>
      </c>
      <c r="H473" s="210" t="b">
        <f t="shared" si="15"/>
        <v>1</v>
      </c>
    </row>
    <row r="474" spans="1:8" ht="13.8" x14ac:dyDescent="0.25">
      <c r="A474" s="7" t="s">
        <v>3323</v>
      </c>
      <c r="B474" s="152"/>
      <c r="C474" s="151" t="s">
        <v>4420</v>
      </c>
      <c r="D474" s="152">
        <v>20</v>
      </c>
      <c r="E474" s="152" t="s">
        <v>10</v>
      </c>
      <c r="F474" s="153">
        <v>70000</v>
      </c>
      <c r="G474" s="153">
        <f>ROUNDDOWN(D474*F474,-3)</f>
        <v>1400000</v>
      </c>
      <c r="H474" s="210" t="b">
        <f t="shared" si="15"/>
        <v>1</v>
      </c>
    </row>
    <row r="475" spans="1:8" ht="13.8" x14ac:dyDescent="0.25">
      <c r="A475" s="7" t="s">
        <v>3324</v>
      </c>
      <c r="B475" s="152"/>
      <c r="C475" s="151" t="s">
        <v>3600</v>
      </c>
      <c r="D475" s="152">
        <v>6</v>
      </c>
      <c r="E475" s="152" t="s">
        <v>106</v>
      </c>
      <c r="F475" s="153">
        <v>1000000</v>
      </c>
      <c r="G475" s="153">
        <f>ROUNDDOWN(D475*F475,-3)</f>
        <v>6000000</v>
      </c>
      <c r="H475" s="210" t="b">
        <f t="shared" si="15"/>
        <v>1</v>
      </c>
    </row>
    <row r="476" spans="1:8" ht="13.8" x14ac:dyDescent="0.25">
      <c r="A476" s="7" t="s">
        <v>3325</v>
      </c>
      <c r="B476" s="152"/>
      <c r="C476" s="151" t="s">
        <v>3601</v>
      </c>
      <c r="D476" s="152">
        <v>6</v>
      </c>
      <c r="E476" s="152" t="s">
        <v>106</v>
      </c>
      <c r="F476" s="153">
        <v>1500000</v>
      </c>
      <c r="G476" s="153">
        <f>ROUNDDOWN(D476*F476,-3)</f>
        <v>9000000</v>
      </c>
      <c r="H476" s="210" t="b">
        <f t="shared" si="15"/>
        <v>1</v>
      </c>
    </row>
    <row r="477" spans="1:8" ht="13.8" x14ac:dyDescent="0.25">
      <c r="A477" s="7" t="s">
        <v>3326</v>
      </c>
      <c r="B477" s="60">
        <v>524111</v>
      </c>
      <c r="C477" s="41" t="s">
        <v>19</v>
      </c>
      <c r="D477" s="60"/>
      <c r="E477" s="60"/>
      <c r="F477" s="42"/>
      <c r="G477" s="42">
        <f>G478</f>
        <v>15000000</v>
      </c>
      <c r="H477" s="210" t="b">
        <f t="shared" si="15"/>
        <v>1</v>
      </c>
    </row>
    <row r="478" spans="1:8" ht="13.8" x14ac:dyDescent="0.25">
      <c r="A478" s="7" t="s">
        <v>3327</v>
      </c>
      <c r="B478" s="152"/>
      <c r="C478" s="151" t="s">
        <v>4582</v>
      </c>
      <c r="D478" s="152">
        <v>5</v>
      </c>
      <c r="E478" s="152" t="s">
        <v>10</v>
      </c>
      <c r="F478" s="153">
        <v>3000000</v>
      </c>
      <c r="G478" s="153">
        <f>ROUNDDOWN(D478*F478,-3)</f>
        <v>15000000</v>
      </c>
      <c r="H478" s="210" t="b">
        <f t="shared" si="15"/>
        <v>1</v>
      </c>
    </row>
    <row r="479" spans="1:8" ht="13.8" x14ac:dyDescent="0.25">
      <c r="A479" s="7" t="s">
        <v>3329</v>
      </c>
      <c r="B479" s="60">
        <v>524113</v>
      </c>
      <c r="C479" s="41" t="s">
        <v>13</v>
      </c>
      <c r="D479" s="60"/>
      <c r="E479" s="60"/>
      <c r="F479" s="42"/>
      <c r="G479" s="42">
        <f>G480</f>
        <v>1800000</v>
      </c>
      <c r="H479" s="210" t="b">
        <f t="shared" si="15"/>
        <v>1</v>
      </c>
    </row>
    <row r="480" spans="1:8" ht="13.8" x14ac:dyDescent="0.25">
      <c r="A480" s="7" t="s">
        <v>3330</v>
      </c>
      <c r="B480" s="152"/>
      <c r="C480" s="151" t="s">
        <v>3603</v>
      </c>
      <c r="D480" s="152">
        <v>12</v>
      </c>
      <c r="E480" s="152" t="s">
        <v>10</v>
      </c>
      <c r="F480" s="153">
        <v>150000</v>
      </c>
      <c r="G480" s="153">
        <f>ROUNDDOWN(D480*F480,-3)</f>
        <v>1800000</v>
      </c>
      <c r="H480" s="210" t="b">
        <f t="shared" si="15"/>
        <v>1</v>
      </c>
    </row>
    <row r="481" spans="1:8" ht="13.8" x14ac:dyDescent="0.25">
      <c r="A481" s="7" t="s">
        <v>3331</v>
      </c>
      <c r="B481" s="59" t="s">
        <v>511</v>
      </c>
      <c r="C481" s="38" t="s">
        <v>144</v>
      </c>
      <c r="D481" s="59"/>
      <c r="E481" s="59"/>
      <c r="F481" s="39"/>
      <c r="G481" s="39">
        <f>SUM(G482,G486,G488)</f>
        <v>30900000</v>
      </c>
      <c r="H481" s="210" t="b">
        <f t="shared" si="15"/>
        <v>1</v>
      </c>
    </row>
    <row r="482" spans="1:8" ht="13.8" x14ac:dyDescent="0.25">
      <c r="A482" s="7" t="s">
        <v>3332</v>
      </c>
      <c r="B482" s="60">
        <v>521211</v>
      </c>
      <c r="C482" s="41" t="s">
        <v>7</v>
      </c>
      <c r="D482" s="60"/>
      <c r="E482" s="60"/>
      <c r="F482" s="42"/>
      <c r="G482" s="42">
        <f>SUM(G483:G485)</f>
        <v>11400000</v>
      </c>
      <c r="H482" s="210" t="b">
        <f t="shared" si="15"/>
        <v>1</v>
      </c>
    </row>
    <row r="483" spans="1:8" ht="13.8" x14ac:dyDescent="0.25">
      <c r="A483" s="7" t="s">
        <v>3333</v>
      </c>
      <c r="B483" s="152"/>
      <c r="C483" s="151" t="s">
        <v>4269</v>
      </c>
      <c r="D483" s="152">
        <v>4</v>
      </c>
      <c r="E483" s="152" t="s">
        <v>9</v>
      </c>
      <c r="F483" s="153">
        <v>1500000</v>
      </c>
      <c r="G483" s="153">
        <f>ROUNDDOWN(D483*F483,-3)</f>
        <v>6000000</v>
      </c>
      <c r="H483" s="210" t="b">
        <f t="shared" si="15"/>
        <v>1</v>
      </c>
    </row>
    <row r="484" spans="1:8" ht="13.8" x14ac:dyDescent="0.25">
      <c r="A484" s="7" t="s">
        <v>3334</v>
      </c>
      <c r="B484" s="152"/>
      <c r="C484" s="151" t="s">
        <v>4420</v>
      </c>
      <c r="D484" s="152">
        <v>20</v>
      </c>
      <c r="E484" s="152" t="s">
        <v>10</v>
      </c>
      <c r="F484" s="153">
        <v>70000</v>
      </c>
      <c r="G484" s="153">
        <f>ROUNDDOWN(D484*F484,-3)</f>
        <v>1400000</v>
      </c>
      <c r="H484" s="210" t="b">
        <f t="shared" si="15"/>
        <v>1</v>
      </c>
    </row>
    <row r="485" spans="1:8" ht="13.8" x14ac:dyDescent="0.25">
      <c r="A485" s="7" t="s">
        <v>3335</v>
      </c>
      <c r="B485" s="152"/>
      <c r="C485" s="151" t="s">
        <v>3600</v>
      </c>
      <c r="D485" s="152">
        <v>4</v>
      </c>
      <c r="E485" s="152" t="s">
        <v>106</v>
      </c>
      <c r="F485" s="153">
        <v>1000000</v>
      </c>
      <c r="G485" s="153">
        <f>ROUNDDOWN(D485*F485,-3)</f>
        <v>4000000</v>
      </c>
      <c r="H485" s="210" t="b">
        <f t="shared" si="15"/>
        <v>1</v>
      </c>
    </row>
    <row r="486" spans="1:8" ht="13.8" x14ac:dyDescent="0.25">
      <c r="A486" s="7" t="s">
        <v>3336</v>
      </c>
      <c r="B486" s="60">
        <v>524111</v>
      </c>
      <c r="C486" s="41" t="s">
        <v>19</v>
      </c>
      <c r="D486" s="60"/>
      <c r="E486" s="60"/>
      <c r="F486" s="42"/>
      <c r="G486" s="42">
        <f>G487</f>
        <v>18000000</v>
      </c>
      <c r="H486" s="210" t="b">
        <f t="shared" si="15"/>
        <v>1</v>
      </c>
    </row>
    <row r="487" spans="1:8" ht="13.8" x14ac:dyDescent="0.25">
      <c r="A487" s="7" t="s">
        <v>3337</v>
      </c>
      <c r="B487" s="152"/>
      <c r="C487" s="151" t="s">
        <v>4582</v>
      </c>
      <c r="D487" s="152">
        <v>6</v>
      </c>
      <c r="E487" s="152" t="s">
        <v>10</v>
      </c>
      <c r="F487" s="153">
        <v>3000000</v>
      </c>
      <c r="G487" s="153">
        <f>ROUNDDOWN(D487*F487,-3)</f>
        <v>18000000</v>
      </c>
      <c r="H487" s="210" t="b">
        <f t="shared" si="15"/>
        <v>1</v>
      </c>
    </row>
    <row r="488" spans="1:8" ht="13.8" x14ac:dyDescent="0.25">
      <c r="A488" s="7" t="s">
        <v>3338</v>
      </c>
      <c r="B488" s="60">
        <v>524113</v>
      </c>
      <c r="C488" s="41" t="s">
        <v>13</v>
      </c>
      <c r="D488" s="60"/>
      <c r="E488" s="60"/>
      <c r="F488" s="42"/>
      <c r="G488" s="42">
        <f>G489</f>
        <v>1500000</v>
      </c>
      <c r="H488" s="210" t="b">
        <f t="shared" si="15"/>
        <v>1</v>
      </c>
    </row>
    <row r="489" spans="1:8" ht="13.8" x14ac:dyDescent="0.25">
      <c r="A489" s="7" t="s">
        <v>3339</v>
      </c>
      <c r="B489" s="152"/>
      <c r="C489" s="151" t="s">
        <v>3613</v>
      </c>
      <c r="D489" s="152">
        <v>10</v>
      </c>
      <c r="E489" s="152" t="s">
        <v>10</v>
      </c>
      <c r="F489" s="153">
        <v>150000</v>
      </c>
      <c r="G489" s="153">
        <f>ROUNDDOWN(D489*F489,-3)</f>
        <v>1500000</v>
      </c>
      <c r="H489" s="210" t="b">
        <f t="shared" si="15"/>
        <v>1</v>
      </c>
    </row>
    <row r="490" spans="1:8" ht="13.8" x14ac:dyDescent="0.25">
      <c r="A490" s="7" t="s">
        <v>3340</v>
      </c>
      <c r="B490" s="59" t="s">
        <v>512</v>
      </c>
      <c r="C490" s="38" t="s">
        <v>145</v>
      </c>
      <c r="D490" s="59"/>
      <c r="E490" s="59"/>
      <c r="F490" s="39"/>
      <c r="G490" s="39">
        <f>SUM(G491,G494,G496)</f>
        <v>26500000</v>
      </c>
      <c r="H490" s="210" t="b">
        <f t="shared" si="15"/>
        <v>1</v>
      </c>
    </row>
    <row r="491" spans="1:8" ht="13.8" x14ac:dyDescent="0.25">
      <c r="A491" s="7" t="s">
        <v>3341</v>
      </c>
      <c r="B491" s="60">
        <v>521211</v>
      </c>
      <c r="C491" s="41" t="s">
        <v>7</v>
      </c>
      <c r="D491" s="60"/>
      <c r="E491" s="60"/>
      <c r="F491" s="42"/>
      <c r="G491" s="42">
        <f>SUM(G492:G493)</f>
        <v>10000000</v>
      </c>
      <c r="H491" s="210" t="b">
        <f t="shared" si="15"/>
        <v>1</v>
      </c>
    </row>
    <row r="492" spans="1:8" ht="13.8" x14ac:dyDescent="0.25">
      <c r="A492" s="7" t="s">
        <v>3342</v>
      </c>
      <c r="B492" s="152"/>
      <c r="C492" s="151" t="s">
        <v>4269</v>
      </c>
      <c r="D492" s="152">
        <v>4</v>
      </c>
      <c r="E492" s="152" t="s">
        <v>9</v>
      </c>
      <c r="F492" s="153">
        <v>1500000</v>
      </c>
      <c r="G492" s="153">
        <f>ROUNDDOWN(D492*F492,-3)</f>
        <v>6000000</v>
      </c>
      <c r="H492" s="210" t="b">
        <f t="shared" si="15"/>
        <v>1</v>
      </c>
    </row>
    <row r="493" spans="1:8" ht="13.8" x14ac:dyDescent="0.25">
      <c r="A493" s="7" t="s">
        <v>3343</v>
      </c>
      <c r="B493" s="152"/>
      <c r="C493" s="151" t="s">
        <v>3632</v>
      </c>
      <c r="D493" s="152">
        <v>4</v>
      </c>
      <c r="E493" s="152" t="s">
        <v>106</v>
      </c>
      <c r="F493" s="153">
        <v>1000000</v>
      </c>
      <c r="G493" s="153">
        <f>ROUNDDOWN(D493*F493,-3)</f>
        <v>4000000</v>
      </c>
      <c r="H493" s="210" t="b">
        <f t="shared" si="15"/>
        <v>1</v>
      </c>
    </row>
    <row r="494" spans="1:8" ht="13.8" x14ac:dyDescent="0.25">
      <c r="A494" s="7" t="s">
        <v>3344</v>
      </c>
      <c r="B494" s="60">
        <v>524111</v>
      </c>
      <c r="C494" s="41" t="s">
        <v>19</v>
      </c>
      <c r="D494" s="60"/>
      <c r="E494" s="60"/>
      <c r="F494" s="42"/>
      <c r="G494" s="42">
        <f>G495</f>
        <v>15000000</v>
      </c>
      <c r="H494" s="210" t="b">
        <f t="shared" si="15"/>
        <v>1</v>
      </c>
    </row>
    <row r="495" spans="1:8" ht="13.8" x14ac:dyDescent="0.25">
      <c r="A495" s="7" t="s">
        <v>3345</v>
      </c>
      <c r="B495" s="152"/>
      <c r="C495" s="151" t="s">
        <v>4583</v>
      </c>
      <c r="D495" s="152">
        <v>5</v>
      </c>
      <c r="E495" s="152" t="s">
        <v>10</v>
      </c>
      <c r="F495" s="153">
        <v>3000000</v>
      </c>
      <c r="G495" s="153">
        <f>ROUNDDOWN(D495*F495,-3)</f>
        <v>15000000</v>
      </c>
      <c r="H495" s="210" t="b">
        <f t="shared" si="15"/>
        <v>1</v>
      </c>
    </row>
    <row r="496" spans="1:8" ht="13.8" x14ac:dyDescent="0.25">
      <c r="A496" s="7" t="s">
        <v>3347</v>
      </c>
      <c r="B496" s="60">
        <v>524113</v>
      </c>
      <c r="C496" s="41" t="s">
        <v>13</v>
      </c>
      <c r="D496" s="60"/>
      <c r="E496" s="60"/>
      <c r="F496" s="42"/>
      <c r="G496" s="42">
        <f>G497</f>
        <v>1500000</v>
      </c>
      <c r="H496" s="210" t="b">
        <f t="shared" si="15"/>
        <v>1</v>
      </c>
    </row>
    <row r="497" spans="1:8" ht="13.8" x14ac:dyDescent="0.25">
      <c r="A497" s="7" t="s">
        <v>3348</v>
      </c>
      <c r="B497" s="152"/>
      <c r="C497" s="151" t="s">
        <v>3613</v>
      </c>
      <c r="D497" s="152">
        <v>10</v>
      </c>
      <c r="E497" s="152" t="s">
        <v>10</v>
      </c>
      <c r="F497" s="153">
        <v>150000</v>
      </c>
      <c r="G497" s="153">
        <f>ROUNDDOWN(D497*F497,-3)</f>
        <v>1500000</v>
      </c>
      <c r="H497" s="210" t="b">
        <f t="shared" si="15"/>
        <v>1</v>
      </c>
    </row>
    <row r="498" spans="1:8" ht="13.8" x14ac:dyDescent="0.25">
      <c r="A498" s="7" t="s">
        <v>3349</v>
      </c>
      <c r="B498" s="59" t="s">
        <v>514</v>
      </c>
      <c r="C498" s="38" t="s">
        <v>3350</v>
      </c>
      <c r="D498" s="59"/>
      <c r="E498" s="59"/>
      <c r="F498" s="39"/>
      <c r="G498" s="39">
        <f>SUM(G499,G505,G507,G509)</f>
        <v>86700000</v>
      </c>
      <c r="H498" s="210" t="b">
        <f t="shared" si="15"/>
        <v>1</v>
      </c>
    </row>
    <row r="499" spans="1:8" ht="13.8" x14ac:dyDescent="0.25">
      <c r="A499" s="7" t="s">
        <v>3351</v>
      </c>
      <c r="B499" s="60">
        <v>521211</v>
      </c>
      <c r="C499" s="41" t="s">
        <v>7</v>
      </c>
      <c r="D499" s="60"/>
      <c r="E499" s="60"/>
      <c r="F499" s="42"/>
      <c r="G499" s="42">
        <f>SUM(G500:G504)</f>
        <v>32400000</v>
      </c>
      <c r="H499" s="210" t="b">
        <f t="shared" si="15"/>
        <v>1</v>
      </c>
    </row>
    <row r="500" spans="1:8" ht="13.8" x14ac:dyDescent="0.25">
      <c r="A500" s="7" t="s">
        <v>3352</v>
      </c>
      <c r="B500" s="152"/>
      <c r="C500" s="151" t="s">
        <v>4269</v>
      </c>
      <c r="D500" s="152">
        <v>6</v>
      </c>
      <c r="E500" s="152" t="s">
        <v>9</v>
      </c>
      <c r="F500" s="153">
        <v>1500000</v>
      </c>
      <c r="G500" s="153">
        <f>ROUNDDOWN(D500*F500,-3)</f>
        <v>9000000</v>
      </c>
      <c r="H500" s="210" t="b">
        <f t="shared" si="15"/>
        <v>1</v>
      </c>
    </row>
    <row r="501" spans="1:8" ht="13.8" x14ac:dyDescent="0.25">
      <c r="A501" s="7" t="s">
        <v>3353</v>
      </c>
      <c r="B501" s="152"/>
      <c r="C501" s="151" t="s">
        <v>4420</v>
      </c>
      <c r="D501" s="152">
        <v>20</v>
      </c>
      <c r="E501" s="152" t="s">
        <v>10</v>
      </c>
      <c r="F501" s="153">
        <v>70000</v>
      </c>
      <c r="G501" s="153">
        <f>ROUNDDOWN(D501*F501,-3)</f>
        <v>1400000</v>
      </c>
      <c r="H501" s="210" t="b">
        <f t="shared" si="15"/>
        <v>1</v>
      </c>
    </row>
    <row r="502" spans="1:8" s="212" customFormat="1" ht="13.8" x14ac:dyDescent="0.25">
      <c r="A502" s="211" t="s">
        <v>3354</v>
      </c>
      <c r="B502" s="152"/>
      <c r="C502" s="151" t="s">
        <v>4584</v>
      </c>
      <c r="D502" s="152">
        <v>28</v>
      </c>
      <c r="E502" s="152" t="s">
        <v>176</v>
      </c>
      <c r="F502" s="153">
        <v>500000</v>
      </c>
      <c r="G502" s="153">
        <f>ROUNDDOWN(D502*F502,-3)</f>
        <v>14000000</v>
      </c>
      <c r="H502" s="210" t="b">
        <f t="shared" si="15"/>
        <v>1</v>
      </c>
    </row>
    <row r="503" spans="1:8" ht="13.8" x14ac:dyDescent="0.25">
      <c r="A503" s="7" t="s">
        <v>3356</v>
      </c>
      <c r="B503" s="152"/>
      <c r="C503" s="151" t="s">
        <v>4585</v>
      </c>
      <c r="D503" s="152">
        <v>4</v>
      </c>
      <c r="E503" s="152" t="s">
        <v>58</v>
      </c>
      <c r="F503" s="153">
        <v>500000</v>
      </c>
      <c r="G503" s="153">
        <f>ROUNDDOWN(D503*F503,-3)</f>
        <v>2000000</v>
      </c>
      <c r="H503" s="210" t="b">
        <f t="shared" si="15"/>
        <v>1</v>
      </c>
    </row>
    <row r="504" spans="1:8" ht="13.8" x14ac:dyDescent="0.25">
      <c r="A504" s="7" t="s">
        <v>3358</v>
      </c>
      <c r="B504" s="152"/>
      <c r="C504" s="151" t="s">
        <v>4521</v>
      </c>
      <c r="D504" s="152">
        <v>6</v>
      </c>
      <c r="E504" s="152" t="s">
        <v>106</v>
      </c>
      <c r="F504" s="153">
        <v>1000000</v>
      </c>
      <c r="G504" s="153">
        <f>ROUNDDOWN(D504*F504,-3)</f>
        <v>6000000</v>
      </c>
      <c r="H504" s="210" t="b">
        <f t="shared" si="15"/>
        <v>1</v>
      </c>
    </row>
    <row r="505" spans="1:8" ht="13.8" x14ac:dyDescent="0.25">
      <c r="A505" s="7" t="s">
        <v>3359</v>
      </c>
      <c r="B505" s="60">
        <v>522151</v>
      </c>
      <c r="C505" s="41" t="s">
        <v>11</v>
      </c>
      <c r="D505" s="60"/>
      <c r="E505" s="60"/>
      <c r="F505" s="42"/>
      <c r="G505" s="42">
        <f>G506</f>
        <v>9000000</v>
      </c>
      <c r="H505" s="210" t="b">
        <f t="shared" si="15"/>
        <v>1</v>
      </c>
    </row>
    <row r="506" spans="1:8" ht="13.8" x14ac:dyDescent="0.25">
      <c r="A506" s="7" t="s">
        <v>3360</v>
      </c>
      <c r="B506" s="152"/>
      <c r="C506" s="151" t="s">
        <v>3715</v>
      </c>
      <c r="D506" s="152">
        <v>10</v>
      </c>
      <c r="E506" s="152" t="s">
        <v>12</v>
      </c>
      <c r="F506" s="153">
        <v>900000</v>
      </c>
      <c r="G506" s="153">
        <f>ROUNDDOWN(D506*F506,-3)</f>
        <v>9000000</v>
      </c>
      <c r="H506" s="210" t="b">
        <f t="shared" si="15"/>
        <v>1</v>
      </c>
    </row>
    <row r="507" spans="1:8" ht="13.8" x14ac:dyDescent="0.25">
      <c r="A507" s="7" t="s">
        <v>3361</v>
      </c>
      <c r="B507" s="60">
        <v>524111</v>
      </c>
      <c r="C507" s="41" t="s">
        <v>19</v>
      </c>
      <c r="D507" s="60"/>
      <c r="E507" s="60"/>
      <c r="F507" s="42"/>
      <c r="G507" s="42">
        <f>G508</f>
        <v>42000000</v>
      </c>
      <c r="H507" s="210" t="b">
        <f t="shared" si="15"/>
        <v>1</v>
      </c>
    </row>
    <row r="508" spans="1:8" ht="26.4" x14ac:dyDescent="0.25">
      <c r="A508" s="7" t="s">
        <v>3362</v>
      </c>
      <c r="B508" s="152"/>
      <c r="C508" s="151" t="s">
        <v>4586</v>
      </c>
      <c r="D508" s="152">
        <v>14</v>
      </c>
      <c r="E508" s="152" t="s">
        <v>10</v>
      </c>
      <c r="F508" s="153">
        <v>3000000</v>
      </c>
      <c r="G508" s="153">
        <f>ROUNDDOWN(D508*F508,-3)</f>
        <v>42000000</v>
      </c>
      <c r="H508" s="210" t="b">
        <f t="shared" si="15"/>
        <v>1</v>
      </c>
    </row>
    <row r="509" spans="1:8" ht="13.8" x14ac:dyDescent="0.25">
      <c r="A509" s="7" t="s">
        <v>3364</v>
      </c>
      <c r="B509" s="60">
        <v>524113</v>
      </c>
      <c r="C509" s="41" t="s">
        <v>13</v>
      </c>
      <c r="D509" s="60"/>
      <c r="E509" s="60"/>
      <c r="F509" s="42"/>
      <c r="G509" s="42">
        <f>G510</f>
        <v>3300000</v>
      </c>
      <c r="H509" s="210" t="b">
        <f t="shared" si="15"/>
        <v>1</v>
      </c>
    </row>
    <row r="510" spans="1:8" ht="26.4" x14ac:dyDescent="0.25">
      <c r="A510" s="7" t="s">
        <v>3365</v>
      </c>
      <c r="B510" s="152"/>
      <c r="C510" s="151" t="s">
        <v>4587</v>
      </c>
      <c r="D510" s="152">
        <v>22</v>
      </c>
      <c r="E510" s="152" t="s">
        <v>10</v>
      </c>
      <c r="F510" s="153">
        <v>150000</v>
      </c>
      <c r="G510" s="153">
        <f>ROUNDDOWN(D510*F510,-3)</f>
        <v>3300000</v>
      </c>
      <c r="H510" s="210" t="b">
        <f t="shared" si="15"/>
        <v>1</v>
      </c>
    </row>
    <row r="511" spans="1:8" ht="13.8" x14ac:dyDescent="0.25">
      <c r="A511" s="7" t="s">
        <v>3367</v>
      </c>
      <c r="B511" s="59" t="s">
        <v>519</v>
      </c>
      <c r="C511" s="38" t="s">
        <v>146</v>
      </c>
      <c r="D511" s="59"/>
      <c r="E511" s="59"/>
      <c r="F511" s="39"/>
      <c r="G511" s="39">
        <f>SUM(G512,G515,G517)</f>
        <v>28800000</v>
      </c>
      <c r="H511" s="210" t="b">
        <f>_xlfn.ISFORMULA(G511)</f>
        <v>1</v>
      </c>
    </row>
    <row r="512" spans="1:8" ht="13.8" x14ac:dyDescent="0.25">
      <c r="A512" s="7" t="s">
        <v>3368</v>
      </c>
      <c r="B512" s="60">
        <v>521211</v>
      </c>
      <c r="C512" s="41" t="s">
        <v>7</v>
      </c>
      <c r="D512" s="60"/>
      <c r="E512" s="60"/>
      <c r="F512" s="42"/>
      <c r="G512" s="42">
        <f>SUM(G513:G514)</f>
        <v>15000000</v>
      </c>
      <c r="H512" s="210" t="b">
        <f t="shared" si="15"/>
        <v>1</v>
      </c>
    </row>
    <row r="513" spans="1:8" ht="13.8" x14ac:dyDescent="0.25">
      <c r="A513" s="7" t="s">
        <v>3369</v>
      </c>
      <c r="B513" s="152"/>
      <c r="C513" s="151" t="s">
        <v>4269</v>
      </c>
      <c r="D513" s="152">
        <v>6</v>
      </c>
      <c r="E513" s="152" t="s">
        <v>9</v>
      </c>
      <c r="F513" s="153">
        <v>1500000</v>
      </c>
      <c r="G513" s="153">
        <f>ROUNDDOWN(D513*F513,-3)</f>
        <v>9000000</v>
      </c>
      <c r="H513" s="210" t="b">
        <f t="shared" si="15"/>
        <v>1</v>
      </c>
    </row>
    <row r="514" spans="1:8" ht="13.8" x14ac:dyDescent="0.25">
      <c r="A514" s="7" t="s">
        <v>3370</v>
      </c>
      <c r="B514" s="152"/>
      <c r="C514" s="151" t="s">
        <v>3632</v>
      </c>
      <c r="D514" s="152">
        <v>6</v>
      </c>
      <c r="E514" s="152" t="s">
        <v>106</v>
      </c>
      <c r="F514" s="153">
        <v>1000000</v>
      </c>
      <c r="G514" s="153">
        <f>ROUNDDOWN(D514*F514,-3)</f>
        <v>6000000</v>
      </c>
      <c r="H514" s="210" t="b">
        <f t="shared" si="15"/>
        <v>1</v>
      </c>
    </row>
    <row r="515" spans="1:8" ht="13.8" x14ac:dyDescent="0.25">
      <c r="A515" s="7" t="s">
        <v>3371</v>
      </c>
      <c r="B515" s="60">
        <v>524111</v>
      </c>
      <c r="C515" s="41" t="s">
        <v>19</v>
      </c>
      <c r="D515" s="60"/>
      <c r="E515" s="60"/>
      <c r="F515" s="42"/>
      <c r="G515" s="42">
        <f>G516</f>
        <v>12000000</v>
      </c>
      <c r="H515" s="210" t="b">
        <f t="shared" si="15"/>
        <v>1</v>
      </c>
    </row>
    <row r="516" spans="1:8" ht="13.8" x14ac:dyDescent="0.25">
      <c r="A516" s="7" t="s">
        <v>3372</v>
      </c>
      <c r="B516" s="152"/>
      <c r="C516" s="151" t="s">
        <v>4588</v>
      </c>
      <c r="D516" s="152">
        <v>4</v>
      </c>
      <c r="E516" s="152" t="s">
        <v>10</v>
      </c>
      <c r="F516" s="153">
        <v>3000000</v>
      </c>
      <c r="G516" s="153">
        <f>ROUNDDOWN(D516*F516,-3)</f>
        <v>12000000</v>
      </c>
      <c r="H516" s="210" t="b">
        <f t="shared" si="15"/>
        <v>1</v>
      </c>
    </row>
    <row r="517" spans="1:8" ht="13.8" x14ac:dyDescent="0.25">
      <c r="A517" s="7" t="s">
        <v>3374</v>
      </c>
      <c r="B517" s="60">
        <v>524113</v>
      </c>
      <c r="C517" s="41" t="s">
        <v>13</v>
      </c>
      <c r="D517" s="60"/>
      <c r="E517" s="60"/>
      <c r="F517" s="42"/>
      <c r="G517" s="42">
        <f>G518</f>
        <v>1800000</v>
      </c>
      <c r="H517" s="210" t="b">
        <f t="shared" si="15"/>
        <v>1</v>
      </c>
    </row>
    <row r="518" spans="1:8" ht="13.8" x14ac:dyDescent="0.25">
      <c r="A518" s="7" t="s">
        <v>3375</v>
      </c>
      <c r="B518" s="152"/>
      <c r="C518" s="151" t="s">
        <v>4589</v>
      </c>
      <c r="D518" s="152">
        <v>12</v>
      </c>
      <c r="E518" s="152" t="s">
        <v>10</v>
      </c>
      <c r="F518" s="153">
        <v>150000</v>
      </c>
      <c r="G518" s="153">
        <f>ROUNDDOWN(D518*F518,-3)</f>
        <v>1800000</v>
      </c>
      <c r="H518" s="210" t="b">
        <f t="shared" si="15"/>
        <v>1</v>
      </c>
    </row>
    <row r="519" spans="1:8" ht="13.8" x14ac:dyDescent="0.25">
      <c r="A519" s="7" t="s">
        <v>3377</v>
      </c>
      <c r="B519" s="59" t="s">
        <v>578</v>
      </c>
      <c r="C519" s="38" t="s">
        <v>147</v>
      </c>
      <c r="D519" s="59"/>
      <c r="E519" s="59"/>
      <c r="F519" s="39"/>
      <c r="G519" s="39">
        <f>SUM(G520,G522,G525,G527)</f>
        <v>76320000</v>
      </c>
      <c r="H519" s="210" t="b">
        <f t="shared" si="15"/>
        <v>1</v>
      </c>
    </row>
    <row r="520" spans="1:8" ht="13.8" x14ac:dyDescent="0.25">
      <c r="A520" s="7" t="s">
        <v>3378</v>
      </c>
      <c r="B520" s="60">
        <v>521211</v>
      </c>
      <c r="C520" s="41" t="s">
        <v>7</v>
      </c>
      <c r="D520" s="60"/>
      <c r="E520" s="60"/>
      <c r="F520" s="42"/>
      <c r="G520" s="42">
        <f>G521</f>
        <v>4800000</v>
      </c>
      <c r="H520" s="210" t="b">
        <f t="shared" si="15"/>
        <v>1</v>
      </c>
    </row>
    <row r="521" spans="1:8" ht="13.8" x14ac:dyDescent="0.25">
      <c r="A521" s="7" t="s">
        <v>3379</v>
      </c>
      <c r="B521" s="152"/>
      <c r="C521" s="151" t="s">
        <v>4590</v>
      </c>
      <c r="D521" s="152">
        <v>24</v>
      </c>
      <c r="E521" s="152" t="s">
        <v>176</v>
      </c>
      <c r="F521" s="153">
        <v>200000</v>
      </c>
      <c r="G521" s="153">
        <f>ROUNDDOWN(D521*F521,-3)</f>
        <v>4800000</v>
      </c>
      <c r="H521" s="210" t="b">
        <f t="shared" si="15"/>
        <v>1</v>
      </c>
    </row>
    <row r="522" spans="1:8" ht="13.8" x14ac:dyDescent="0.25">
      <c r="A522" s="7" t="s">
        <v>3381</v>
      </c>
      <c r="B522" s="60">
        <v>521811</v>
      </c>
      <c r="C522" s="41" t="s">
        <v>64</v>
      </c>
      <c r="D522" s="60"/>
      <c r="E522" s="60"/>
      <c r="F522" s="42"/>
      <c r="G522" s="42">
        <f>SUM(G523:G524)</f>
        <v>25000000</v>
      </c>
      <c r="H522" s="210" t="b">
        <f t="shared" si="15"/>
        <v>1</v>
      </c>
    </row>
    <row r="523" spans="1:8" ht="13.8" x14ac:dyDescent="0.25">
      <c r="A523" s="7" t="s">
        <v>3382</v>
      </c>
      <c r="B523" s="152"/>
      <c r="C523" s="151" t="s">
        <v>4269</v>
      </c>
      <c r="D523" s="152">
        <v>10</v>
      </c>
      <c r="E523" s="152" t="s">
        <v>9</v>
      </c>
      <c r="F523" s="153">
        <v>1500000</v>
      </c>
      <c r="G523" s="153">
        <f>ROUNDDOWN(D523*F523,-3)</f>
        <v>15000000</v>
      </c>
      <c r="H523" s="210" t="b">
        <f t="shared" si="15"/>
        <v>1</v>
      </c>
    </row>
    <row r="524" spans="1:8" ht="13.8" x14ac:dyDescent="0.25">
      <c r="A524" s="7" t="s">
        <v>3383</v>
      </c>
      <c r="B524" s="152"/>
      <c r="C524" s="151" t="s">
        <v>3632</v>
      </c>
      <c r="D524" s="152">
        <v>10</v>
      </c>
      <c r="E524" s="152" t="s">
        <v>2749</v>
      </c>
      <c r="F524" s="153">
        <v>1000000</v>
      </c>
      <c r="G524" s="153">
        <f>ROUNDDOWN(D524*F524,-3)</f>
        <v>10000000</v>
      </c>
      <c r="H524" s="210" t="b">
        <f t="shared" si="15"/>
        <v>1</v>
      </c>
    </row>
    <row r="525" spans="1:8" ht="13.8" x14ac:dyDescent="0.25">
      <c r="A525" s="7" t="s">
        <v>3384</v>
      </c>
      <c r="B525" s="60">
        <v>524111</v>
      </c>
      <c r="C525" s="41" t="s">
        <v>19</v>
      </c>
      <c r="D525" s="60"/>
      <c r="E525" s="60"/>
      <c r="F525" s="42"/>
      <c r="G525" s="42">
        <f>G526</f>
        <v>42770000</v>
      </c>
      <c r="H525" s="210" t="b">
        <f t="shared" ref="H525:H588" si="16">_xlfn.ISFORMULA(G525)</f>
        <v>1</v>
      </c>
    </row>
    <row r="526" spans="1:8" ht="13.8" x14ac:dyDescent="0.25">
      <c r="A526" s="7" t="s">
        <v>3385</v>
      </c>
      <c r="B526" s="152"/>
      <c r="C526" s="151" t="s">
        <v>4591</v>
      </c>
      <c r="D526" s="152">
        <v>14</v>
      </c>
      <c r="E526" s="152" t="s">
        <v>10</v>
      </c>
      <c r="F526" s="153">
        <v>3055000</v>
      </c>
      <c r="G526" s="153">
        <f>ROUNDDOWN(D526*F526,-3)</f>
        <v>42770000</v>
      </c>
      <c r="H526" s="210" t="b">
        <f t="shared" si="16"/>
        <v>1</v>
      </c>
    </row>
    <row r="527" spans="1:8" ht="13.8" x14ac:dyDescent="0.25">
      <c r="A527" s="7" t="s">
        <v>3387</v>
      </c>
      <c r="B527" s="60">
        <v>524113</v>
      </c>
      <c r="C527" s="41" t="s">
        <v>13</v>
      </c>
      <c r="D527" s="60"/>
      <c r="E527" s="60"/>
      <c r="F527" s="42"/>
      <c r="G527" s="42">
        <f>G528</f>
        <v>3750000</v>
      </c>
      <c r="H527" s="210" t="b">
        <f t="shared" si="16"/>
        <v>1</v>
      </c>
    </row>
    <row r="528" spans="1:8" ht="13.8" x14ac:dyDescent="0.25">
      <c r="A528" s="7" t="s">
        <v>3388</v>
      </c>
      <c r="B528" s="152"/>
      <c r="C528" s="151" t="s">
        <v>3618</v>
      </c>
      <c r="D528" s="152">
        <v>25</v>
      </c>
      <c r="E528" s="152" t="s">
        <v>10</v>
      </c>
      <c r="F528" s="153">
        <v>150000</v>
      </c>
      <c r="G528" s="153">
        <f>ROUNDDOWN(D528*F528,-3)</f>
        <v>3750000</v>
      </c>
      <c r="H528" s="210" t="b">
        <f t="shared" si="16"/>
        <v>1</v>
      </c>
    </row>
    <row r="529" spans="1:8" ht="13.8" x14ac:dyDescent="0.25">
      <c r="A529" s="7" t="s">
        <v>495</v>
      </c>
      <c r="B529" s="55">
        <v>4345</v>
      </c>
      <c r="C529" s="26" t="s">
        <v>188</v>
      </c>
      <c r="D529" s="55"/>
      <c r="E529" s="55"/>
      <c r="F529" s="27"/>
      <c r="G529" s="27">
        <f>G530</f>
        <v>8582500000</v>
      </c>
      <c r="H529" s="210" t="b">
        <f t="shared" si="16"/>
        <v>1</v>
      </c>
    </row>
    <row r="530" spans="1:8" ht="13.8" x14ac:dyDescent="0.25">
      <c r="A530" s="7" t="s">
        <v>3473</v>
      </c>
      <c r="B530" s="135" t="s">
        <v>3474</v>
      </c>
      <c r="C530" s="133" t="s">
        <v>2312</v>
      </c>
      <c r="D530" s="135">
        <v>4725</v>
      </c>
      <c r="E530" s="135" t="s">
        <v>155</v>
      </c>
      <c r="F530" s="136"/>
      <c r="G530" s="136">
        <f>G531</f>
        <v>8582500000</v>
      </c>
      <c r="H530" s="210" t="b">
        <f t="shared" si="16"/>
        <v>1</v>
      </c>
    </row>
    <row r="531" spans="1:8" ht="13.8" x14ac:dyDescent="0.25">
      <c r="A531" s="7" t="s">
        <v>3475</v>
      </c>
      <c r="B531" s="138" t="s">
        <v>4611</v>
      </c>
      <c r="C531" s="137" t="s">
        <v>3477</v>
      </c>
      <c r="D531" s="138">
        <v>4725</v>
      </c>
      <c r="E531" s="138" t="s">
        <v>155</v>
      </c>
      <c r="F531" s="139"/>
      <c r="G531" s="139">
        <f>SUM(G532,G580)</f>
        <v>8582500000</v>
      </c>
      <c r="H531" s="210" t="b">
        <f t="shared" si="16"/>
        <v>1</v>
      </c>
    </row>
    <row r="532" spans="1:8" ht="13.8" x14ac:dyDescent="0.25">
      <c r="A532" s="7" t="s">
        <v>3478</v>
      </c>
      <c r="B532" s="58">
        <v>301</v>
      </c>
      <c r="C532" s="35" t="s">
        <v>189</v>
      </c>
      <c r="D532" s="58"/>
      <c r="E532" s="58"/>
      <c r="F532" s="36"/>
      <c r="G532" s="36">
        <f>SUM(G533,G552,G568,G577)</f>
        <v>8473300000</v>
      </c>
      <c r="H532" s="210" t="b">
        <f t="shared" si="16"/>
        <v>1</v>
      </c>
    </row>
    <row r="533" spans="1:8" ht="13.8" x14ac:dyDescent="0.25">
      <c r="A533" s="7" t="s">
        <v>3479</v>
      </c>
      <c r="B533" s="59" t="s">
        <v>8</v>
      </c>
      <c r="C533" s="38" t="s">
        <v>190</v>
      </c>
      <c r="D533" s="59"/>
      <c r="E533" s="59"/>
      <c r="F533" s="39"/>
      <c r="G533" s="39">
        <f>SUM(G534,G539,G542,G545,G547,G549)</f>
        <v>1713564000</v>
      </c>
      <c r="H533" s="210" t="b">
        <f t="shared" si="16"/>
        <v>1</v>
      </c>
    </row>
    <row r="534" spans="1:8" ht="13.8" x14ac:dyDescent="0.25">
      <c r="A534" s="7" t="s">
        <v>3480</v>
      </c>
      <c r="B534" s="60">
        <v>521211</v>
      </c>
      <c r="C534" s="41" t="s">
        <v>7</v>
      </c>
      <c r="D534" s="60"/>
      <c r="E534" s="60"/>
      <c r="F534" s="42"/>
      <c r="G534" s="42">
        <f>SUM(G535:G538)</f>
        <v>99100000</v>
      </c>
      <c r="H534" s="210" t="b">
        <f t="shared" si="16"/>
        <v>1</v>
      </c>
    </row>
    <row r="535" spans="1:8" ht="13.8" x14ac:dyDescent="0.25">
      <c r="A535" s="7" t="s">
        <v>3481</v>
      </c>
      <c r="B535" s="152"/>
      <c r="C535" s="151" t="s">
        <v>4612</v>
      </c>
      <c r="D535" s="152">
        <v>400</v>
      </c>
      <c r="E535" s="152" t="s">
        <v>10</v>
      </c>
      <c r="F535" s="153">
        <v>70000</v>
      </c>
      <c r="G535" s="153">
        <f>ROUNDDOWN(D535*F535,-3)</f>
        <v>28000000</v>
      </c>
      <c r="H535" s="210" t="b">
        <f t="shared" si="16"/>
        <v>1</v>
      </c>
    </row>
    <row r="536" spans="1:8" ht="13.8" x14ac:dyDescent="0.25">
      <c r="A536" s="7" t="s">
        <v>3482</v>
      </c>
      <c r="B536" s="152"/>
      <c r="C536" s="151" t="s">
        <v>4613</v>
      </c>
      <c r="D536" s="152">
        <v>10</v>
      </c>
      <c r="E536" s="152" t="s">
        <v>9</v>
      </c>
      <c r="F536" s="153">
        <v>1500000</v>
      </c>
      <c r="G536" s="153">
        <f>ROUNDDOWN(D536*F536,-3)</f>
        <v>15000000</v>
      </c>
      <c r="H536" s="210" t="b">
        <f t="shared" si="16"/>
        <v>1</v>
      </c>
    </row>
    <row r="537" spans="1:8" ht="13.8" x14ac:dyDescent="0.25">
      <c r="A537" s="7" t="s">
        <v>3484</v>
      </c>
      <c r="B537" s="152"/>
      <c r="C537" s="151" t="s">
        <v>4614</v>
      </c>
      <c r="D537" s="152">
        <v>120</v>
      </c>
      <c r="E537" s="152" t="s">
        <v>25</v>
      </c>
      <c r="F537" s="153">
        <v>280000</v>
      </c>
      <c r="G537" s="153">
        <f>ROUNDDOWN(D537*F537,-3)</f>
        <v>33600000</v>
      </c>
      <c r="H537" s="210" t="b">
        <f t="shared" si="16"/>
        <v>1</v>
      </c>
    </row>
    <row r="538" spans="1:8" ht="13.8" x14ac:dyDescent="0.25">
      <c r="A538" s="7" t="s">
        <v>3486</v>
      </c>
      <c r="B538" s="152"/>
      <c r="C538" s="151" t="s">
        <v>4615</v>
      </c>
      <c r="D538" s="152">
        <v>150</v>
      </c>
      <c r="E538" s="152" t="s">
        <v>25</v>
      </c>
      <c r="F538" s="153">
        <v>150000</v>
      </c>
      <c r="G538" s="153">
        <f>ROUNDDOWN(D538*F538,-3)</f>
        <v>22500000</v>
      </c>
      <c r="H538" s="210" t="b">
        <f t="shared" si="16"/>
        <v>1</v>
      </c>
    </row>
    <row r="539" spans="1:8" ht="13.8" x14ac:dyDescent="0.25">
      <c r="A539" s="7" t="s">
        <v>3488</v>
      </c>
      <c r="B539" s="60">
        <v>521219</v>
      </c>
      <c r="C539" s="41" t="s">
        <v>53</v>
      </c>
      <c r="D539" s="60"/>
      <c r="E539" s="60"/>
      <c r="F539" s="42"/>
      <c r="G539" s="42">
        <f>SUM(G540:G541)</f>
        <v>1333864000</v>
      </c>
      <c r="H539" s="210" t="b">
        <f t="shared" si="16"/>
        <v>1</v>
      </c>
    </row>
    <row r="540" spans="1:8" ht="13.8" x14ac:dyDescent="0.25">
      <c r="A540" s="7" t="s">
        <v>3489</v>
      </c>
      <c r="B540" s="152"/>
      <c r="C540" s="151" t="s">
        <v>4616</v>
      </c>
      <c r="D540" s="152">
        <v>33</v>
      </c>
      <c r="E540" s="152" t="s">
        <v>155</v>
      </c>
      <c r="F540" s="153">
        <v>40412550</v>
      </c>
      <c r="G540" s="153">
        <f>ROUNDDOWN(D540*F540,-3)</f>
        <v>1333614000</v>
      </c>
      <c r="H540" s="210" t="b">
        <f t="shared" si="16"/>
        <v>1</v>
      </c>
    </row>
    <row r="541" spans="1:8" ht="13.8" x14ac:dyDescent="0.25">
      <c r="A541" s="7" t="s">
        <v>3491</v>
      </c>
      <c r="B541" s="152"/>
      <c r="C541" s="151" t="s">
        <v>4617</v>
      </c>
      <c r="D541" s="152">
        <v>1</v>
      </c>
      <c r="E541" s="152" t="s">
        <v>9</v>
      </c>
      <c r="F541" s="153">
        <v>250000</v>
      </c>
      <c r="G541" s="153">
        <f>ROUNDDOWN(D541*F541,-3)</f>
        <v>250000</v>
      </c>
      <c r="H541" s="210" t="b">
        <f t="shared" si="16"/>
        <v>1</v>
      </c>
    </row>
    <row r="542" spans="1:8" ht="13.8" x14ac:dyDescent="0.25">
      <c r="A542" s="7" t="s">
        <v>3492</v>
      </c>
      <c r="B542" s="60">
        <v>521811</v>
      </c>
      <c r="C542" s="41" t="s">
        <v>64</v>
      </c>
      <c r="D542" s="60"/>
      <c r="E542" s="60"/>
      <c r="F542" s="42"/>
      <c r="G542" s="42">
        <f>SUM(G543:G544)</f>
        <v>25000000</v>
      </c>
      <c r="H542" s="210" t="b">
        <f t="shared" si="16"/>
        <v>1</v>
      </c>
    </row>
    <row r="543" spans="1:8" ht="13.8" x14ac:dyDescent="0.25">
      <c r="A543" s="7" t="s">
        <v>3493</v>
      </c>
      <c r="B543" s="152"/>
      <c r="C543" s="151" t="s">
        <v>4269</v>
      </c>
      <c r="D543" s="152">
        <v>10</v>
      </c>
      <c r="E543" s="152" t="s">
        <v>9</v>
      </c>
      <c r="F543" s="153">
        <v>1000000</v>
      </c>
      <c r="G543" s="153">
        <f>ROUNDDOWN(D543*F543,-3)</f>
        <v>10000000</v>
      </c>
      <c r="H543" s="210" t="b">
        <f t="shared" si="16"/>
        <v>1</v>
      </c>
    </row>
    <row r="544" spans="1:8" ht="13.8" x14ac:dyDescent="0.25">
      <c r="A544" s="7" t="s">
        <v>3494</v>
      </c>
      <c r="B544" s="152"/>
      <c r="C544" s="151" t="s">
        <v>3632</v>
      </c>
      <c r="D544" s="152">
        <v>10</v>
      </c>
      <c r="E544" s="152" t="s">
        <v>9</v>
      </c>
      <c r="F544" s="153">
        <v>1500000</v>
      </c>
      <c r="G544" s="153">
        <f>ROUNDDOWN(D544*F544,-3)</f>
        <v>15000000</v>
      </c>
      <c r="H544" s="210" t="b">
        <f t="shared" si="16"/>
        <v>1</v>
      </c>
    </row>
    <row r="545" spans="1:8" ht="13.8" x14ac:dyDescent="0.25">
      <c r="A545" s="7" t="s">
        <v>3495</v>
      </c>
      <c r="B545" s="60">
        <v>522151</v>
      </c>
      <c r="C545" s="41" t="s">
        <v>11</v>
      </c>
      <c r="D545" s="60"/>
      <c r="E545" s="60"/>
      <c r="F545" s="42"/>
      <c r="G545" s="42">
        <f>G546</f>
        <v>15000000</v>
      </c>
      <c r="H545" s="210" t="b">
        <f t="shared" si="16"/>
        <v>1</v>
      </c>
    </row>
    <row r="546" spans="1:8" ht="13.8" x14ac:dyDescent="0.25">
      <c r="A546" s="7" t="s">
        <v>3496</v>
      </c>
      <c r="B546" s="152"/>
      <c r="C546" s="151" t="s">
        <v>3715</v>
      </c>
      <c r="D546" s="152">
        <v>15</v>
      </c>
      <c r="E546" s="152" t="s">
        <v>12</v>
      </c>
      <c r="F546" s="153">
        <v>1000000</v>
      </c>
      <c r="G546" s="153">
        <f>ROUNDDOWN(D546*F546,-3)</f>
        <v>15000000</v>
      </c>
      <c r="H546" s="210" t="b">
        <f t="shared" si="16"/>
        <v>1</v>
      </c>
    </row>
    <row r="547" spans="1:8" ht="13.8" x14ac:dyDescent="0.25">
      <c r="A547" s="7" t="s">
        <v>3497</v>
      </c>
      <c r="B547" s="60">
        <v>522191</v>
      </c>
      <c r="C547" s="41" t="s">
        <v>22</v>
      </c>
      <c r="D547" s="60"/>
      <c r="E547" s="60"/>
      <c r="F547" s="42"/>
      <c r="G547" s="42">
        <f>G548</f>
        <v>102600000</v>
      </c>
      <c r="H547" s="210" t="b">
        <f t="shared" si="16"/>
        <v>1</v>
      </c>
    </row>
    <row r="548" spans="1:8" ht="13.8" x14ac:dyDescent="0.25">
      <c r="A548" s="7" t="s">
        <v>3498</v>
      </c>
      <c r="B548" s="152"/>
      <c r="C548" s="151" t="s">
        <v>4618</v>
      </c>
      <c r="D548" s="152">
        <v>120</v>
      </c>
      <c r="E548" s="152" t="s">
        <v>155</v>
      </c>
      <c r="F548" s="153">
        <v>855000</v>
      </c>
      <c r="G548" s="153">
        <f>ROUNDDOWN(D548*F548,-3)</f>
        <v>102600000</v>
      </c>
      <c r="H548" s="210" t="b">
        <f t="shared" si="16"/>
        <v>1</v>
      </c>
    </row>
    <row r="549" spans="1:8" ht="13.8" x14ac:dyDescent="0.25">
      <c r="A549" s="7" t="s">
        <v>3500</v>
      </c>
      <c r="B549" s="60">
        <v>524111</v>
      </c>
      <c r="C549" s="41" t="s">
        <v>19</v>
      </c>
      <c r="D549" s="60"/>
      <c r="E549" s="60"/>
      <c r="F549" s="42"/>
      <c r="G549" s="42">
        <f>SUM(G550:G551)</f>
        <v>138000000</v>
      </c>
      <c r="H549" s="210" t="b">
        <f t="shared" si="16"/>
        <v>1</v>
      </c>
    </row>
    <row r="550" spans="1:8" ht="13.8" x14ac:dyDescent="0.25">
      <c r="A550" s="7" t="s">
        <v>3501</v>
      </c>
      <c r="B550" s="152"/>
      <c r="C550" s="151" t="s">
        <v>4619</v>
      </c>
      <c r="D550" s="152">
        <v>50</v>
      </c>
      <c r="E550" s="152" t="s">
        <v>10</v>
      </c>
      <c r="F550" s="153">
        <v>1200000</v>
      </c>
      <c r="G550" s="153">
        <f>ROUNDDOWN(D550*F550,-3)</f>
        <v>60000000</v>
      </c>
      <c r="H550" s="210" t="b">
        <f t="shared" si="16"/>
        <v>1</v>
      </c>
    </row>
    <row r="551" spans="1:8" ht="26.4" x14ac:dyDescent="0.25">
      <c r="A551" s="7" t="s">
        <v>3503</v>
      </c>
      <c r="B551" s="152"/>
      <c r="C551" s="151" t="s">
        <v>4620</v>
      </c>
      <c r="D551" s="152">
        <v>12</v>
      </c>
      <c r="E551" s="152" t="s">
        <v>10</v>
      </c>
      <c r="F551" s="153">
        <v>6500000</v>
      </c>
      <c r="G551" s="153">
        <f>ROUNDDOWN(D551*F551,-3)</f>
        <v>78000000</v>
      </c>
      <c r="H551" s="210" t="b">
        <f t="shared" si="16"/>
        <v>1</v>
      </c>
    </row>
    <row r="552" spans="1:8" ht="13.8" x14ac:dyDescent="0.25">
      <c r="A552" s="7" t="s">
        <v>3505</v>
      </c>
      <c r="B552" s="59" t="s">
        <v>511</v>
      </c>
      <c r="C552" s="38" t="s">
        <v>191</v>
      </c>
      <c r="D552" s="59"/>
      <c r="E552" s="59"/>
      <c r="F552" s="39"/>
      <c r="G552" s="39">
        <f>SUM(G553,G556,G560,G563,G565)</f>
        <v>6555695000</v>
      </c>
      <c r="H552" s="210" t="b">
        <f t="shared" si="16"/>
        <v>1</v>
      </c>
    </row>
    <row r="553" spans="1:8" ht="13.8" x14ac:dyDescent="0.25">
      <c r="A553" s="7" t="s">
        <v>3506</v>
      </c>
      <c r="B553" s="60">
        <v>521211</v>
      </c>
      <c r="C553" s="41" t="s">
        <v>7</v>
      </c>
      <c r="D553" s="60"/>
      <c r="E553" s="60"/>
      <c r="F553" s="42"/>
      <c r="G553" s="42">
        <f>SUM(G554:G555)</f>
        <v>25000000</v>
      </c>
      <c r="H553" s="210" t="b">
        <f t="shared" si="16"/>
        <v>1</v>
      </c>
    </row>
    <row r="554" spans="1:8" ht="13.8" x14ac:dyDescent="0.25">
      <c r="A554" s="7" t="s">
        <v>3507</v>
      </c>
      <c r="B554" s="152"/>
      <c r="C554" s="151" t="s">
        <v>4612</v>
      </c>
      <c r="D554" s="152">
        <v>100</v>
      </c>
      <c r="E554" s="152" t="s">
        <v>10</v>
      </c>
      <c r="F554" s="153">
        <v>70000</v>
      </c>
      <c r="G554" s="153">
        <f>ROUNDDOWN(D554*F554,-3)</f>
        <v>7000000</v>
      </c>
      <c r="H554" s="210" t="b">
        <f t="shared" si="16"/>
        <v>1</v>
      </c>
    </row>
    <row r="555" spans="1:8" ht="13.8" x14ac:dyDescent="0.25">
      <c r="A555" s="7" t="s">
        <v>3508</v>
      </c>
      <c r="B555" s="152"/>
      <c r="C555" s="151" t="s">
        <v>4613</v>
      </c>
      <c r="D555" s="152">
        <v>12</v>
      </c>
      <c r="E555" s="152" t="s">
        <v>9</v>
      </c>
      <c r="F555" s="153">
        <v>1500000</v>
      </c>
      <c r="G555" s="153">
        <f>ROUNDDOWN(D555*F555,-3)</f>
        <v>18000000</v>
      </c>
      <c r="H555" s="210" t="b">
        <f t="shared" si="16"/>
        <v>1</v>
      </c>
    </row>
    <row r="556" spans="1:8" ht="13.8" x14ac:dyDescent="0.25">
      <c r="A556" s="7" t="s">
        <v>3509</v>
      </c>
      <c r="B556" s="60">
        <v>521219</v>
      </c>
      <c r="C556" s="41" t="s">
        <v>53</v>
      </c>
      <c r="D556" s="60"/>
      <c r="E556" s="60"/>
      <c r="F556" s="42"/>
      <c r="G556" s="42">
        <f>SUM(G557:G559)</f>
        <v>6308695000</v>
      </c>
      <c r="H556" s="210" t="b">
        <f t="shared" si="16"/>
        <v>1</v>
      </c>
    </row>
    <row r="557" spans="1:8" ht="13.8" x14ac:dyDescent="0.25">
      <c r="A557" s="7" t="s">
        <v>3510</v>
      </c>
      <c r="B557" s="152"/>
      <c r="C557" s="151" t="s">
        <v>4616</v>
      </c>
      <c r="D557" s="152">
        <v>157</v>
      </c>
      <c r="E557" s="152" t="s">
        <v>155</v>
      </c>
      <c r="F557" s="153">
        <v>40130229</v>
      </c>
      <c r="G557" s="153">
        <f>ROUNDDOWN(D557*F557,-3)</f>
        <v>6300445000</v>
      </c>
      <c r="H557" s="210" t="b">
        <f t="shared" si="16"/>
        <v>1</v>
      </c>
    </row>
    <row r="558" spans="1:8" ht="13.8" x14ac:dyDescent="0.25">
      <c r="A558" s="7" t="s">
        <v>3511</v>
      </c>
      <c r="B558" s="152"/>
      <c r="C558" s="151" t="s">
        <v>4617</v>
      </c>
      <c r="D558" s="152">
        <v>3</v>
      </c>
      <c r="E558" s="152" t="s">
        <v>9</v>
      </c>
      <c r="F558" s="153">
        <v>250000</v>
      </c>
      <c r="G558" s="153">
        <f>ROUNDDOWN(D558*F558,-3)</f>
        <v>750000</v>
      </c>
      <c r="H558" s="210" t="b">
        <f t="shared" si="16"/>
        <v>1</v>
      </c>
    </row>
    <row r="559" spans="1:8" ht="13.8" x14ac:dyDescent="0.25">
      <c r="A559" s="7" t="s">
        <v>3512</v>
      </c>
      <c r="B559" s="152"/>
      <c r="C559" s="151" t="s">
        <v>4621</v>
      </c>
      <c r="D559" s="152">
        <v>15</v>
      </c>
      <c r="E559" s="152" t="s">
        <v>106</v>
      </c>
      <c r="F559" s="153">
        <v>500000</v>
      </c>
      <c r="G559" s="153">
        <f>ROUNDDOWN(D559*F559,-3)</f>
        <v>7500000</v>
      </c>
      <c r="H559" s="210" t="b">
        <f t="shared" si="16"/>
        <v>1</v>
      </c>
    </row>
    <row r="560" spans="1:8" ht="13.8" x14ac:dyDescent="0.25">
      <c r="A560" s="7" t="s">
        <v>3514</v>
      </c>
      <c r="B560" s="60">
        <v>521811</v>
      </c>
      <c r="C560" s="41" t="s">
        <v>64</v>
      </c>
      <c r="D560" s="60"/>
      <c r="E560" s="60"/>
      <c r="F560" s="42"/>
      <c r="G560" s="42">
        <f>SUM(G561:G562)</f>
        <v>30000000</v>
      </c>
      <c r="H560" s="210" t="b">
        <f t="shared" si="16"/>
        <v>1</v>
      </c>
    </row>
    <row r="561" spans="1:8" ht="13.8" x14ac:dyDescent="0.25">
      <c r="A561" s="7" t="s">
        <v>3515</v>
      </c>
      <c r="B561" s="152"/>
      <c r="C561" s="151" t="s">
        <v>4269</v>
      </c>
      <c r="D561" s="152">
        <v>12</v>
      </c>
      <c r="E561" s="152" t="s">
        <v>9</v>
      </c>
      <c r="F561" s="153">
        <v>1000000</v>
      </c>
      <c r="G561" s="153">
        <f>ROUNDDOWN(D561*F561,-3)</f>
        <v>12000000</v>
      </c>
      <c r="H561" s="210" t="b">
        <f t="shared" si="16"/>
        <v>1</v>
      </c>
    </row>
    <row r="562" spans="1:8" ht="13.8" x14ac:dyDescent="0.25">
      <c r="A562" s="7" t="s">
        <v>3516</v>
      </c>
      <c r="B562" s="152"/>
      <c r="C562" s="151" t="s">
        <v>3632</v>
      </c>
      <c r="D562" s="152">
        <v>12</v>
      </c>
      <c r="E562" s="152" t="s">
        <v>9</v>
      </c>
      <c r="F562" s="153">
        <v>1500000</v>
      </c>
      <c r="G562" s="153">
        <f>ROUNDDOWN(D562*F562,-3)</f>
        <v>18000000</v>
      </c>
      <c r="H562" s="210" t="b">
        <f t="shared" si="16"/>
        <v>1</v>
      </c>
    </row>
    <row r="563" spans="1:8" ht="13.8" x14ac:dyDescent="0.25">
      <c r="A563" s="7" t="s">
        <v>3517</v>
      </c>
      <c r="B563" s="60">
        <v>522151</v>
      </c>
      <c r="C563" s="41" t="s">
        <v>11</v>
      </c>
      <c r="D563" s="60"/>
      <c r="E563" s="60"/>
      <c r="F563" s="42"/>
      <c r="G563" s="42">
        <f>G564</f>
        <v>6000000</v>
      </c>
      <c r="H563" s="210" t="b">
        <f t="shared" si="16"/>
        <v>1</v>
      </c>
    </row>
    <row r="564" spans="1:8" ht="13.8" x14ac:dyDescent="0.25">
      <c r="A564" s="7" t="s">
        <v>3518</v>
      </c>
      <c r="B564" s="152"/>
      <c r="C564" s="151" t="s">
        <v>3715</v>
      </c>
      <c r="D564" s="152">
        <v>6</v>
      </c>
      <c r="E564" s="152" t="s">
        <v>12</v>
      </c>
      <c r="F564" s="153">
        <v>1000000</v>
      </c>
      <c r="G564" s="153">
        <f>ROUNDDOWN(D564*F564,-3)</f>
        <v>6000000</v>
      </c>
      <c r="H564" s="210" t="b">
        <f t="shared" si="16"/>
        <v>1</v>
      </c>
    </row>
    <row r="565" spans="1:8" ht="13.8" x14ac:dyDescent="0.25">
      <c r="A565" s="7" t="s">
        <v>3519</v>
      </c>
      <c r="B565" s="60">
        <v>524111</v>
      </c>
      <c r="C565" s="41" t="s">
        <v>19</v>
      </c>
      <c r="D565" s="60"/>
      <c r="E565" s="60"/>
      <c r="F565" s="42"/>
      <c r="G565" s="42">
        <f>SUM(G566:G567)</f>
        <v>186000000</v>
      </c>
      <c r="H565" s="210" t="b">
        <f t="shared" si="16"/>
        <v>1</v>
      </c>
    </row>
    <row r="566" spans="1:8" ht="13.8" x14ac:dyDescent="0.25">
      <c r="A566" s="7" t="s">
        <v>3520</v>
      </c>
      <c r="B566" s="152"/>
      <c r="C566" s="151" t="s">
        <v>4619</v>
      </c>
      <c r="D566" s="152">
        <v>20</v>
      </c>
      <c r="E566" s="152" t="s">
        <v>10</v>
      </c>
      <c r="F566" s="153">
        <v>1500000</v>
      </c>
      <c r="G566" s="153">
        <f>ROUNDDOWN(D566*F566,-3)</f>
        <v>30000000</v>
      </c>
      <c r="H566" s="210" t="b">
        <f t="shared" si="16"/>
        <v>1</v>
      </c>
    </row>
    <row r="567" spans="1:8" ht="26.4" x14ac:dyDescent="0.25">
      <c r="A567" s="7" t="s">
        <v>3521</v>
      </c>
      <c r="B567" s="152"/>
      <c r="C567" s="151" t="s">
        <v>4620</v>
      </c>
      <c r="D567" s="152">
        <v>24</v>
      </c>
      <c r="E567" s="152" t="s">
        <v>10</v>
      </c>
      <c r="F567" s="153">
        <v>6500000</v>
      </c>
      <c r="G567" s="153">
        <f>ROUNDDOWN(D567*F567,-3)</f>
        <v>156000000</v>
      </c>
      <c r="H567" s="210" t="b">
        <f t="shared" si="16"/>
        <v>1</v>
      </c>
    </row>
    <row r="568" spans="1:8" ht="13.8" x14ac:dyDescent="0.25">
      <c r="A568" s="7" t="s">
        <v>3522</v>
      </c>
      <c r="B568" s="59" t="s">
        <v>512</v>
      </c>
      <c r="C568" s="38" t="s">
        <v>192</v>
      </c>
      <c r="D568" s="59"/>
      <c r="E568" s="59"/>
      <c r="F568" s="39"/>
      <c r="G568" s="39">
        <f>SUM(G569,G573,G575)</f>
        <v>174041000</v>
      </c>
      <c r="H568" s="210" t="b">
        <f t="shared" si="16"/>
        <v>1</v>
      </c>
    </row>
    <row r="569" spans="1:8" ht="13.8" x14ac:dyDescent="0.25">
      <c r="A569" s="7" t="s">
        <v>3523</v>
      </c>
      <c r="B569" s="60">
        <v>521211</v>
      </c>
      <c r="C569" s="41" t="s">
        <v>7</v>
      </c>
      <c r="D569" s="60"/>
      <c r="E569" s="60"/>
      <c r="F569" s="42"/>
      <c r="G569" s="42">
        <f>SUM(G570:G572)</f>
        <v>12000000</v>
      </c>
      <c r="H569" s="210" t="b">
        <f t="shared" si="16"/>
        <v>1</v>
      </c>
    </row>
    <row r="570" spans="1:8" ht="13.8" x14ac:dyDescent="0.25">
      <c r="A570" s="7" t="s">
        <v>3524</v>
      </c>
      <c r="B570" s="152"/>
      <c r="C570" s="151" t="s">
        <v>4622</v>
      </c>
      <c r="D570" s="152">
        <v>3</v>
      </c>
      <c r="E570" s="152" t="s">
        <v>9</v>
      </c>
      <c r="F570" s="153">
        <v>1500000</v>
      </c>
      <c r="G570" s="153">
        <f>ROUNDDOWN(D570*F570,-3)</f>
        <v>4500000</v>
      </c>
      <c r="H570" s="210" t="b">
        <f t="shared" si="16"/>
        <v>1</v>
      </c>
    </row>
    <row r="571" spans="1:8" ht="13.8" x14ac:dyDescent="0.25">
      <c r="A571" s="7" t="s">
        <v>3525</v>
      </c>
      <c r="B571" s="152"/>
      <c r="C571" s="151" t="s">
        <v>3626</v>
      </c>
      <c r="D571" s="152">
        <v>3</v>
      </c>
      <c r="E571" s="152" t="s">
        <v>9</v>
      </c>
      <c r="F571" s="153">
        <v>1000000</v>
      </c>
      <c r="G571" s="153">
        <f>ROUNDDOWN(D571*F571,-3)</f>
        <v>3000000</v>
      </c>
      <c r="H571" s="210" t="b">
        <f t="shared" si="16"/>
        <v>1</v>
      </c>
    </row>
    <row r="572" spans="1:8" ht="13.8" x14ac:dyDescent="0.25">
      <c r="A572" s="7" t="s">
        <v>3526</v>
      </c>
      <c r="B572" s="152"/>
      <c r="C572" s="151" t="s">
        <v>3600</v>
      </c>
      <c r="D572" s="152">
        <v>3</v>
      </c>
      <c r="E572" s="152" t="s">
        <v>9</v>
      </c>
      <c r="F572" s="153">
        <v>1500000</v>
      </c>
      <c r="G572" s="153">
        <f>ROUNDDOWN(D572*F572,-3)</f>
        <v>4500000</v>
      </c>
      <c r="H572" s="210" t="b">
        <f t="shared" si="16"/>
        <v>1</v>
      </c>
    </row>
    <row r="573" spans="1:8" ht="13.8" x14ac:dyDescent="0.25">
      <c r="A573" s="7" t="s">
        <v>3527</v>
      </c>
      <c r="B573" s="60">
        <v>521219</v>
      </c>
      <c r="C573" s="41" t="s">
        <v>53</v>
      </c>
      <c r="D573" s="60"/>
      <c r="E573" s="60"/>
      <c r="F573" s="42"/>
      <c r="G573" s="42">
        <f>G574</f>
        <v>20000000</v>
      </c>
      <c r="H573" s="210" t="b">
        <f t="shared" si="16"/>
        <v>1</v>
      </c>
    </row>
    <row r="574" spans="1:8" ht="26.4" x14ac:dyDescent="0.25">
      <c r="A574" s="7" t="s">
        <v>3528</v>
      </c>
      <c r="B574" s="152"/>
      <c r="C574" s="151" t="s">
        <v>4623</v>
      </c>
      <c r="D574" s="152">
        <v>2</v>
      </c>
      <c r="E574" s="152" t="s">
        <v>155</v>
      </c>
      <c r="F574" s="153">
        <v>10000000</v>
      </c>
      <c r="G574" s="153">
        <f>ROUNDDOWN(D574*F574,-3)</f>
        <v>20000000</v>
      </c>
      <c r="H574" s="210" t="b">
        <f t="shared" si="16"/>
        <v>1</v>
      </c>
    </row>
    <row r="575" spans="1:8" ht="13.8" x14ac:dyDescent="0.25">
      <c r="A575" s="7" t="s">
        <v>3530</v>
      </c>
      <c r="B575" s="60">
        <v>524211</v>
      </c>
      <c r="C575" s="41" t="s">
        <v>1151</v>
      </c>
      <c r="D575" s="60"/>
      <c r="E575" s="60"/>
      <c r="F575" s="42"/>
      <c r="G575" s="42">
        <f>G576</f>
        <v>142041000</v>
      </c>
      <c r="H575" s="210" t="b">
        <f t="shared" si="16"/>
        <v>1</v>
      </c>
    </row>
    <row r="576" spans="1:8" ht="26.4" x14ac:dyDescent="0.25">
      <c r="A576" s="7" t="s">
        <v>3531</v>
      </c>
      <c r="B576" s="152"/>
      <c r="C576" s="151" t="s">
        <v>4624</v>
      </c>
      <c r="D576" s="152">
        <v>3</v>
      </c>
      <c r="E576" s="152" t="s">
        <v>10</v>
      </c>
      <c r="F576" s="153">
        <v>47347000</v>
      </c>
      <c r="G576" s="153">
        <f>ROUNDDOWN(D576*F576,-3)</f>
        <v>142041000</v>
      </c>
      <c r="H576" s="210" t="b">
        <f t="shared" si="16"/>
        <v>1</v>
      </c>
    </row>
    <row r="577" spans="1:8" ht="13.8" x14ac:dyDescent="0.25">
      <c r="A577" s="7" t="s">
        <v>3533</v>
      </c>
      <c r="B577" s="59" t="s">
        <v>514</v>
      </c>
      <c r="C577" s="38" t="s">
        <v>3534</v>
      </c>
      <c r="D577" s="59"/>
      <c r="E577" s="59"/>
      <c r="F577" s="39"/>
      <c r="G577" s="39">
        <f>G578</f>
        <v>30000000</v>
      </c>
      <c r="H577" s="210" t="b">
        <f t="shared" si="16"/>
        <v>1</v>
      </c>
    </row>
    <row r="578" spans="1:8" ht="13.8" x14ac:dyDescent="0.25">
      <c r="A578" s="7" t="s">
        <v>3535</v>
      </c>
      <c r="B578" s="60">
        <v>522192</v>
      </c>
      <c r="C578" s="41" t="s">
        <v>24</v>
      </c>
      <c r="D578" s="60"/>
      <c r="E578" s="60"/>
      <c r="F578" s="42"/>
      <c r="G578" s="42">
        <f>G579</f>
        <v>30000000</v>
      </c>
      <c r="H578" s="210" t="b">
        <f t="shared" si="16"/>
        <v>1</v>
      </c>
    </row>
    <row r="579" spans="1:8" ht="13.8" x14ac:dyDescent="0.25">
      <c r="A579" s="7" t="s">
        <v>3536</v>
      </c>
      <c r="B579" s="152"/>
      <c r="C579" s="151" t="s">
        <v>4625</v>
      </c>
      <c r="D579" s="152">
        <v>120</v>
      </c>
      <c r="E579" s="152" t="s">
        <v>776</v>
      </c>
      <c r="F579" s="153">
        <v>250000</v>
      </c>
      <c r="G579" s="153">
        <f>ROUNDDOWN(D579*F579,-3)</f>
        <v>30000000</v>
      </c>
      <c r="H579" s="210" t="b">
        <f t="shared" si="16"/>
        <v>1</v>
      </c>
    </row>
    <row r="580" spans="1:8" ht="13.8" x14ac:dyDescent="0.25">
      <c r="A580" s="7" t="s">
        <v>3538</v>
      </c>
      <c r="B580" s="58">
        <v>302</v>
      </c>
      <c r="C580" s="35" t="s">
        <v>193</v>
      </c>
      <c r="D580" s="58"/>
      <c r="E580" s="58"/>
      <c r="F580" s="36"/>
      <c r="G580" s="36">
        <f>G581</f>
        <v>109200000</v>
      </c>
      <c r="H580" s="210" t="b">
        <f t="shared" si="16"/>
        <v>1</v>
      </c>
    </row>
    <row r="581" spans="1:8" ht="13.8" x14ac:dyDescent="0.25">
      <c r="A581" s="7" t="s">
        <v>3539</v>
      </c>
      <c r="B581" s="59" t="s">
        <v>8</v>
      </c>
      <c r="C581" s="38" t="s">
        <v>193</v>
      </c>
      <c r="D581" s="59"/>
      <c r="E581" s="59"/>
      <c r="F581" s="39"/>
      <c r="G581" s="39">
        <f>SUM(G582,G585,G588)</f>
        <v>109200000</v>
      </c>
      <c r="H581" s="210" t="b">
        <f t="shared" si="16"/>
        <v>1</v>
      </c>
    </row>
    <row r="582" spans="1:8" ht="13.8" x14ac:dyDescent="0.25">
      <c r="A582" s="7" t="s">
        <v>3540</v>
      </c>
      <c r="B582" s="60">
        <v>521211</v>
      </c>
      <c r="C582" s="41" t="s">
        <v>7</v>
      </c>
      <c r="D582" s="60"/>
      <c r="E582" s="60"/>
      <c r="F582" s="42"/>
      <c r="G582" s="42">
        <f>SUM(G583:G584)</f>
        <v>25000000</v>
      </c>
      <c r="H582" s="210" t="b">
        <f t="shared" si="16"/>
        <v>1</v>
      </c>
    </row>
    <row r="583" spans="1:8" ht="13.8" x14ac:dyDescent="0.25">
      <c r="A583" s="7" t="s">
        <v>3541</v>
      </c>
      <c r="B583" s="152"/>
      <c r="C583" s="151" t="s">
        <v>4612</v>
      </c>
      <c r="D583" s="152">
        <v>100</v>
      </c>
      <c r="E583" s="152" t="s">
        <v>10</v>
      </c>
      <c r="F583" s="153">
        <v>70000</v>
      </c>
      <c r="G583" s="153">
        <f>ROUNDDOWN(D583*F583,-3)</f>
        <v>7000000</v>
      </c>
      <c r="H583" s="210" t="b">
        <f t="shared" si="16"/>
        <v>1</v>
      </c>
    </row>
    <row r="584" spans="1:8" ht="13.8" x14ac:dyDescent="0.25">
      <c r="A584" s="7" t="s">
        <v>3542</v>
      </c>
      <c r="B584" s="152"/>
      <c r="C584" s="151" t="s">
        <v>4613</v>
      </c>
      <c r="D584" s="152">
        <v>12</v>
      </c>
      <c r="E584" s="152" t="s">
        <v>9</v>
      </c>
      <c r="F584" s="153">
        <v>1500000</v>
      </c>
      <c r="G584" s="153">
        <f>ROUNDDOWN(D584*F584,-3)</f>
        <v>18000000</v>
      </c>
      <c r="H584" s="210" t="b">
        <f t="shared" si="16"/>
        <v>1</v>
      </c>
    </row>
    <row r="585" spans="1:8" ht="13.8" x14ac:dyDescent="0.25">
      <c r="A585" s="7" t="s">
        <v>3543</v>
      </c>
      <c r="B585" s="60">
        <v>521811</v>
      </c>
      <c r="C585" s="41" t="s">
        <v>64</v>
      </c>
      <c r="D585" s="60"/>
      <c r="E585" s="60"/>
      <c r="F585" s="42"/>
      <c r="G585" s="42">
        <f>SUM(G586:G587)</f>
        <v>30000000</v>
      </c>
      <c r="H585" s="210" t="b">
        <f t="shared" si="16"/>
        <v>1</v>
      </c>
    </row>
    <row r="586" spans="1:8" ht="13.8" x14ac:dyDescent="0.25">
      <c r="A586" s="7" t="s">
        <v>3544</v>
      </c>
      <c r="B586" s="152"/>
      <c r="C586" s="151" t="s">
        <v>4269</v>
      </c>
      <c r="D586" s="152">
        <v>12</v>
      </c>
      <c r="E586" s="152" t="s">
        <v>9</v>
      </c>
      <c r="F586" s="153">
        <v>1000000</v>
      </c>
      <c r="G586" s="153">
        <f>ROUNDDOWN(D586*F586,-3)</f>
        <v>12000000</v>
      </c>
      <c r="H586" s="210" t="b">
        <f t="shared" si="16"/>
        <v>1</v>
      </c>
    </row>
    <row r="587" spans="1:8" ht="13.8" x14ac:dyDescent="0.25">
      <c r="A587" s="7" t="s">
        <v>3545</v>
      </c>
      <c r="B587" s="152"/>
      <c r="C587" s="151" t="s">
        <v>3632</v>
      </c>
      <c r="D587" s="152">
        <v>12</v>
      </c>
      <c r="E587" s="152" t="s">
        <v>9</v>
      </c>
      <c r="F587" s="153">
        <v>1500000</v>
      </c>
      <c r="G587" s="153">
        <f>ROUNDDOWN(D587*F587,-3)</f>
        <v>18000000</v>
      </c>
      <c r="H587" s="210" t="b">
        <f t="shared" si="16"/>
        <v>1</v>
      </c>
    </row>
    <row r="588" spans="1:8" ht="13.8" x14ac:dyDescent="0.25">
      <c r="A588" s="7" t="s">
        <v>3546</v>
      </c>
      <c r="B588" s="60">
        <v>524111</v>
      </c>
      <c r="C588" s="41" t="s">
        <v>19</v>
      </c>
      <c r="D588" s="60"/>
      <c r="E588" s="60"/>
      <c r="F588" s="42"/>
      <c r="G588" s="42">
        <f>G589</f>
        <v>54200000</v>
      </c>
      <c r="H588" s="210" t="b">
        <f t="shared" si="16"/>
        <v>1</v>
      </c>
    </row>
    <row r="589" spans="1:8" ht="26.4" x14ac:dyDescent="0.25">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554" priority="15">
      <formula>NOT(_xlfn.ISFORMULA(G12))</formula>
    </cfRule>
  </conditionalFormatting>
  <conditionalFormatting sqref="B11:H12 H13:H589">
    <cfRule type="expression" dxfId="553" priority="17">
      <formula>AND(#REF!="Ya",#REF!=ROW())</formula>
    </cfRule>
  </conditionalFormatting>
  <conditionalFormatting sqref="B561:F561 G586:G587 G583:G584 G579 G576 G574 G570:G572 G566:G567 G564 G561:G562 B13:G560">
    <cfRule type="expression" dxfId="552" priority="14">
      <formula>AND($P$4="Ya",$O$2=ROW())</formula>
    </cfRule>
  </conditionalFormatting>
  <conditionalFormatting sqref="G589">
    <cfRule type="expression" dxfId="551" priority="12">
      <formula>AND($P$4="Ya",$O$2=ROW())</formula>
    </cfRule>
  </conditionalFormatting>
  <conditionalFormatting sqref="G589 G586:G587 G583:G584 G579 G576 G574 G570:G572 G566:G567 G564 G561:G562">
    <cfRule type="expression" dxfId="550" priority="11">
      <formula>NOT(_xlfn.ISFORMULA(G561))</formula>
    </cfRule>
  </conditionalFormatting>
  <conditionalFormatting sqref="G573">
    <cfRule type="expression" dxfId="549" priority="10">
      <formula>NOT(_xlfn.ISFORMULA(G573))</formula>
    </cfRule>
  </conditionalFormatting>
  <conditionalFormatting sqref="G573">
    <cfRule type="expression" dxfId="548" priority="9">
      <formula>AND($P$4="Ya",$O$2=ROW())</formula>
    </cfRule>
  </conditionalFormatting>
  <conditionalFormatting sqref="G563">
    <cfRule type="expression" dxfId="547" priority="8">
      <formula>NOT(_xlfn.ISFORMULA(G563))</formula>
    </cfRule>
  </conditionalFormatting>
  <conditionalFormatting sqref="G563">
    <cfRule type="expression" dxfId="546" priority="7">
      <formula>AND($P$4="Ya",$O$2=ROW())</formula>
    </cfRule>
  </conditionalFormatting>
  <conditionalFormatting sqref="G588">
    <cfRule type="expression" dxfId="545" priority="6">
      <formula>NOT(_xlfn.ISFORMULA(G588))</formula>
    </cfRule>
  </conditionalFormatting>
  <conditionalFormatting sqref="G588">
    <cfRule type="expression" dxfId="544" priority="5">
      <formula>AND($P$4="Ya",$O$2=ROW())</formula>
    </cfRule>
  </conditionalFormatting>
  <conditionalFormatting sqref="G585">
    <cfRule type="expression" dxfId="543" priority="4">
      <formula>NOT(_xlfn.ISFORMULA(G585))</formula>
    </cfRule>
  </conditionalFormatting>
  <conditionalFormatting sqref="G585">
    <cfRule type="expression" dxfId="542" priority="3">
      <formula>AND($P$4="Ya",$O$2=ROW())</formula>
    </cfRule>
  </conditionalFormatting>
  <conditionalFormatting sqref="G582">
    <cfRule type="expression" dxfId="541" priority="2">
      <formula>NOT(_xlfn.ISFORMULA(G582))</formula>
    </cfRule>
  </conditionalFormatting>
  <conditionalFormatting sqref="G582">
    <cfRule type="expression" dxfId="540"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348"/>
    <col min="2" max="2" width="7.5546875" style="347" customWidth="1"/>
    <col min="3" max="3" width="5.44140625" style="347" customWidth="1"/>
    <col min="4" max="4" width="22.88671875" style="348" customWidth="1"/>
    <col min="5" max="5" width="18.109375" style="348" customWidth="1"/>
    <col min="6" max="6" width="19.44140625" style="350" customWidth="1"/>
    <col min="7" max="7" width="19.6640625" style="351" customWidth="1"/>
    <col min="8" max="8" width="26.109375" style="351" customWidth="1"/>
    <col min="9" max="9" width="20.5546875" style="348" customWidth="1"/>
    <col min="10" max="10" width="15.5546875" style="348" customWidth="1"/>
    <col min="11" max="11" width="104.6640625" style="356" customWidth="1"/>
    <col min="12" max="12" width="33.88671875" style="351" customWidth="1"/>
    <col min="13" max="13" width="34.109375" style="351" customWidth="1"/>
    <col min="14" max="14" width="25.33203125" style="406" customWidth="1"/>
    <col min="15" max="15" width="19.109375" style="348" bestFit="1" customWidth="1"/>
    <col min="16" max="19" width="9.109375" style="348"/>
    <col min="20" max="20" width="125" style="348" customWidth="1"/>
    <col min="21" max="16384" width="9.109375" style="348"/>
  </cols>
  <sheetData>
    <row r="1" spans="2:20" ht="15" x14ac:dyDescent="0.25">
      <c r="E1" s="349"/>
      <c r="K1" s="351"/>
    </row>
    <row r="2" spans="2:20" ht="15" x14ac:dyDescent="0.25">
      <c r="E2" s="349"/>
      <c r="K2" s="351"/>
      <c r="N2" s="406" t="s">
        <v>5376</v>
      </c>
      <c r="O2" s="405">
        <f>SUMIF(Table1[Status Realisasi],N2,Table1[Nilai SP2D])</f>
        <v>381840000</v>
      </c>
    </row>
    <row r="3" spans="2:20" ht="15" x14ac:dyDescent="0.25">
      <c r="E3" s="349"/>
      <c r="K3" s="351"/>
      <c r="N3" s="406" t="s">
        <v>5374</v>
      </c>
      <c r="O3" s="405">
        <f>SUMIF(Table1[Status Realisasi],N3,Table1[Nilai SP2D])</f>
        <v>3393066206</v>
      </c>
      <c r="T3" s="348" t="s">
        <v>5441</v>
      </c>
    </row>
    <row r="4" spans="2:20" ht="15" x14ac:dyDescent="0.25">
      <c r="E4" s="349"/>
      <c r="K4" s="351"/>
      <c r="N4" s="406" t="s">
        <v>5375</v>
      </c>
      <c r="O4" s="405">
        <f>SUMIF(Table1[Status Realisasi],N4,Table1[Nilai SP2D])</f>
        <v>2939763957</v>
      </c>
    </row>
    <row r="5" spans="2:20" ht="15" x14ac:dyDescent="0.25">
      <c r="E5" s="349"/>
      <c r="K5" s="351"/>
      <c r="N5" s="406" t="s">
        <v>5377</v>
      </c>
      <c r="O5" s="405">
        <f>SUMIF(Table1[Status Realisasi],N5,Table1[Nilai SP2D])</f>
        <v>654200000</v>
      </c>
    </row>
    <row r="6" spans="2:20" ht="15" x14ac:dyDescent="0.25">
      <c r="E6" s="349"/>
      <c r="K6" s="351"/>
      <c r="N6" s="406" t="s">
        <v>5378</v>
      </c>
    </row>
    <row r="7" spans="2:20" ht="15" x14ac:dyDescent="0.25">
      <c r="E7" s="349"/>
      <c r="K7" s="351"/>
      <c r="N7" s="406">
        <v>51</v>
      </c>
      <c r="O7" s="405">
        <f>SUMIF(Table1[all],N7,Table1[Nilai SP2D])</f>
        <v>2939763957</v>
      </c>
    </row>
    <row r="8" spans="2:20" ht="15" x14ac:dyDescent="0.25">
      <c r="E8" s="349"/>
      <c r="F8" s="348"/>
      <c r="K8" s="351"/>
      <c r="N8" s="406">
        <v>52</v>
      </c>
      <c r="O8" s="405">
        <f>SUMIF(Table1[all],N8,Table1[Nilai SP2D])</f>
        <v>5413122932</v>
      </c>
    </row>
    <row r="9" spans="2:20" ht="15" x14ac:dyDescent="0.25">
      <c r="E9" s="349"/>
      <c r="F9" s="348"/>
      <c r="K9" s="351"/>
      <c r="N9" s="406">
        <v>53</v>
      </c>
      <c r="O9" s="405">
        <f>SUMIF(Table1[all],N9,Table1[Nilai SP2D])</f>
        <v>654200000</v>
      </c>
    </row>
    <row r="10" spans="2:20" s="384" customFormat="1" ht="38.25" customHeight="1" x14ac:dyDescent="0.3">
      <c r="B10" s="403" t="s">
        <v>4864</v>
      </c>
      <c r="C10" s="403" t="s">
        <v>5402</v>
      </c>
      <c r="D10" s="404" t="s">
        <v>4865</v>
      </c>
      <c r="E10" s="404" t="s">
        <v>4866</v>
      </c>
      <c r="F10" s="404" t="s">
        <v>4867</v>
      </c>
      <c r="G10" s="404" t="s">
        <v>4868</v>
      </c>
      <c r="H10" s="404" t="s">
        <v>4869</v>
      </c>
      <c r="I10" s="404" t="s">
        <v>4870</v>
      </c>
      <c r="J10" s="404" t="s">
        <v>4871</v>
      </c>
      <c r="K10" s="404" t="s">
        <v>4872</v>
      </c>
      <c r="L10" s="384" t="s">
        <v>5215</v>
      </c>
      <c r="M10" s="384" t="s">
        <v>5216</v>
      </c>
      <c r="N10" s="384" t="s">
        <v>4691</v>
      </c>
      <c r="O10" s="384" t="s">
        <v>5401</v>
      </c>
      <c r="T10" s="384"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323">
        <v>1</v>
      </c>
      <c r="C11" s="323">
        <v>1</v>
      </c>
      <c r="D11" s="319" t="s">
        <v>5116</v>
      </c>
      <c r="E11" s="358" t="s">
        <v>5117</v>
      </c>
      <c r="F11" s="320">
        <v>208949299</v>
      </c>
      <c r="G11" s="371" t="s">
        <v>5033</v>
      </c>
      <c r="H11" s="353" t="s">
        <v>5118</v>
      </c>
      <c r="I11" s="319" t="s">
        <v>5117</v>
      </c>
      <c r="J11" s="319" t="s">
        <v>4892</v>
      </c>
      <c r="K11" s="322" t="s">
        <v>5119</v>
      </c>
      <c r="L11" s="397" t="s">
        <v>576</v>
      </c>
      <c r="M11" s="397" t="s">
        <v>5185</v>
      </c>
      <c r="N11" s="411" t="s">
        <v>5375</v>
      </c>
      <c r="O11" s="323">
        <v>51</v>
      </c>
    </row>
    <row r="12" spans="2:20" ht="69.900000000000006" customHeight="1" x14ac:dyDescent="0.25">
      <c r="B12" s="323">
        <v>2</v>
      </c>
      <c r="C12" s="323">
        <v>2</v>
      </c>
      <c r="D12" s="319" t="s">
        <v>5111</v>
      </c>
      <c r="E12" s="358" t="s">
        <v>5112</v>
      </c>
      <c r="F12" s="320">
        <v>203627955</v>
      </c>
      <c r="G12" s="371" t="s">
        <v>5033</v>
      </c>
      <c r="H12" s="353" t="s">
        <v>5113</v>
      </c>
      <c r="I12" s="319" t="s">
        <v>5114</v>
      </c>
      <c r="J12" s="319" t="s">
        <v>4892</v>
      </c>
      <c r="K12" s="322" t="s">
        <v>5115</v>
      </c>
      <c r="L12" s="397" t="s">
        <v>576</v>
      </c>
      <c r="M12" s="397" t="s">
        <v>5185</v>
      </c>
      <c r="N12" s="411" t="s">
        <v>5375</v>
      </c>
      <c r="O12" s="323">
        <v>51</v>
      </c>
    </row>
    <row r="13" spans="2:20" ht="69.900000000000006" customHeight="1" x14ac:dyDescent="0.25">
      <c r="B13" s="323">
        <v>3</v>
      </c>
      <c r="C13" s="323">
        <v>2</v>
      </c>
      <c r="D13" s="319" t="s">
        <v>5107</v>
      </c>
      <c r="E13" s="358" t="s">
        <v>5108</v>
      </c>
      <c r="F13" s="320">
        <v>233065910</v>
      </c>
      <c r="G13" s="371" t="s">
        <v>4878</v>
      </c>
      <c r="H13" s="353" t="s">
        <v>5109</v>
      </c>
      <c r="I13" s="319" t="s">
        <v>5108</v>
      </c>
      <c r="J13" s="319" t="s">
        <v>4878</v>
      </c>
      <c r="K13" s="322" t="s">
        <v>5110</v>
      </c>
      <c r="L13" s="397" t="s">
        <v>576</v>
      </c>
      <c r="M13" s="397" t="s">
        <v>5185</v>
      </c>
      <c r="N13" s="411" t="s">
        <v>5375</v>
      </c>
      <c r="O13" s="323">
        <v>51</v>
      </c>
    </row>
    <row r="14" spans="2:20" ht="69.900000000000006" customHeight="1" x14ac:dyDescent="0.25">
      <c r="B14" s="323">
        <v>4</v>
      </c>
      <c r="C14" s="323">
        <v>2</v>
      </c>
      <c r="D14" s="319" t="s">
        <v>5101</v>
      </c>
      <c r="E14" s="358" t="s">
        <v>5097</v>
      </c>
      <c r="F14" s="320">
        <v>3208063</v>
      </c>
      <c r="G14" s="371" t="s">
        <v>5065</v>
      </c>
      <c r="H14" s="353" t="s">
        <v>5102</v>
      </c>
      <c r="I14" s="319" t="s">
        <v>5099</v>
      </c>
      <c r="J14" s="319" t="s">
        <v>4878</v>
      </c>
      <c r="K14" s="322" t="s">
        <v>5103</v>
      </c>
      <c r="L14" s="397" t="s">
        <v>576</v>
      </c>
      <c r="M14" s="397" t="s">
        <v>5185</v>
      </c>
      <c r="N14" s="411" t="s">
        <v>5375</v>
      </c>
      <c r="O14" s="323">
        <v>51</v>
      </c>
    </row>
    <row r="15" spans="2:20" ht="69.900000000000006" customHeight="1" x14ac:dyDescent="0.25">
      <c r="B15" s="323">
        <v>5</v>
      </c>
      <c r="C15" s="323">
        <v>2</v>
      </c>
      <c r="D15" s="319" t="s">
        <v>5104</v>
      </c>
      <c r="E15" s="358" t="s">
        <v>5097</v>
      </c>
      <c r="F15" s="320">
        <v>31515000</v>
      </c>
      <c r="G15" s="371" t="s">
        <v>5049</v>
      </c>
      <c r="H15" s="353" t="s">
        <v>5105</v>
      </c>
      <c r="I15" s="319" t="s">
        <v>5099</v>
      </c>
      <c r="J15" s="319" t="s">
        <v>4878</v>
      </c>
      <c r="K15" s="322" t="s">
        <v>5106</v>
      </c>
      <c r="L15" s="397" t="s">
        <v>576</v>
      </c>
      <c r="M15" s="397" t="s">
        <v>5185</v>
      </c>
      <c r="N15" s="411" t="s">
        <v>5375</v>
      </c>
      <c r="O15" s="323">
        <v>51</v>
      </c>
    </row>
    <row r="16" spans="2:20" ht="69.900000000000006" customHeight="1" x14ac:dyDescent="0.25">
      <c r="B16" s="323">
        <v>6</v>
      </c>
      <c r="C16" s="323">
        <v>2</v>
      </c>
      <c r="D16" s="323" t="s">
        <v>4873</v>
      </c>
      <c r="E16" s="357" t="s">
        <v>4874</v>
      </c>
      <c r="F16" s="354">
        <v>63640000</v>
      </c>
      <c r="G16" s="366" t="s">
        <v>4875</v>
      </c>
      <c r="H16" s="324" t="s">
        <v>4876</v>
      </c>
      <c r="I16" s="323" t="s">
        <v>4877</v>
      </c>
      <c r="J16" s="323" t="s">
        <v>4878</v>
      </c>
      <c r="K16" s="325" t="s">
        <v>4879</v>
      </c>
      <c r="L16" s="397" t="s">
        <v>576</v>
      </c>
      <c r="M16" s="397" t="s">
        <v>5183</v>
      </c>
      <c r="N16" s="411" t="s">
        <v>5376</v>
      </c>
      <c r="O16" s="323">
        <v>52</v>
      </c>
    </row>
    <row r="17" spans="2:15" ht="69.900000000000006" customHeight="1" x14ac:dyDescent="0.25">
      <c r="B17" s="323">
        <v>7</v>
      </c>
      <c r="C17" s="323">
        <v>2</v>
      </c>
      <c r="D17" s="323" t="s">
        <v>4880</v>
      </c>
      <c r="E17" s="357" t="s">
        <v>4882</v>
      </c>
      <c r="F17" s="354">
        <v>9587800</v>
      </c>
      <c r="G17" s="367" t="s">
        <v>4878</v>
      </c>
      <c r="H17" s="323" t="s">
        <v>4883</v>
      </c>
      <c r="I17" s="323" t="s">
        <v>4881</v>
      </c>
      <c r="J17" s="323" t="s">
        <v>4878</v>
      </c>
      <c r="K17" s="325" t="s">
        <v>4884</v>
      </c>
      <c r="L17" s="397" t="s">
        <v>542</v>
      </c>
      <c r="M17" s="397" t="s">
        <v>5184</v>
      </c>
      <c r="N17" s="411"/>
      <c r="O17" s="323">
        <v>52</v>
      </c>
    </row>
    <row r="18" spans="2:15" ht="69.900000000000006" customHeight="1" x14ac:dyDescent="0.25">
      <c r="B18" s="323">
        <v>8</v>
      </c>
      <c r="C18" s="323">
        <v>2</v>
      </c>
      <c r="D18" s="323" t="s">
        <v>4885</v>
      </c>
      <c r="E18" s="357" t="s">
        <v>4882</v>
      </c>
      <c r="F18" s="354">
        <v>1010000</v>
      </c>
      <c r="G18" s="367" t="s">
        <v>4878</v>
      </c>
      <c r="H18" s="323" t="s">
        <v>4886</v>
      </c>
      <c r="I18" s="323" t="s">
        <v>4881</v>
      </c>
      <c r="J18" s="323" t="s">
        <v>4878</v>
      </c>
      <c r="K18" s="325" t="s">
        <v>4887</v>
      </c>
      <c r="L18" s="397" t="s">
        <v>542</v>
      </c>
      <c r="M18" s="397" t="s">
        <v>5184</v>
      </c>
      <c r="N18" s="411"/>
      <c r="O18" s="323">
        <v>52</v>
      </c>
    </row>
    <row r="19" spans="2:15" ht="69.900000000000006" customHeight="1" x14ac:dyDescent="0.25">
      <c r="B19" s="323">
        <v>9</v>
      </c>
      <c r="C19" s="323">
        <v>3</v>
      </c>
      <c r="D19" s="319" t="s">
        <v>5096</v>
      </c>
      <c r="E19" s="358" t="s">
        <v>4888</v>
      </c>
      <c r="F19" s="320">
        <v>211929456</v>
      </c>
      <c r="G19" s="371" t="s">
        <v>5033</v>
      </c>
      <c r="H19" s="353" t="s">
        <v>5098</v>
      </c>
      <c r="I19" s="319" t="s">
        <v>5099</v>
      </c>
      <c r="J19" s="319" t="s">
        <v>4892</v>
      </c>
      <c r="K19" s="322" t="s">
        <v>5100</v>
      </c>
      <c r="L19" s="397" t="s">
        <v>576</v>
      </c>
      <c r="M19" s="397" t="s">
        <v>5185</v>
      </c>
      <c r="N19" s="411" t="s">
        <v>5375</v>
      </c>
      <c r="O19" s="323">
        <v>51</v>
      </c>
    </row>
    <row r="20" spans="2:15" ht="69.900000000000006" customHeight="1" x14ac:dyDescent="0.25">
      <c r="B20" s="323">
        <v>10</v>
      </c>
      <c r="C20" s="323">
        <v>3</v>
      </c>
      <c r="D20" s="319" t="s">
        <v>5093</v>
      </c>
      <c r="E20" s="358" t="s">
        <v>4895</v>
      </c>
      <c r="F20" s="320">
        <v>8028903</v>
      </c>
      <c r="G20" s="371" t="s">
        <v>4878</v>
      </c>
      <c r="H20" s="353" t="s">
        <v>5094</v>
      </c>
      <c r="I20" s="319" t="s">
        <v>4898</v>
      </c>
      <c r="J20" s="319" t="s">
        <v>4878</v>
      </c>
      <c r="K20" s="322" t="s">
        <v>5095</v>
      </c>
      <c r="L20" s="397" t="s">
        <v>576</v>
      </c>
      <c r="M20" s="397" t="s">
        <v>5185</v>
      </c>
      <c r="N20" s="411" t="s">
        <v>5375</v>
      </c>
      <c r="O20" s="323">
        <v>51</v>
      </c>
    </row>
    <row r="21" spans="2:15" ht="69.900000000000006" customHeight="1" x14ac:dyDescent="0.25">
      <c r="B21" s="323">
        <v>11</v>
      </c>
      <c r="C21" s="323">
        <v>3</v>
      </c>
      <c r="D21" s="319" t="s">
        <v>5085</v>
      </c>
      <c r="E21" s="358" t="s">
        <v>5086</v>
      </c>
      <c r="F21" s="320">
        <v>237145862</v>
      </c>
      <c r="G21" s="371" t="s">
        <v>4878</v>
      </c>
      <c r="H21" s="353" t="s">
        <v>5087</v>
      </c>
      <c r="I21" s="319" t="s">
        <v>5088</v>
      </c>
      <c r="J21" s="319" t="s">
        <v>4878</v>
      </c>
      <c r="K21" s="322" t="s">
        <v>5089</v>
      </c>
      <c r="L21" s="397" t="s">
        <v>576</v>
      </c>
      <c r="M21" s="397" t="s">
        <v>5185</v>
      </c>
      <c r="N21" s="411" t="s">
        <v>5375</v>
      </c>
      <c r="O21" s="323">
        <v>51</v>
      </c>
    </row>
    <row r="22" spans="2:15" ht="69.900000000000006" customHeight="1" x14ac:dyDescent="0.25">
      <c r="B22" s="323">
        <v>12</v>
      </c>
      <c r="C22" s="323">
        <v>3</v>
      </c>
      <c r="D22" s="319" t="s">
        <v>5090</v>
      </c>
      <c r="E22" s="358" t="s">
        <v>5086</v>
      </c>
      <c r="F22" s="320">
        <v>24572000</v>
      </c>
      <c r="G22" s="371" t="s">
        <v>5049</v>
      </c>
      <c r="H22" s="353" t="s">
        <v>5091</v>
      </c>
      <c r="I22" s="319" t="s">
        <v>5088</v>
      </c>
      <c r="J22" s="319" t="s">
        <v>4878</v>
      </c>
      <c r="K22" s="322" t="s">
        <v>5092</v>
      </c>
      <c r="L22" s="397" t="s">
        <v>576</v>
      </c>
      <c r="M22" s="397" t="s">
        <v>5185</v>
      </c>
      <c r="N22" s="411" t="s">
        <v>5375</v>
      </c>
      <c r="O22" s="323">
        <v>51</v>
      </c>
    </row>
    <row r="23" spans="2:15" ht="69.900000000000006" customHeight="1" x14ac:dyDescent="0.25">
      <c r="B23" s="323">
        <v>13</v>
      </c>
      <c r="C23" s="323">
        <v>3</v>
      </c>
      <c r="D23" s="319" t="s">
        <v>5075</v>
      </c>
      <c r="E23" s="358" t="s">
        <v>4908</v>
      </c>
      <c r="F23" s="320">
        <v>7294465</v>
      </c>
      <c r="G23" s="371" t="s">
        <v>5065</v>
      </c>
      <c r="H23" s="353" t="s">
        <v>5076</v>
      </c>
      <c r="I23" s="319" t="s">
        <v>5070</v>
      </c>
      <c r="J23" s="319" t="s">
        <v>4878</v>
      </c>
      <c r="K23" s="322" t="s">
        <v>5077</v>
      </c>
      <c r="L23" s="397" t="s">
        <v>576</v>
      </c>
      <c r="M23" s="397" t="s">
        <v>5185</v>
      </c>
      <c r="N23" s="411" t="s">
        <v>5375</v>
      </c>
      <c r="O23" s="323">
        <v>51</v>
      </c>
    </row>
    <row r="24" spans="2:15" ht="69.900000000000006" customHeight="1" x14ac:dyDescent="0.25">
      <c r="B24" s="323">
        <v>14</v>
      </c>
      <c r="C24" s="323">
        <v>3</v>
      </c>
      <c r="D24" s="319" t="s">
        <v>5072</v>
      </c>
      <c r="E24" s="358" t="s">
        <v>4908</v>
      </c>
      <c r="F24" s="320">
        <v>257904</v>
      </c>
      <c r="G24" s="371" t="s">
        <v>5061</v>
      </c>
      <c r="H24" s="353" t="s">
        <v>5073</v>
      </c>
      <c r="I24" s="319" t="s">
        <v>5070</v>
      </c>
      <c r="J24" s="319" t="s">
        <v>4878</v>
      </c>
      <c r="K24" s="322" t="s">
        <v>5074</v>
      </c>
      <c r="L24" s="397" t="s">
        <v>576</v>
      </c>
      <c r="M24" s="397" t="s">
        <v>5185</v>
      </c>
      <c r="N24" s="411" t="s">
        <v>5375</v>
      </c>
      <c r="O24" s="323">
        <v>51</v>
      </c>
    </row>
    <row r="25" spans="2:15" ht="69.900000000000006" customHeight="1" x14ac:dyDescent="0.25">
      <c r="B25" s="323">
        <v>15</v>
      </c>
      <c r="C25" s="323">
        <v>3</v>
      </c>
      <c r="D25" s="319" t="s">
        <v>5078</v>
      </c>
      <c r="E25" s="358" t="s">
        <v>4908</v>
      </c>
      <c r="F25" s="320">
        <v>595396</v>
      </c>
      <c r="G25" s="371" t="s">
        <v>5061</v>
      </c>
      <c r="H25" s="353" t="s">
        <v>5079</v>
      </c>
      <c r="I25" s="319" t="s">
        <v>5070</v>
      </c>
      <c r="J25" s="319" t="s">
        <v>4878</v>
      </c>
      <c r="K25" s="322" t="s">
        <v>5080</v>
      </c>
      <c r="L25" s="397" t="s">
        <v>576</v>
      </c>
      <c r="M25" s="397" t="s">
        <v>5185</v>
      </c>
      <c r="N25" s="411" t="s">
        <v>5375</v>
      </c>
      <c r="O25" s="323">
        <v>51</v>
      </c>
    </row>
    <row r="26" spans="2:15" ht="69.900000000000006" customHeight="1" x14ac:dyDescent="0.25">
      <c r="B26" s="323">
        <v>16</v>
      </c>
      <c r="C26" s="323">
        <v>3</v>
      </c>
      <c r="D26" s="319" t="s">
        <v>5068</v>
      </c>
      <c r="E26" s="358" t="s">
        <v>4908</v>
      </c>
      <c r="F26" s="320">
        <v>3422128</v>
      </c>
      <c r="G26" s="371" t="s">
        <v>5061</v>
      </c>
      <c r="H26" s="353" t="s">
        <v>5069</v>
      </c>
      <c r="I26" s="319" t="s">
        <v>5070</v>
      </c>
      <c r="J26" s="319" t="s">
        <v>4878</v>
      </c>
      <c r="K26" s="322" t="s">
        <v>5071</v>
      </c>
      <c r="L26" s="397" t="s">
        <v>576</v>
      </c>
      <c r="M26" s="397" t="s">
        <v>5185</v>
      </c>
      <c r="N26" s="411" t="s">
        <v>5375</v>
      </c>
      <c r="O26" s="323">
        <v>51</v>
      </c>
    </row>
    <row r="27" spans="2:15" ht="69.900000000000006" customHeight="1" x14ac:dyDescent="0.25">
      <c r="B27" s="323">
        <v>17</v>
      </c>
      <c r="C27" s="323">
        <v>3</v>
      </c>
      <c r="D27" s="352" t="s">
        <v>5007</v>
      </c>
      <c r="E27" s="357" t="s">
        <v>4888</v>
      </c>
      <c r="F27" s="354">
        <v>63640000</v>
      </c>
      <c r="G27" s="366" t="s">
        <v>4889</v>
      </c>
      <c r="H27" s="324" t="s">
        <v>4890</v>
      </c>
      <c r="I27" s="323" t="s">
        <v>4891</v>
      </c>
      <c r="J27" s="323" t="s">
        <v>4892</v>
      </c>
      <c r="K27" s="325" t="s">
        <v>4893</v>
      </c>
      <c r="L27" s="397" t="s">
        <v>576</v>
      </c>
      <c r="M27" s="397" t="s">
        <v>5183</v>
      </c>
      <c r="N27" s="411" t="s">
        <v>5376</v>
      </c>
      <c r="O27" s="323">
        <v>52</v>
      </c>
    </row>
    <row r="28" spans="2:15" ht="69.900000000000006" customHeight="1" x14ac:dyDescent="0.25">
      <c r="B28" s="323">
        <v>18</v>
      </c>
      <c r="C28" s="323">
        <v>3</v>
      </c>
      <c r="D28" s="323" t="s">
        <v>4894</v>
      </c>
      <c r="E28" s="357" t="s">
        <v>4896</v>
      </c>
      <c r="F28" s="354">
        <v>99961115</v>
      </c>
      <c r="G28" s="368" t="s">
        <v>4641</v>
      </c>
      <c r="H28" s="323" t="s">
        <v>4897</v>
      </c>
      <c r="I28" s="323" t="s">
        <v>4898</v>
      </c>
      <c r="J28" s="323" t="s">
        <v>4878</v>
      </c>
      <c r="K28" s="325" t="s">
        <v>4899</v>
      </c>
      <c r="L28" s="397"/>
      <c r="M28" s="397"/>
      <c r="N28" s="411"/>
      <c r="O28" s="323">
        <v>52</v>
      </c>
    </row>
    <row r="29" spans="2:15" ht="69.900000000000006" customHeight="1" x14ac:dyDescent="0.25">
      <c r="B29" s="323">
        <v>19</v>
      </c>
      <c r="C29" s="323">
        <v>3</v>
      </c>
      <c r="D29" s="323" t="s">
        <v>4900</v>
      </c>
      <c r="E29" s="357" t="s">
        <v>4901</v>
      </c>
      <c r="F29" s="354">
        <v>21912994</v>
      </c>
      <c r="G29" s="369" t="s">
        <v>4902</v>
      </c>
      <c r="H29" s="323" t="s">
        <v>4903</v>
      </c>
      <c r="I29" s="323" t="s">
        <v>4904</v>
      </c>
      <c r="J29" s="323" t="s">
        <v>4905</v>
      </c>
      <c r="K29" s="325" t="s">
        <v>4906</v>
      </c>
      <c r="L29" s="397"/>
      <c r="M29" s="397"/>
      <c r="N29" s="411"/>
      <c r="O29" s="323">
        <v>52</v>
      </c>
    </row>
    <row r="30" spans="2:15" ht="69.900000000000006" customHeight="1" x14ac:dyDescent="0.25">
      <c r="B30" s="323">
        <v>20</v>
      </c>
      <c r="C30" s="323">
        <v>3</v>
      </c>
      <c r="D30" s="323" t="s">
        <v>4907</v>
      </c>
      <c r="E30" s="357" t="s">
        <v>4908</v>
      </c>
      <c r="F30" s="354">
        <v>31765000</v>
      </c>
      <c r="G30" s="369" t="s">
        <v>4902</v>
      </c>
      <c r="H30" s="323" t="s">
        <v>4909</v>
      </c>
      <c r="I30" s="323" t="s">
        <v>4904</v>
      </c>
      <c r="J30" s="323" t="s">
        <v>4905</v>
      </c>
      <c r="K30" s="325" t="s">
        <v>4906</v>
      </c>
      <c r="L30" s="397"/>
      <c r="M30" s="397"/>
      <c r="N30" s="411"/>
      <c r="O30" s="323">
        <v>52</v>
      </c>
    </row>
    <row r="31" spans="2:15" ht="69.900000000000006" customHeight="1" x14ac:dyDescent="0.25">
      <c r="B31" s="323">
        <v>21</v>
      </c>
      <c r="C31" s="323">
        <v>3</v>
      </c>
      <c r="D31" s="323" t="s">
        <v>4910</v>
      </c>
      <c r="E31" s="357" t="s">
        <v>4901</v>
      </c>
      <c r="F31" s="354">
        <v>2949500</v>
      </c>
      <c r="G31" s="369" t="s">
        <v>4902</v>
      </c>
      <c r="H31" s="323" t="s">
        <v>4911</v>
      </c>
      <c r="I31" s="323" t="s">
        <v>4904</v>
      </c>
      <c r="J31" s="323" t="s">
        <v>4905</v>
      </c>
      <c r="K31" s="325" t="s">
        <v>4906</v>
      </c>
      <c r="L31" s="397"/>
      <c r="M31" s="397"/>
      <c r="N31" s="411"/>
      <c r="O31" s="323">
        <v>52</v>
      </c>
    </row>
    <row r="32" spans="2:15" ht="69.900000000000006" customHeight="1" x14ac:dyDescent="0.25">
      <c r="B32" s="323">
        <v>22</v>
      </c>
      <c r="C32" s="323">
        <v>3</v>
      </c>
      <c r="D32" s="323" t="s">
        <v>4912</v>
      </c>
      <c r="E32" s="357" t="s">
        <v>4901</v>
      </c>
      <c r="F32" s="354">
        <v>58197700</v>
      </c>
      <c r="G32" s="369" t="s">
        <v>4902</v>
      </c>
      <c r="H32" s="323" t="s">
        <v>4913</v>
      </c>
      <c r="I32" s="323" t="s">
        <v>4904</v>
      </c>
      <c r="J32" s="323" t="s">
        <v>4905</v>
      </c>
      <c r="K32" s="325" t="s">
        <v>4906</v>
      </c>
      <c r="L32" s="397"/>
      <c r="M32" s="397"/>
      <c r="N32" s="411"/>
      <c r="O32" s="323">
        <v>52</v>
      </c>
    </row>
    <row r="33" spans="2:15" ht="69.900000000000006" customHeight="1" x14ac:dyDescent="0.25">
      <c r="B33" s="323">
        <v>23</v>
      </c>
      <c r="C33" s="323">
        <v>3</v>
      </c>
      <c r="D33" s="323" t="s">
        <v>4914</v>
      </c>
      <c r="E33" s="357" t="s">
        <v>4901</v>
      </c>
      <c r="F33" s="354">
        <v>42927193</v>
      </c>
      <c r="G33" s="369" t="s">
        <v>4902</v>
      </c>
      <c r="H33" s="323" t="s">
        <v>4915</v>
      </c>
      <c r="I33" s="323" t="s">
        <v>4904</v>
      </c>
      <c r="J33" s="323" t="s">
        <v>4905</v>
      </c>
      <c r="K33" s="325" t="s">
        <v>4906</v>
      </c>
      <c r="L33" s="397"/>
      <c r="M33" s="397"/>
      <c r="N33" s="411"/>
      <c r="O33" s="323">
        <v>52</v>
      </c>
    </row>
    <row r="34" spans="2:15" ht="69.900000000000006" customHeight="1" x14ac:dyDescent="0.25">
      <c r="B34" s="323">
        <v>24</v>
      </c>
      <c r="C34" s="323">
        <v>3</v>
      </c>
      <c r="D34" s="323" t="s">
        <v>4916</v>
      </c>
      <c r="E34" s="357" t="s">
        <v>4901</v>
      </c>
      <c r="F34" s="354">
        <v>3436750</v>
      </c>
      <c r="G34" s="369" t="s">
        <v>4902</v>
      </c>
      <c r="H34" s="323" t="s">
        <v>4917</v>
      </c>
      <c r="I34" s="323" t="s">
        <v>4904</v>
      </c>
      <c r="J34" s="323" t="s">
        <v>4905</v>
      </c>
      <c r="K34" s="325" t="s">
        <v>4906</v>
      </c>
      <c r="L34" s="397"/>
      <c r="M34" s="397"/>
      <c r="N34" s="411"/>
      <c r="O34" s="323">
        <v>52</v>
      </c>
    </row>
    <row r="35" spans="2:15" ht="69.900000000000006" customHeight="1" x14ac:dyDescent="0.25">
      <c r="B35" s="323">
        <v>25</v>
      </c>
      <c r="C35" s="323">
        <v>3</v>
      </c>
      <c r="D35" s="323" t="s">
        <v>4918</v>
      </c>
      <c r="E35" s="357" t="s">
        <v>4901</v>
      </c>
      <c r="F35" s="354">
        <v>50674500</v>
      </c>
      <c r="G35" s="369" t="s">
        <v>4902</v>
      </c>
      <c r="H35" s="323" t="s">
        <v>4919</v>
      </c>
      <c r="I35" s="323" t="s">
        <v>4904</v>
      </c>
      <c r="J35" s="323" t="s">
        <v>4905</v>
      </c>
      <c r="K35" s="325" t="s">
        <v>4906</v>
      </c>
      <c r="L35" s="397"/>
      <c r="M35" s="397"/>
      <c r="N35" s="411"/>
      <c r="O35" s="323">
        <v>52</v>
      </c>
    </row>
    <row r="36" spans="2:15" ht="69.900000000000006" customHeight="1" x14ac:dyDescent="0.25">
      <c r="B36" s="323">
        <v>26</v>
      </c>
      <c r="C36" s="323">
        <v>3</v>
      </c>
      <c r="D36" s="323" t="s">
        <v>4920</v>
      </c>
      <c r="E36" s="357" t="s">
        <v>4901</v>
      </c>
      <c r="F36" s="354">
        <v>198636550</v>
      </c>
      <c r="G36" s="369" t="s">
        <v>4902</v>
      </c>
      <c r="H36" s="323" t="s">
        <v>4921</v>
      </c>
      <c r="I36" s="323" t="s">
        <v>4904</v>
      </c>
      <c r="J36" s="323" t="s">
        <v>4905</v>
      </c>
      <c r="K36" s="325" t="s">
        <v>4906</v>
      </c>
      <c r="L36" s="397"/>
      <c r="M36" s="397"/>
      <c r="N36" s="411"/>
      <c r="O36" s="323">
        <v>52</v>
      </c>
    </row>
    <row r="37" spans="2:15" ht="69.900000000000006" customHeight="1" x14ac:dyDescent="0.25">
      <c r="B37" s="323">
        <v>27</v>
      </c>
      <c r="C37" s="323">
        <v>3</v>
      </c>
      <c r="D37" s="323" t="s">
        <v>4926</v>
      </c>
      <c r="E37" s="357" t="s">
        <v>4927</v>
      </c>
      <c r="F37" s="354">
        <v>1743940</v>
      </c>
      <c r="G37" s="368" t="s">
        <v>4641</v>
      </c>
      <c r="H37" s="323" t="s">
        <v>4928</v>
      </c>
      <c r="I37" s="323" t="s">
        <v>4929</v>
      </c>
      <c r="J37" s="323" t="s">
        <v>4878</v>
      </c>
      <c r="K37" s="325" t="s">
        <v>4930</v>
      </c>
      <c r="L37" s="397"/>
      <c r="M37" s="397"/>
      <c r="N37" s="411"/>
      <c r="O37" s="323">
        <v>52</v>
      </c>
    </row>
    <row r="38" spans="2:15" ht="69.900000000000006" customHeight="1" x14ac:dyDescent="0.25">
      <c r="B38" s="323">
        <v>28</v>
      </c>
      <c r="C38" s="323">
        <v>3</v>
      </c>
      <c r="D38" s="323" t="s">
        <v>4931</v>
      </c>
      <c r="E38" s="357" t="s">
        <v>4927</v>
      </c>
      <c r="F38" s="354">
        <v>21906300</v>
      </c>
      <c r="G38" s="368" t="s">
        <v>4641</v>
      </c>
      <c r="H38" s="323" t="s">
        <v>4932</v>
      </c>
      <c r="I38" s="323" t="s">
        <v>4929</v>
      </c>
      <c r="J38" s="323" t="s">
        <v>4878</v>
      </c>
      <c r="K38" s="325" t="s">
        <v>4930</v>
      </c>
      <c r="L38" s="397"/>
      <c r="M38" s="397"/>
      <c r="N38" s="411"/>
      <c r="O38" s="323">
        <v>52</v>
      </c>
    </row>
    <row r="39" spans="2:15" ht="69.900000000000006" customHeight="1" x14ac:dyDescent="0.25">
      <c r="B39" s="323">
        <v>29</v>
      </c>
      <c r="C39" s="323">
        <v>3</v>
      </c>
      <c r="D39" s="323" t="s">
        <v>4933</v>
      </c>
      <c r="E39" s="357" t="s">
        <v>4927</v>
      </c>
      <c r="F39" s="354">
        <v>12373213</v>
      </c>
      <c r="G39" s="368" t="s">
        <v>4641</v>
      </c>
      <c r="H39" s="323" t="s">
        <v>4934</v>
      </c>
      <c r="I39" s="323" t="s">
        <v>4929</v>
      </c>
      <c r="J39" s="323" t="s">
        <v>4878</v>
      </c>
      <c r="K39" s="325" t="s">
        <v>4930</v>
      </c>
      <c r="L39" s="397"/>
      <c r="M39" s="397"/>
      <c r="N39" s="411"/>
      <c r="O39" s="323">
        <v>52</v>
      </c>
    </row>
    <row r="40" spans="2:15" ht="69.900000000000006" customHeight="1" x14ac:dyDescent="0.25">
      <c r="B40" s="323">
        <v>30</v>
      </c>
      <c r="C40" s="323">
        <v>3</v>
      </c>
      <c r="D40" s="323" t="s">
        <v>4935</v>
      </c>
      <c r="E40" s="357" t="s">
        <v>4927</v>
      </c>
      <c r="F40" s="354">
        <v>8896000</v>
      </c>
      <c r="G40" s="368" t="s">
        <v>4641</v>
      </c>
      <c r="H40" s="323" t="s">
        <v>4936</v>
      </c>
      <c r="I40" s="323" t="s">
        <v>4929</v>
      </c>
      <c r="J40" s="323" t="s">
        <v>4878</v>
      </c>
      <c r="K40" s="325" t="s">
        <v>4930</v>
      </c>
      <c r="L40" s="397"/>
      <c r="M40" s="397"/>
      <c r="N40" s="411"/>
      <c r="O40" s="323">
        <v>52</v>
      </c>
    </row>
    <row r="41" spans="2:15" ht="69.900000000000006" customHeight="1" x14ac:dyDescent="0.25">
      <c r="B41" s="323">
        <v>31</v>
      </c>
      <c r="C41" s="323">
        <v>3</v>
      </c>
      <c r="D41" s="323" t="s">
        <v>4937</v>
      </c>
      <c r="E41" s="357" t="s">
        <v>4927</v>
      </c>
      <c r="F41" s="354">
        <v>12075000</v>
      </c>
      <c r="G41" s="368" t="s">
        <v>4641</v>
      </c>
      <c r="H41" s="323" t="s">
        <v>4938</v>
      </c>
      <c r="I41" s="323" t="s">
        <v>4929</v>
      </c>
      <c r="J41" s="323" t="s">
        <v>4878</v>
      </c>
      <c r="K41" s="325" t="s">
        <v>4930</v>
      </c>
      <c r="L41" s="397"/>
      <c r="M41" s="397"/>
      <c r="N41" s="411"/>
      <c r="O41" s="323">
        <v>52</v>
      </c>
    </row>
    <row r="42" spans="2:15" ht="69.900000000000006" customHeight="1" x14ac:dyDescent="0.25">
      <c r="B42" s="323">
        <v>32</v>
      </c>
      <c r="C42" s="323">
        <v>3</v>
      </c>
      <c r="D42" s="323" t="s">
        <v>4939</v>
      </c>
      <c r="E42" s="357" t="s">
        <v>4927</v>
      </c>
      <c r="F42" s="354">
        <v>1890000</v>
      </c>
      <c r="G42" s="368" t="s">
        <v>4641</v>
      </c>
      <c r="H42" s="323" t="s">
        <v>4940</v>
      </c>
      <c r="I42" s="323" t="s">
        <v>4929</v>
      </c>
      <c r="J42" s="323" t="s">
        <v>4878</v>
      </c>
      <c r="K42" s="325" t="s">
        <v>4930</v>
      </c>
      <c r="L42" s="397"/>
      <c r="M42" s="397"/>
      <c r="N42" s="411"/>
      <c r="O42" s="323">
        <v>52</v>
      </c>
    </row>
    <row r="43" spans="2:15" ht="69.900000000000006" customHeight="1" x14ac:dyDescent="0.25">
      <c r="B43" s="323">
        <v>33</v>
      </c>
      <c r="C43" s="323">
        <v>3</v>
      </c>
      <c r="D43" s="323" t="s">
        <v>4941</v>
      </c>
      <c r="E43" s="357" t="s">
        <v>4927</v>
      </c>
      <c r="F43" s="354">
        <v>18269500</v>
      </c>
      <c r="G43" s="368" t="s">
        <v>4641</v>
      </c>
      <c r="H43" s="323" t="s">
        <v>4942</v>
      </c>
      <c r="I43" s="323" t="s">
        <v>4929</v>
      </c>
      <c r="J43" s="323" t="s">
        <v>4878</v>
      </c>
      <c r="K43" s="325" t="s">
        <v>4930</v>
      </c>
      <c r="L43" s="397"/>
      <c r="M43" s="397"/>
      <c r="N43" s="411"/>
      <c r="O43" s="323">
        <v>52</v>
      </c>
    </row>
    <row r="44" spans="2:15" ht="69.900000000000006" customHeight="1" x14ac:dyDescent="0.25">
      <c r="B44" s="323">
        <v>34</v>
      </c>
      <c r="C44" s="323">
        <v>3</v>
      </c>
      <c r="D44" s="323" t="s">
        <v>4943</v>
      </c>
      <c r="E44" s="357" t="s">
        <v>4927</v>
      </c>
      <c r="F44" s="354">
        <v>21022422</v>
      </c>
      <c r="G44" s="368" t="s">
        <v>4641</v>
      </c>
      <c r="H44" s="323" t="s">
        <v>4944</v>
      </c>
      <c r="I44" s="323" t="s">
        <v>4929</v>
      </c>
      <c r="J44" s="323" t="s">
        <v>4878</v>
      </c>
      <c r="K44" s="325" t="s">
        <v>4930</v>
      </c>
      <c r="L44" s="397"/>
      <c r="M44" s="397"/>
      <c r="N44" s="411"/>
      <c r="O44" s="323">
        <v>52</v>
      </c>
    </row>
    <row r="45" spans="2:15" ht="69.900000000000006" customHeight="1" x14ac:dyDescent="0.25">
      <c r="B45" s="323">
        <v>44</v>
      </c>
      <c r="C45" s="323">
        <v>4</v>
      </c>
      <c r="D45" s="323" t="s">
        <v>4948</v>
      </c>
      <c r="E45" s="357" t="s">
        <v>4949</v>
      </c>
      <c r="F45" s="354">
        <v>830060208</v>
      </c>
      <c r="G45" s="370" t="s">
        <v>4878</v>
      </c>
      <c r="H45" s="324" t="s">
        <v>4950</v>
      </c>
      <c r="I45" s="323" t="s">
        <v>4951</v>
      </c>
      <c r="J45" s="323" t="s">
        <v>4878</v>
      </c>
      <c r="K45" s="325" t="s">
        <v>4952</v>
      </c>
      <c r="L45" s="397" t="s">
        <v>542</v>
      </c>
      <c r="M45" s="397" t="s">
        <v>5184</v>
      </c>
      <c r="N45" s="411" t="s">
        <v>5374</v>
      </c>
      <c r="O45" s="323">
        <v>52</v>
      </c>
    </row>
    <row r="46" spans="2:15" ht="69.900000000000006" customHeight="1" x14ac:dyDescent="0.25">
      <c r="B46" s="323">
        <v>45</v>
      </c>
      <c r="C46" s="323">
        <v>4</v>
      </c>
      <c r="D46" s="323" t="s">
        <v>4953</v>
      </c>
      <c r="E46" s="357" t="s">
        <v>4954</v>
      </c>
      <c r="F46" s="354">
        <v>5925000</v>
      </c>
      <c r="G46" s="370" t="s">
        <v>4878</v>
      </c>
      <c r="H46" s="324" t="s">
        <v>4955</v>
      </c>
      <c r="I46" s="323" t="s">
        <v>4949</v>
      </c>
      <c r="J46" s="323" t="s">
        <v>4878</v>
      </c>
      <c r="K46" s="325" t="s">
        <v>4956</v>
      </c>
      <c r="L46" s="397" t="s">
        <v>542</v>
      </c>
      <c r="M46" s="397" t="s">
        <v>5184</v>
      </c>
      <c r="N46" s="411" t="s">
        <v>5374</v>
      </c>
      <c r="O46" s="323">
        <v>52</v>
      </c>
    </row>
    <row r="47" spans="2:15" ht="69.900000000000006" customHeight="1" x14ac:dyDescent="0.25">
      <c r="B47" s="323">
        <v>46</v>
      </c>
      <c r="C47" s="323">
        <v>4</v>
      </c>
      <c r="D47" s="323" t="s">
        <v>4957</v>
      </c>
      <c r="E47" s="357" t="s">
        <v>4954</v>
      </c>
      <c r="F47" s="354">
        <v>5925000</v>
      </c>
      <c r="G47" s="370" t="s">
        <v>4878</v>
      </c>
      <c r="H47" s="324" t="s">
        <v>4958</v>
      </c>
      <c r="I47" s="323" t="s">
        <v>4949</v>
      </c>
      <c r="J47" s="323" t="s">
        <v>4878</v>
      </c>
      <c r="K47" s="325" t="s">
        <v>4959</v>
      </c>
      <c r="L47" s="397" t="s">
        <v>542</v>
      </c>
      <c r="M47" s="397" t="s">
        <v>5184</v>
      </c>
      <c r="N47" s="411" t="s">
        <v>5374</v>
      </c>
      <c r="O47" s="323">
        <v>52</v>
      </c>
    </row>
    <row r="48" spans="2:15" ht="69.900000000000006" customHeight="1" x14ac:dyDescent="0.25">
      <c r="B48" s="323">
        <v>47</v>
      </c>
      <c r="C48" s="323">
        <v>4</v>
      </c>
      <c r="D48" s="319" t="s">
        <v>4978</v>
      </c>
      <c r="E48" s="358" t="s">
        <v>4977</v>
      </c>
      <c r="F48" s="320">
        <v>577980144</v>
      </c>
      <c r="G48" s="370" t="s">
        <v>4878</v>
      </c>
      <c r="H48" s="319" t="s">
        <v>4987</v>
      </c>
      <c r="I48" s="319" t="s">
        <v>4976</v>
      </c>
      <c r="J48" s="319" t="s">
        <v>4878</v>
      </c>
      <c r="K48" s="322" t="s">
        <v>4988</v>
      </c>
      <c r="L48" s="397" t="s">
        <v>542</v>
      </c>
      <c r="M48" s="397" t="s">
        <v>5184</v>
      </c>
      <c r="N48" s="411" t="s">
        <v>5374</v>
      </c>
      <c r="O48" s="323">
        <v>52</v>
      </c>
    </row>
    <row r="49" spans="2:15" ht="69.900000000000006" customHeight="1" x14ac:dyDescent="0.25">
      <c r="B49" s="323">
        <v>48</v>
      </c>
      <c r="C49" s="323">
        <v>4</v>
      </c>
      <c r="D49" s="353" t="s">
        <v>5008</v>
      </c>
      <c r="E49" s="359" t="s">
        <v>5009</v>
      </c>
      <c r="F49" s="354">
        <v>11850000</v>
      </c>
      <c r="G49" s="370" t="s">
        <v>4878</v>
      </c>
      <c r="H49" s="353" t="s">
        <v>5010</v>
      </c>
      <c r="I49" s="353" t="s">
        <v>5011</v>
      </c>
      <c r="J49" s="353" t="s">
        <v>4878</v>
      </c>
      <c r="K49" s="355" t="s">
        <v>5012</v>
      </c>
      <c r="L49" s="397" t="s">
        <v>542</v>
      </c>
      <c r="M49" s="397" t="s">
        <v>5184</v>
      </c>
      <c r="N49" s="411" t="s">
        <v>5374</v>
      </c>
      <c r="O49" s="323">
        <v>52</v>
      </c>
    </row>
    <row r="50" spans="2:15" ht="69.900000000000006" customHeight="1" x14ac:dyDescent="0.25">
      <c r="B50" s="323">
        <v>49</v>
      </c>
      <c r="C50" s="323">
        <v>4</v>
      </c>
      <c r="D50" s="353" t="s">
        <v>5019</v>
      </c>
      <c r="E50" s="359" t="s">
        <v>5009</v>
      </c>
      <c r="F50" s="354">
        <v>11850000</v>
      </c>
      <c r="G50" s="370" t="s">
        <v>4878</v>
      </c>
      <c r="H50" s="353" t="s">
        <v>5020</v>
      </c>
      <c r="I50" s="353" t="s">
        <v>5011</v>
      </c>
      <c r="J50" s="353" t="s">
        <v>4878</v>
      </c>
      <c r="K50" s="355" t="s">
        <v>5021</v>
      </c>
      <c r="L50" s="397" t="s">
        <v>542</v>
      </c>
      <c r="M50" s="397" t="s">
        <v>5184</v>
      </c>
      <c r="N50" s="411" t="s">
        <v>5374</v>
      </c>
      <c r="O50" s="323">
        <v>52</v>
      </c>
    </row>
    <row r="51" spans="2:15" ht="69.900000000000006" customHeight="1" x14ac:dyDescent="0.25">
      <c r="B51" s="323">
        <v>50</v>
      </c>
      <c r="C51" s="323">
        <v>4</v>
      </c>
      <c r="D51" s="319" t="s">
        <v>5134</v>
      </c>
      <c r="E51" s="358" t="s">
        <v>5121</v>
      </c>
      <c r="F51" s="320">
        <v>5925000</v>
      </c>
      <c r="G51" s="370" t="s">
        <v>4878</v>
      </c>
      <c r="H51" s="319" t="s">
        <v>5135</v>
      </c>
      <c r="I51" s="319" t="s">
        <v>5123</v>
      </c>
      <c r="J51" s="319" t="s">
        <v>4878</v>
      </c>
      <c r="K51" s="322" t="s">
        <v>5136</v>
      </c>
      <c r="L51" s="397" t="s">
        <v>542</v>
      </c>
      <c r="M51" s="397" t="s">
        <v>5184</v>
      </c>
      <c r="N51" s="411" t="s">
        <v>5374</v>
      </c>
      <c r="O51" s="323">
        <v>52</v>
      </c>
    </row>
    <row r="52" spans="2:15" ht="69.900000000000006" customHeight="1" x14ac:dyDescent="0.25">
      <c r="B52" s="323">
        <v>51</v>
      </c>
      <c r="C52" s="323">
        <v>4</v>
      </c>
      <c r="D52" s="353" t="s">
        <v>5016</v>
      </c>
      <c r="E52" s="359" t="s">
        <v>5009</v>
      </c>
      <c r="F52" s="354">
        <v>17775000</v>
      </c>
      <c r="G52" s="370" t="s">
        <v>4878</v>
      </c>
      <c r="H52" s="353" t="s">
        <v>5017</v>
      </c>
      <c r="I52" s="353" t="s">
        <v>5011</v>
      </c>
      <c r="J52" s="353" t="s">
        <v>4878</v>
      </c>
      <c r="K52" s="355" t="s">
        <v>5018</v>
      </c>
      <c r="L52" s="397" t="s">
        <v>542</v>
      </c>
      <c r="M52" s="397" t="s">
        <v>5184</v>
      </c>
      <c r="N52" s="411" t="s">
        <v>5374</v>
      </c>
      <c r="O52" s="323">
        <v>52</v>
      </c>
    </row>
    <row r="53" spans="2:15" ht="69.900000000000006" customHeight="1" x14ac:dyDescent="0.25">
      <c r="B53" s="323">
        <v>52</v>
      </c>
      <c r="C53" s="323">
        <v>4</v>
      </c>
      <c r="D53" s="353" t="s">
        <v>5013</v>
      </c>
      <c r="E53" s="359" t="s">
        <v>5009</v>
      </c>
      <c r="F53" s="354">
        <v>11850000</v>
      </c>
      <c r="G53" s="370" t="s">
        <v>4878</v>
      </c>
      <c r="H53" s="353" t="s">
        <v>5014</v>
      </c>
      <c r="I53" s="353" t="s">
        <v>5011</v>
      </c>
      <c r="J53" s="353" t="s">
        <v>4878</v>
      </c>
      <c r="K53" s="355" t="s">
        <v>5015</v>
      </c>
      <c r="L53" s="397" t="s">
        <v>542</v>
      </c>
      <c r="M53" s="397" t="s">
        <v>5184</v>
      </c>
      <c r="N53" s="411" t="s">
        <v>5374</v>
      </c>
      <c r="O53" s="323">
        <v>52</v>
      </c>
    </row>
    <row r="54" spans="2:15" ht="69.900000000000006" customHeight="1" x14ac:dyDescent="0.25">
      <c r="B54" s="323">
        <v>53</v>
      </c>
      <c r="C54" s="323">
        <v>4</v>
      </c>
      <c r="D54" s="353" t="s">
        <v>5022</v>
      </c>
      <c r="E54" s="359" t="s">
        <v>5009</v>
      </c>
      <c r="F54" s="354">
        <v>58805004</v>
      </c>
      <c r="G54" s="370" t="s">
        <v>4878</v>
      </c>
      <c r="H54" s="353" t="s">
        <v>5023</v>
      </c>
      <c r="I54" s="353" t="s">
        <v>5011</v>
      </c>
      <c r="J54" s="353" t="s">
        <v>4878</v>
      </c>
      <c r="K54" s="355" t="s">
        <v>5024</v>
      </c>
      <c r="L54" s="397" t="s">
        <v>542</v>
      </c>
      <c r="M54" s="397" t="s">
        <v>5184</v>
      </c>
      <c r="N54" s="411" t="s">
        <v>5374</v>
      </c>
      <c r="O54" s="323">
        <v>52</v>
      </c>
    </row>
    <row r="55" spans="2:15" ht="69.900000000000006" customHeight="1" x14ac:dyDescent="0.25">
      <c r="B55" s="323">
        <v>54</v>
      </c>
      <c r="C55" s="323">
        <v>4</v>
      </c>
      <c r="D55" s="319" t="s">
        <v>5137</v>
      </c>
      <c r="E55" s="358" t="s">
        <v>5121</v>
      </c>
      <c r="F55" s="320">
        <v>11850000</v>
      </c>
      <c r="G55" s="370" t="s">
        <v>4878</v>
      </c>
      <c r="H55" s="319" t="s">
        <v>5138</v>
      </c>
      <c r="I55" s="319" t="s">
        <v>5123</v>
      </c>
      <c r="J55" s="319" t="s">
        <v>4878</v>
      </c>
      <c r="K55" s="322" t="s">
        <v>5139</v>
      </c>
      <c r="L55" s="397" t="s">
        <v>542</v>
      </c>
      <c r="M55" s="397" t="s">
        <v>5184</v>
      </c>
      <c r="N55" s="411" t="s">
        <v>5374</v>
      </c>
      <c r="O55" s="323">
        <v>52</v>
      </c>
    </row>
    <row r="56" spans="2:15" ht="69.900000000000006" customHeight="1" x14ac:dyDescent="0.25">
      <c r="B56" s="323">
        <v>35</v>
      </c>
      <c r="C56" s="323">
        <v>4</v>
      </c>
      <c r="D56" s="319" t="s">
        <v>5081</v>
      </c>
      <c r="E56" s="358" t="s">
        <v>5082</v>
      </c>
      <c r="F56" s="320">
        <v>206653906</v>
      </c>
      <c r="G56" s="371" t="s">
        <v>5033</v>
      </c>
      <c r="H56" s="353" t="s">
        <v>5083</v>
      </c>
      <c r="I56" s="319" t="s">
        <v>4904</v>
      </c>
      <c r="J56" s="319" t="s">
        <v>4892</v>
      </c>
      <c r="K56" s="322" t="s">
        <v>5084</v>
      </c>
      <c r="L56" s="397" t="s">
        <v>576</v>
      </c>
      <c r="M56" s="397" t="s">
        <v>5185</v>
      </c>
      <c r="N56" s="411" t="s">
        <v>5375</v>
      </c>
      <c r="O56" s="323">
        <v>51</v>
      </c>
    </row>
    <row r="57" spans="2:15" ht="69.900000000000006" customHeight="1" x14ac:dyDescent="0.25">
      <c r="B57" s="323">
        <v>36</v>
      </c>
      <c r="C57" s="323">
        <v>4</v>
      </c>
      <c r="D57" s="319" t="s">
        <v>5059</v>
      </c>
      <c r="E57" s="358" t="s">
        <v>5060</v>
      </c>
      <c r="F57" s="320">
        <v>633328</v>
      </c>
      <c r="G57" s="371" t="s">
        <v>5061</v>
      </c>
      <c r="H57" s="353" t="s">
        <v>5062</v>
      </c>
      <c r="I57" s="319" t="s">
        <v>5060</v>
      </c>
      <c r="J57" s="319" t="s">
        <v>4878</v>
      </c>
      <c r="K57" s="322" t="s">
        <v>5063</v>
      </c>
      <c r="L57" s="397" t="s">
        <v>576</v>
      </c>
      <c r="M57" s="397" t="s">
        <v>5185</v>
      </c>
      <c r="N57" s="411" t="s">
        <v>5375</v>
      </c>
      <c r="O57" s="323">
        <v>51</v>
      </c>
    </row>
    <row r="58" spans="2:15" ht="69.900000000000006" customHeight="1" x14ac:dyDescent="0.25">
      <c r="B58" s="323">
        <v>37</v>
      </c>
      <c r="C58" s="323">
        <v>4</v>
      </c>
      <c r="D58" s="319" t="s">
        <v>5064</v>
      </c>
      <c r="E58" s="358" t="s">
        <v>5060</v>
      </c>
      <c r="F58" s="320">
        <v>3233276</v>
      </c>
      <c r="G58" s="371" t="s">
        <v>5065</v>
      </c>
      <c r="H58" s="353" t="s">
        <v>5066</v>
      </c>
      <c r="I58" s="319" t="s">
        <v>5060</v>
      </c>
      <c r="J58" s="319" t="s">
        <v>4878</v>
      </c>
      <c r="K58" s="322" t="s">
        <v>5067</v>
      </c>
      <c r="L58" s="397" t="s">
        <v>576</v>
      </c>
      <c r="M58" s="397" t="s">
        <v>5185</v>
      </c>
      <c r="N58" s="411" t="s">
        <v>5375</v>
      </c>
      <c r="O58" s="323">
        <v>51</v>
      </c>
    </row>
    <row r="59" spans="2:15" ht="69.900000000000006" customHeight="1" x14ac:dyDescent="0.25">
      <c r="B59" s="323">
        <v>38</v>
      </c>
      <c r="C59" s="323">
        <v>4</v>
      </c>
      <c r="D59" s="319" t="s">
        <v>5053</v>
      </c>
      <c r="E59" s="358" t="s">
        <v>5048</v>
      </c>
      <c r="F59" s="320">
        <v>595000</v>
      </c>
      <c r="G59" s="371" t="s">
        <v>5049</v>
      </c>
      <c r="H59" s="353" t="s">
        <v>5054</v>
      </c>
      <c r="I59" s="319" t="s">
        <v>5051</v>
      </c>
      <c r="J59" s="319" t="s">
        <v>4878</v>
      </c>
      <c r="K59" s="322" t="s">
        <v>5055</v>
      </c>
      <c r="L59" s="397" t="s">
        <v>576</v>
      </c>
      <c r="M59" s="397" t="s">
        <v>5185</v>
      </c>
      <c r="N59" s="411" t="s">
        <v>5375</v>
      </c>
      <c r="O59" s="323">
        <v>51</v>
      </c>
    </row>
    <row r="60" spans="2:15" ht="69.900000000000006" customHeight="1" x14ac:dyDescent="0.25">
      <c r="B60" s="323">
        <v>39</v>
      </c>
      <c r="C60" s="323">
        <v>4</v>
      </c>
      <c r="D60" s="319" t="s">
        <v>5056</v>
      </c>
      <c r="E60" s="358" t="s">
        <v>5048</v>
      </c>
      <c r="F60" s="320">
        <v>239665141</v>
      </c>
      <c r="G60" s="371" t="s">
        <v>4878</v>
      </c>
      <c r="H60" s="353" t="s">
        <v>5057</v>
      </c>
      <c r="I60" s="319" t="s">
        <v>5051</v>
      </c>
      <c r="J60" s="319" t="s">
        <v>4878</v>
      </c>
      <c r="K60" s="322" t="s">
        <v>5058</v>
      </c>
      <c r="L60" s="397" t="s">
        <v>576</v>
      </c>
      <c r="M60" s="397" t="s">
        <v>5185</v>
      </c>
      <c r="N60" s="411" t="s">
        <v>5375</v>
      </c>
      <c r="O60" s="323">
        <v>51</v>
      </c>
    </row>
    <row r="61" spans="2:15" ht="69.900000000000006" customHeight="1" x14ac:dyDescent="0.25">
      <c r="B61" s="323">
        <v>40</v>
      </c>
      <c r="C61" s="323">
        <v>4</v>
      </c>
      <c r="D61" s="319" t="s">
        <v>5047</v>
      </c>
      <c r="E61" s="358" t="s">
        <v>5048</v>
      </c>
      <c r="F61" s="320">
        <v>26735000</v>
      </c>
      <c r="G61" s="371" t="s">
        <v>5049</v>
      </c>
      <c r="H61" s="353" t="s">
        <v>5050</v>
      </c>
      <c r="I61" s="319" t="s">
        <v>5051</v>
      </c>
      <c r="J61" s="319" t="s">
        <v>4878</v>
      </c>
      <c r="K61" s="322" t="s">
        <v>5052</v>
      </c>
      <c r="L61" s="397" t="s">
        <v>576</v>
      </c>
      <c r="M61" s="397" t="s">
        <v>5185</v>
      </c>
      <c r="N61" s="411" t="s">
        <v>5375</v>
      </c>
      <c r="O61" s="323">
        <v>51</v>
      </c>
    </row>
    <row r="62" spans="2:15" ht="69.900000000000006" customHeight="1" x14ac:dyDescent="0.25">
      <c r="B62" s="323">
        <v>41</v>
      </c>
      <c r="C62" s="323">
        <v>4</v>
      </c>
      <c r="D62" s="319" t="s">
        <v>5044</v>
      </c>
      <c r="E62" s="358" t="s">
        <v>4977</v>
      </c>
      <c r="F62" s="320">
        <v>208979992</v>
      </c>
      <c r="G62" s="371" t="s">
        <v>5041</v>
      </c>
      <c r="H62" s="353" t="s">
        <v>5045</v>
      </c>
      <c r="I62" s="319" t="s">
        <v>4976</v>
      </c>
      <c r="J62" s="319" t="s">
        <v>4892</v>
      </c>
      <c r="K62" s="322" t="s">
        <v>5046</v>
      </c>
      <c r="L62" s="397" t="s">
        <v>576</v>
      </c>
      <c r="M62" s="397" t="s">
        <v>5185</v>
      </c>
      <c r="N62" s="411" t="s">
        <v>5375</v>
      </c>
      <c r="O62" s="323">
        <v>51</v>
      </c>
    </row>
    <row r="63" spans="2:15" ht="69.900000000000006" customHeight="1" x14ac:dyDescent="0.25">
      <c r="B63" s="323">
        <v>42</v>
      </c>
      <c r="C63" s="323">
        <v>4</v>
      </c>
      <c r="D63" s="319" t="s">
        <v>5040</v>
      </c>
      <c r="E63" s="358" t="s">
        <v>4977</v>
      </c>
      <c r="F63" s="320">
        <v>3233300</v>
      </c>
      <c r="G63" s="371" t="s">
        <v>5041</v>
      </c>
      <c r="H63" s="353" t="s">
        <v>5042</v>
      </c>
      <c r="I63" s="319" t="s">
        <v>4976</v>
      </c>
      <c r="J63" s="319" t="s">
        <v>4892</v>
      </c>
      <c r="K63" s="322" t="s">
        <v>5043</v>
      </c>
      <c r="L63" s="397" t="s">
        <v>576</v>
      </c>
      <c r="M63" s="397" t="s">
        <v>5185</v>
      </c>
      <c r="N63" s="411" t="s">
        <v>5375</v>
      </c>
      <c r="O63" s="323">
        <v>51</v>
      </c>
    </row>
    <row r="64" spans="2:15" ht="69.900000000000006" customHeight="1" x14ac:dyDescent="0.25">
      <c r="B64" s="323">
        <v>43</v>
      </c>
      <c r="C64" s="323">
        <v>4</v>
      </c>
      <c r="D64" s="319" t="s">
        <v>5036</v>
      </c>
      <c r="E64" s="358" t="s">
        <v>5011</v>
      </c>
      <c r="F64" s="320">
        <v>121465086</v>
      </c>
      <c r="G64" s="371" t="s">
        <v>5037</v>
      </c>
      <c r="H64" s="353" t="s">
        <v>5038</v>
      </c>
      <c r="I64" s="319" t="s">
        <v>4977</v>
      </c>
      <c r="J64" s="319" t="s">
        <v>4878</v>
      </c>
      <c r="K64" s="322" t="s">
        <v>5039</v>
      </c>
      <c r="L64" s="397" t="s">
        <v>576</v>
      </c>
      <c r="M64" s="397" t="s">
        <v>5185</v>
      </c>
      <c r="N64" s="411" t="s">
        <v>5375</v>
      </c>
      <c r="O64" s="323">
        <v>51</v>
      </c>
    </row>
    <row r="65" spans="2:15" ht="69.900000000000006" customHeight="1" x14ac:dyDescent="0.25">
      <c r="B65" s="323">
        <v>55</v>
      </c>
      <c r="C65" s="323">
        <v>4</v>
      </c>
      <c r="D65" s="323" t="s">
        <v>4922</v>
      </c>
      <c r="E65" s="357" t="s">
        <v>4923</v>
      </c>
      <c r="F65" s="354">
        <f>6840000+360000</f>
        <v>7200000</v>
      </c>
      <c r="G65" s="367" t="s">
        <v>4878</v>
      </c>
      <c r="H65" s="323" t="s">
        <v>4924</v>
      </c>
      <c r="I65" s="323" t="s">
        <v>4923</v>
      </c>
      <c r="J65" s="323" t="s">
        <v>4878</v>
      </c>
      <c r="K65" s="325" t="s">
        <v>4925</v>
      </c>
      <c r="L65" s="397" t="s">
        <v>535</v>
      </c>
      <c r="M65" s="397" t="s">
        <v>5217</v>
      </c>
      <c r="N65" s="411"/>
      <c r="O65" s="323">
        <v>52</v>
      </c>
    </row>
    <row r="66" spans="2:15" ht="69.900000000000006" customHeight="1" x14ac:dyDescent="0.25">
      <c r="B66" s="323">
        <v>56</v>
      </c>
      <c r="C66" s="323">
        <v>4</v>
      </c>
      <c r="D66" s="323" t="s">
        <v>4945</v>
      </c>
      <c r="E66" s="357" t="s">
        <v>4923</v>
      </c>
      <c r="F66" s="354">
        <v>63640000</v>
      </c>
      <c r="G66" s="366" t="s">
        <v>4875</v>
      </c>
      <c r="H66" s="324" t="s">
        <v>4946</v>
      </c>
      <c r="I66" s="323" t="s">
        <v>4923</v>
      </c>
      <c r="J66" s="323" t="s">
        <v>4878</v>
      </c>
      <c r="K66" s="325" t="s">
        <v>4947</v>
      </c>
      <c r="L66" s="397" t="s">
        <v>576</v>
      </c>
      <c r="M66" s="397" t="s">
        <v>5183</v>
      </c>
      <c r="N66" s="411" t="s">
        <v>5376</v>
      </c>
      <c r="O66" s="323">
        <v>52</v>
      </c>
    </row>
    <row r="67" spans="2:15" ht="69.900000000000006" customHeight="1" x14ac:dyDescent="0.25">
      <c r="B67" s="323">
        <v>57</v>
      </c>
      <c r="C67" s="323">
        <v>4</v>
      </c>
      <c r="D67" s="323" t="s">
        <v>4960</v>
      </c>
      <c r="E67" s="357" t="s">
        <v>4954</v>
      </c>
      <c r="F67" s="354">
        <v>6060000</v>
      </c>
      <c r="G67" s="367" t="s">
        <v>4878</v>
      </c>
      <c r="H67" s="324" t="s">
        <v>4961</v>
      </c>
      <c r="I67" s="323" t="s">
        <v>4949</v>
      </c>
      <c r="J67" s="323" t="s">
        <v>4878</v>
      </c>
      <c r="K67" s="325" t="s">
        <v>4962</v>
      </c>
      <c r="L67" s="397" t="s">
        <v>531</v>
      </c>
      <c r="M67" s="397" t="s">
        <v>5218</v>
      </c>
      <c r="N67" s="411"/>
      <c r="O67" s="323">
        <v>52</v>
      </c>
    </row>
    <row r="68" spans="2:15" ht="69.900000000000006" customHeight="1" x14ac:dyDescent="0.25">
      <c r="B68" s="323">
        <v>58</v>
      </c>
      <c r="C68" s="323">
        <v>4</v>
      </c>
      <c r="D68" s="323" t="s">
        <v>4963</v>
      </c>
      <c r="E68" s="357" t="s">
        <v>4954</v>
      </c>
      <c r="F68" s="354">
        <v>1800000</v>
      </c>
      <c r="G68" s="367" t="s">
        <v>4878</v>
      </c>
      <c r="H68" s="324" t="s">
        <v>4964</v>
      </c>
      <c r="I68" s="323" t="s">
        <v>4949</v>
      </c>
      <c r="J68" s="323" t="s">
        <v>4878</v>
      </c>
      <c r="K68" s="325" t="s">
        <v>4965</v>
      </c>
      <c r="L68" s="397" t="s">
        <v>531</v>
      </c>
      <c r="M68" s="397" t="s">
        <v>5219</v>
      </c>
      <c r="N68" s="411"/>
      <c r="O68" s="323">
        <v>52</v>
      </c>
    </row>
    <row r="69" spans="2:15" ht="69.900000000000006" customHeight="1" x14ac:dyDescent="0.25">
      <c r="B69" s="323">
        <v>59</v>
      </c>
      <c r="C69" s="323">
        <v>4</v>
      </c>
      <c r="D69" s="323" t="s">
        <v>4966</v>
      </c>
      <c r="E69" s="357" t="s">
        <v>4954</v>
      </c>
      <c r="F69" s="354">
        <v>6320000</v>
      </c>
      <c r="G69" s="367" t="s">
        <v>4878</v>
      </c>
      <c r="H69" s="324" t="s">
        <v>4967</v>
      </c>
      <c r="I69" s="323" t="s">
        <v>4949</v>
      </c>
      <c r="J69" s="323" t="s">
        <v>4878</v>
      </c>
      <c r="K69" s="325" t="s">
        <v>4968</v>
      </c>
      <c r="L69" s="397" t="s">
        <v>535</v>
      </c>
      <c r="M69" s="397" t="s">
        <v>5220</v>
      </c>
      <c r="N69" s="411"/>
      <c r="O69" s="323">
        <v>52</v>
      </c>
    </row>
    <row r="70" spans="2:15" ht="69.900000000000006" customHeight="1" x14ac:dyDescent="0.25">
      <c r="B70" s="323">
        <v>60</v>
      </c>
      <c r="C70" s="323">
        <v>4</v>
      </c>
      <c r="D70" s="323" t="s">
        <v>4969</v>
      </c>
      <c r="E70" s="357" t="s">
        <v>4954</v>
      </c>
      <c r="F70" s="354">
        <v>3570000</v>
      </c>
      <c r="G70" s="367" t="s">
        <v>4878</v>
      </c>
      <c r="H70" s="324" t="s">
        <v>4970</v>
      </c>
      <c r="I70" s="323" t="s">
        <v>4949</v>
      </c>
      <c r="J70" s="323" t="s">
        <v>4878</v>
      </c>
      <c r="K70" s="325" t="s">
        <v>4971</v>
      </c>
      <c r="L70" s="397" t="s">
        <v>542</v>
      </c>
      <c r="M70" s="397" t="s">
        <v>5184</v>
      </c>
      <c r="N70" s="411"/>
      <c r="O70" s="323">
        <v>52</v>
      </c>
    </row>
    <row r="71" spans="2:15" ht="69.900000000000006" customHeight="1" x14ac:dyDescent="0.25">
      <c r="B71" s="323">
        <v>61</v>
      </c>
      <c r="C71" s="323">
        <v>4</v>
      </c>
      <c r="D71" s="323" t="s">
        <v>4972</v>
      </c>
      <c r="E71" s="357" t="s">
        <v>4954</v>
      </c>
      <c r="F71" s="354">
        <v>1040000</v>
      </c>
      <c r="G71" s="367" t="s">
        <v>4878</v>
      </c>
      <c r="H71" s="324" t="s">
        <v>4973</v>
      </c>
      <c r="I71" s="323" t="s">
        <v>4949</v>
      </c>
      <c r="J71" s="323" t="s">
        <v>4878</v>
      </c>
      <c r="K71" s="325" t="s">
        <v>4974</v>
      </c>
      <c r="L71" s="397" t="s">
        <v>531</v>
      </c>
      <c r="M71" s="397" t="s">
        <v>5219</v>
      </c>
      <c r="N71" s="411"/>
      <c r="O71" s="323">
        <v>52</v>
      </c>
    </row>
    <row r="72" spans="2:15" ht="69.900000000000006" customHeight="1" x14ac:dyDescent="0.25">
      <c r="B72" s="323">
        <v>62</v>
      </c>
      <c r="C72" s="323">
        <v>4</v>
      </c>
      <c r="D72" s="319" t="s">
        <v>4975</v>
      </c>
      <c r="E72" s="358" t="s">
        <v>4977</v>
      </c>
      <c r="F72" s="320">
        <v>8760000</v>
      </c>
      <c r="G72" s="367" t="s">
        <v>4878</v>
      </c>
      <c r="H72" s="319" t="s">
        <v>4985</v>
      </c>
      <c r="I72" s="319" t="s">
        <v>4976</v>
      </c>
      <c r="J72" s="319" t="s">
        <v>4878</v>
      </c>
      <c r="K72" s="322" t="s">
        <v>4986</v>
      </c>
      <c r="L72" s="397" t="s">
        <v>542</v>
      </c>
      <c r="M72" s="397" t="s">
        <v>5221</v>
      </c>
      <c r="N72" s="411"/>
      <c r="O72" s="323">
        <v>52</v>
      </c>
    </row>
    <row r="73" spans="2:15" ht="69.900000000000006" customHeight="1" x14ac:dyDescent="0.25">
      <c r="B73" s="323">
        <v>63</v>
      </c>
      <c r="C73" s="323">
        <v>4</v>
      </c>
      <c r="D73" s="319" t="s">
        <v>4982</v>
      </c>
      <c r="E73" s="358" t="s">
        <v>4977</v>
      </c>
      <c r="F73" s="320">
        <v>4980000</v>
      </c>
      <c r="G73" s="367" t="s">
        <v>4878</v>
      </c>
      <c r="H73" s="319" t="s">
        <v>4995</v>
      </c>
      <c r="I73" s="319" t="s">
        <v>4976</v>
      </c>
      <c r="J73" s="319" t="s">
        <v>4878</v>
      </c>
      <c r="K73" s="322" t="s">
        <v>4996</v>
      </c>
      <c r="L73" s="397" t="s">
        <v>542</v>
      </c>
      <c r="M73" s="397" t="s">
        <v>5221</v>
      </c>
      <c r="N73" s="411"/>
      <c r="O73" s="323">
        <v>52</v>
      </c>
    </row>
    <row r="74" spans="2:15" ht="69.900000000000006" customHeight="1" x14ac:dyDescent="0.25">
      <c r="B74" s="323">
        <v>64</v>
      </c>
      <c r="C74" s="323">
        <v>4</v>
      </c>
      <c r="D74" s="319" t="s">
        <v>4979</v>
      </c>
      <c r="E74" s="358" t="s">
        <v>4977</v>
      </c>
      <c r="F74" s="320">
        <v>34977460</v>
      </c>
      <c r="G74" s="367" t="s">
        <v>4878</v>
      </c>
      <c r="H74" s="319" t="s">
        <v>4989</v>
      </c>
      <c r="I74" s="319" t="s">
        <v>4976</v>
      </c>
      <c r="J74" s="319" t="s">
        <v>4878</v>
      </c>
      <c r="K74" s="322" t="s">
        <v>4990</v>
      </c>
      <c r="L74" s="397" t="s">
        <v>576</v>
      </c>
      <c r="M74" s="397" t="s">
        <v>5183</v>
      </c>
      <c r="N74" s="411"/>
      <c r="O74" s="323">
        <v>52</v>
      </c>
    </row>
    <row r="75" spans="2:15" ht="69.900000000000006" customHeight="1" x14ac:dyDescent="0.25">
      <c r="B75" s="323">
        <v>65</v>
      </c>
      <c r="C75" s="323">
        <v>4</v>
      </c>
      <c r="D75" s="319" t="s">
        <v>4980</v>
      </c>
      <c r="E75" s="358" t="s">
        <v>4977</v>
      </c>
      <c r="F75" s="320">
        <v>5656000</v>
      </c>
      <c r="G75" s="367" t="s">
        <v>4878</v>
      </c>
      <c r="H75" s="319" t="s">
        <v>4991</v>
      </c>
      <c r="I75" s="319" t="s">
        <v>4976</v>
      </c>
      <c r="J75" s="319" t="s">
        <v>4878</v>
      </c>
      <c r="K75" s="322" t="s">
        <v>4992</v>
      </c>
      <c r="L75" s="397" t="s">
        <v>531</v>
      </c>
      <c r="M75" s="397" t="s">
        <v>5218</v>
      </c>
      <c r="N75" s="411"/>
      <c r="O75" s="323">
        <v>52</v>
      </c>
    </row>
    <row r="76" spans="2:15" ht="69.900000000000006" customHeight="1" x14ac:dyDescent="0.25">
      <c r="B76" s="323">
        <v>66</v>
      </c>
      <c r="C76" s="323">
        <v>4</v>
      </c>
      <c r="D76" s="319" t="s">
        <v>5001</v>
      </c>
      <c r="E76" s="358" t="s">
        <v>4977</v>
      </c>
      <c r="F76" s="320">
        <v>6180000</v>
      </c>
      <c r="G76" s="367" t="s">
        <v>4878</v>
      </c>
      <c r="H76" s="319" t="s">
        <v>5003</v>
      </c>
      <c r="I76" s="319" t="s">
        <v>4976</v>
      </c>
      <c r="J76" s="319" t="s">
        <v>4878</v>
      </c>
      <c r="K76" s="322" t="s">
        <v>5004</v>
      </c>
      <c r="L76" s="397" t="s">
        <v>535</v>
      </c>
      <c r="M76" s="397" t="s">
        <v>5217</v>
      </c>
      <c r="N76" s="411"/>
      <c r="O76" s="323">
        <v>52</v>
      </c>
    </row>
    <row r="77" spans="2:15" ht="69.900000000000006" customHeight="1" x14ac:dyDescent="0.25">
      <c r="B77" s="323">
        <v>67</v>
      </c>
      <c r="C77" s="323">
        <v>4</v>
      </c>
      <c r="D77" s="319" t="s">
        <v>4981</v>
      </c>
      <c r="E77" s="358" t="s">
        <v>4977</v>
      </c>
      <c r="F77" s="320">
        <v>5900000</v>
      </c>
      <c r="G77" s="367" t="s">
        <v>4878</v>
      </c>
      <c r="H77" s="319" t="s">
        <v>4993</v>
      </c>
      <c r="I77" s="319" t="s">
        <v>4976</v>
      </c>
      <c r="J77" s="319" t="s">
        <v>4878</v>
      </c>
      <c r="K77" s="322" t="s">
        <v>4994</v>
      </c>
      <c r="L77" s="397" t="s">
        <v>542</v>
      </c>
      <c r="M77" s="397" t="s">
        <v>5184</v>
      </c>
      <c r="N77" s="411"/>
      <c r="O77" s="323">
        <v>52</v>
      </c>
    </row>
    <row r="78" spans="2:15" ht="69.900000000000006" customHeight="1" x14ac:dyDescent="0.25">
      <c r="B78" s="323">
        <v>68</v>
      </c>
      <c r="C78" s="323">
        <v>4</v>
      </c>
      <c r="D78" s="319" t="s">
        <v>4983</v>
      </c>
      <c r="E78" s="358" t="s">
        <v>4977</v>
      </c>
      <c r="F78" s="320">
        <v>6330000</v>
      </c>
      <c r="G78" s="367" t="s">
        <v>4878</v>
      </c>
      <c r="H78" s="319" t="s">
        <v>4997</v>
      </c>
      <c r="I78" s="319" t="s">
        <v>4976</v>
      </c>
      <c r="J78" s="319" t="s">
        <v>4878</v>
      </c>
      <c r="K78" s="322" t="s">
        <v>4998</v>
      </c>
      <c r="L78" s="397" t="s">
        <v>542</v>
      </c>
      <c r="M78" s="397" t="s">
        <v>5184</v>
      </c>
      <c r="N78" s="411"/>
      <c r="O78" s="323">
        <v>52</v>
      </c>
    </row>
    <row r="79" spans="2:15" ht="69.900000000000006" customHeight="1" x14ac:dyDescent="0.25">
      <c r="B79" s="323">
        <v>69</v>
      </c>
      <c r="C79" s="323">
        <v>4</v>
      </c>
      <c r="D79" s="319" t="s">
        <v>4984</v>
      </c>
      <c r="E79" s="358" t="s">
        <v>4977</v>
      </c>
      <c r="F79" s="320">
        <v>75325796</v>
      </c>
      <c r="G79" s="368" t="s">
        <v>4641</v>
      </c>
      <c r="H79" s="319" t="s">
        <v>4999</v>
      </c>
      <c r="I79" s="319" t="s">
        <v>4976</v>
      </c>
      <c r="J79" s="319" t="s">
        <v>4878</v>
      </c>
      <c r="K79" s="322" t="s">
        <v>5000</v>
      </c>
      <c r="L79" s="397"/>
      <c r="M79" s="397"/>
      <c r="N79" s="411"/>
      <c r="O79" s="323">
        <v>52</v>
      </c>
    </row>
    <row r="80" spans="2:15" ht="69.900000000000006" customHeight="1" x14ac:dyDescent="0.25">
      <c r="B80" s="323">
        <v>70</v>
      </c>
      <c r="C80" s="323">
        <v>4</v>
      </c>
      <c r="D80" s="319" t="s">
        <v>5002</v>
      </c>
      <c r="E80" s="358" t="s">
        <v>4977</v>
      </c>
      <c r="F80" s="320">
        <v>19929200</v>
      </c>
      <c r="G80" s="368" t="s">
        <v>4641</v>
      </c>
      <c r="H80" s="319" t="s">
        <v>5005</v>
      </c>
      <c r="I80" s="319" t="s">
        <v>4976</v>
      </c>
      <c r="J80" s="319" t="s">
        <v>4878</v>
      </c>
      <c r="K80" s="322" t="s">
        <v>5006</v>
      </c>
      <c r="L80" s="397"/>
      <c r="M80" s="397"/>
      <c r="N80" s="411"/>
      <c r="O80" s="323">
        <v>52</v>
      </c>
    </row>
    <row r="81" spans="2:15" ht="69.900000000000006" customHeight="1" x14ac:dyDescent="0.25">
      <c r="B81" s="323">
        <v>71</v>
      </c>
      <c r="C81" s="323">
        <v>4</v>
      </c>
      <c r="D81" s="319" t="s">
        <v>5172</v>
      </c>
      <c r="E81" s="358" t="s">
        <v>5142</v>
      </c>
      <c r="F81" s="354">
        <v>63640000</v>
      </c>
      <c r="G81" s="366" t="s">
        <v>5173</v>
      </c>
      <c r="H81" s="319" t="s">
        <v>5174</v>
      </c>
      <c r="I81" s="319" t="s">
        <v>5011</v>
      </c>
      <c r="J81" s="319" t="s">
        <v>4892</v>
      </c>
      <c r="K81" s="322" t="s">
        <v>5175</v>
      </c>
      <c r="L81" s="397" t="s">
        <v>576</v>
      </c>
      <c r="M81" s="397" t="s">
        <v>5183</v>
      </c>
      <c r="N81" s="411" t="s">
        <v>5376</v>
      </c>
      <c r="O81" s="323">
        <v>52</v>
      </c>
    </row>
    <row r="82" spans="2:15" ht="69.900000000000006" customHeight="1" x14ac:dyDescent="0.25">
      <c r="B82" s="323">
        <v>72</v>
      </c>
      <c r="C82" s="323">
        <v>4</v>
      </c>
      <c r="D82" s="319" t="s">
        <v>5140</v>
      </c>
      <c r="E82" s="358" t="s">
        <v>5121</v>
      </c>
      <c r="F82" s="320">
        <v>14352838</v>
      </c>
      <c r="G82" s="367" t="s">
        <v>4878</v>
      </c>
      <c r="H82" s="319" t="s">
        <v>5141</v>
      </c>
      <c r="I82" s="319" t="s">
        <v>5142</v>
      </c>
      <c r="J82" s="319" t="s">
        <v>4878</v>
      </c>
      <c r="K82" s="322" t="s">
        <v>5143</v>
      </c>
      <c r="L82" s="397" t="s">
        <v>576</v>
      </c>
      <c r="M82" s="397" t="s">
        <v>5183</v>
      </c>
      <c r="N82" s="411"/>
      <c r="O82" s="323">
        <v>52</v>
      </c>
    </row>
    <row r="83" spans="2:15" ht="69.900000000000006" customHeight="1" x14ac:dyDescent="0.25">
      <c r="B83" s="323">
        <v>73</v>
      </c>
      <c r="C83" s="323">
        <v>4</v>
      </c>
      <c r="D83" s="319" t="s">
        <v>5144</v>
      </c>
      <c r="E83" s="358" t="s">
        <v>5121</v>
      </c>
      <c r="F83" s="320">
        <v>3712700</v>
      </c>
      <c r="G83" s="367" t="s">
        <v>4878</v>
      </c>
      <c r="H83" s="319" t="s">
        <v>5145</v>
      </c>
      <c r="I83" s="319" t="s">
        <v>5123</v>
      </c>
      <c r="J83" s="319" t="s">
        <v>4878</v>
      </c>
      <c r="K83" s="322" t="s">
        <v>5146</v>
      </c>
      <c r="L83" s="397" t="s">
        <v>576</v>
      </c>
      <c r="M83" s="397" t="s">
        <v>5183</v>
      </c>
      <c r="N83" s="411"/>
      <c r="O83" s="323">
        <v>52</v>
      </c>
    </row>
    <row r="84" spans="2:15" ht="69.900000000000006" customHeight="1" x14ac:dyDescent="0.25">
      <c r="B84" s="323">
        <v>74</v>
      </c>
      <c r="C84" s="323">
        <v>4</v>
      </c>
      <c r="D84" s="319" t="s">
        <v>5128</v>
      </c>
      <c r="E84" s="358" t="s">
        <v>5121</v>
      </c>
      <c r="F84" s="320">
        <v>205000</v>
      </c>
      <c r="G84" s="367" t="s">
        <v>4878</v>
      </c>
      <c r="H84" s="319" t="s">
        <v>5129</v>
      </c>
      <c r="I84" s="319" t="s">
        <v>5123</v>
      </c>
      <c r="J84" s="319" t="s">
        <v>4878</v>
      </c>
      <c r="K84" s="322" t="s">
        <v>5130</v>
      </c>
      <c r="L84" s="397" t="s">
        <v>542</v>
      </c>
      <c r="M84" s="397" t="s">
        <v>5184</v>
      </c>
      <c r="N84" s="411"/>
      <c r="O84" s="323">
        <v>52</v>
      </c>
    </row>
    <row r="85" spans="2:15" ht="69.900000000000006" customHeight="1" x14ac:dyDescent="0.25">
      <c r="B85" s="323">
        <v>75</v>
      </c>
      <c r="C85" s="323">
        <v>4</v>
      </c>
      <c r="D85" s="319" t="s">
        <v>5125</v>
      </c>
      <c r="E85" s="358" t="s">
        <v>5121</v>
      </c>
      <c r="F85" s="320">
        <v>524500</v>
      </c>
      <c r="G85" s="367" t="s">
        <v>4878</v>
      </c>
      <c r="H85" s="319" t="s">
        <v>5126</v>
      </c>
      <c r="I85" s="319" t="s">
        <v>5123</v>
      </c>
      <c r="J85" s="319" t="s">
        <v>4878</v>
      </c>
      <c r="K85" s="322" t="s">
        <v>5127</v>
      </c>
      <c r="L85" s="397" t="s">
        <v>542</v>
      </c>
      <c r="M85" s="397" t="s">
        <v>5221</v>
      </c>
      <c r="N85" s="411"/>
      <c r="O85" s="323">
        <v>52</v>
      </c>
    </row>
    <row r="86" spans="2:15" ht="69.900000000000006" customHeight="1" x14ac:dyDescent="0.25">
      <c r="B86" s="323">
        <v>76</v>
      </c>
      <c r="C86" s="323">
        <v>4</v>
      </c>
      <c r="D86" s="319" t="s">
        <v>5120</v>
      </c>
      <c r="E86" s="358" t="s">
        <v>5121</v>
      </c>
      <c r="F86" s="320">
        <v>1790000</v>
      </c>
      <c r="G86" s="367" t="s">
        <v>4878</v>
      </c>
      <c r="H86" s="319" t="s">
        <v>5122</v>
      </c>
      <c r="I86" s="319" t="s">
        <v>5123</v>
      </c>
      <c r="J86" s="319" t="s">
        <v>4878</v>
      </c>
      <c r="K86" s="322" t="s">
        <v>5124</v>
      </c>
      <c r="L86" s="397" t="s">
        <v>542</v>
      </c>
      <c r="M86" s="397" t="s">
        <v>5221</v>
      </c>
      <c r="N86" s="411"/>
      <c r="O86" s="323">
        <v>52</v>
      </c>
    </row>
    <row r="87" spans="2:15" ht="69.900000000000006" customHeight="1" x14ac:dyDescent="0.25">
      <c r="B87" s="323">
        <v>77</v>
      </c>
      <c r="C87" s="323">
        <v>4</v>
      </c>
      <c r="D87" s="319" t="s">
        <v>5131</v>
      </c>
      <c r="E87" s="358" t="s">
        <v>5121</v>
      </c>
      <c r="F87" s="320">
        <v>1000000</v>
      </c>
      <c r="G87" s="367" t="s">
        <v>4878</v>
      </c>
      <c r="H87" s="319" t="s">
        <v>5132</v>
      </c>
      <c r="I87" s="319" t="s">
        <v>5123</v>
      </c>
      <c r="J87" s="319" t="s">
        <v>4878</v>
      </c>
      <c r="K87" s="322" t="s">
        <v>5133</v>
      </c>
      <c r="L87" s="397" t="s">
        <v>531</v>
      </c>
      <c r="M87" s="397" t="s">
        <v>5218</v>
      </c>
      <c r="N87" s="411"/>
      <c r="O87" s="323">
        <v>52</v>
      </c>
    </row>
    <row r="88" spans="2:15" ht="69.900000000000006" customHeight="1" x14ac:dyDescent="0.25">
      <c r="B88" s="323">
        <v>78</v>
      </c>
      <c r="C88" s="323">
        <v>5</v>
      </c>
      <c r="D88" s="319" t="s">
        <v>5031</v>
      </c>
      <c r="E88" s="358" t="s">
        <v>5032</v>
      </c>
      <c r="F88" s="320">
        <v>210863345</v>
      </c>
      <c r="G88" s="371" t="s">
        <v>5033</v>
      </c>
      <c r="H88" s="353" t="s">
        <v>5034</v>
      </c>
      <c r="I88" s="319" t="s">
        <v>4949</v>
      </c>
      <c r="J88" s="319" t="s">
        <v>4892</v>
      </c>
      <c r="K88" s="322" t="s">
        <v>5035</v>
      </c>
      <c r="L88" s="397" t="s">
        <v>576</v>
      </c>
      <c r="M88" s="397" t="s">
        <v>5185</v>
      </c>
      <c r="N88" s="411" t="s">
        <v>5375</v>
      </c>
      <c r="O88" s="323">
        <v>51</v>
      </c>
    </row>
    <row r="89" spans="2:15" ht="69.900000000000006" customHeight="1" x14ac:dyDescent="0.25">
      <c r="B89" s="323">
        <v>79</v>
      </c>
      <c r="C89" s="323">
        <v>5</v>
      </c>
      <c r="D89" s="319" t="s">
        <v>5180</v>
      </c>
      <c r="E89" s="358" t="s">
        <v>5179</v>
      </c>
      <c r="F89" s="320">
        <v>236089382</v>
      </c>
      <c r="G89" s="371" t="s">
        <v>4878</v>
      </c>
      <c r="H89" s="389" t="s">
        <v>5181</v>
      </c>
      <c r="I89" s="319" t="s">
        <v>5148</v>
      </c>
      <c r="J89" s="319" t="s">
        <v>4878</v>
      </c>
      <c r="K89" s="322" t="s">
        <v>5182</v>
      </c>
      <c r="L89" s="397" t="s">
        <v>576</v>
      </c>
      <c r="M89" s="397" t="s">
        <v>5185</v>
      </c>
      <c r="N89" s="411" t="s">
        <v>5375</v>
      </c>
      <c r="O89" s="323">
        <v>51</v>
      </c>
    </row>
    <row r="90" spans="2:15" ht="69.900000000000006" customHeight="1" x14ac:dyDescent="0.25">
      <c r="B90" s="323">
        <v>80</v>
      </c>
      <c r="C90" s="323">
        <v>5</v>
      </c>
      <c r="D90" s="319" t="s">
        <v>5203</v>
      </c>
      <c r="E90" s="358" t="s">
        <v>5204</v>
      </c>
      <c r="F90" s="320">
        <v>26312000</v>
      </c>
      <c r="G90" s="371" t="s">
        <v>5049</v>
      </c>
      <c r="H90" s="353" t="s">
        <v>5205</v>
      </c>
      <c r="I90" s="319" t="s">
        <v>5204</v>
      </c>
      <c r="J90" s="319" t="s">
        <v>4878</v>
      </c>
      <c r="K90" s="322" t="s">
        <v>5206</v>
      </c>
      <c r="L90" s="397" t="s">
        <v>576</v>
      </c>
      <c r="M90" s="397" t="s">
        <v>5185</v>
      </c>
      <c r="N90" s="411" t="s">
        <v>5375</v>
      </c>
      <c r="O90" s="323">
        <v>51</v>
      </c>
    </row>
    <row r="91" spans="2:15" ht="69.900000000000006" customHeight="1" x14ac:dyDescent="0.25">
      <c r="B91" s="323">
        <v>81</v>
      </c>
      <c r="C91" s="323">
        <v>5</v>
      </c>
      <c r="D91" s="319" t="s">
        <v>5207</v>
      </c>
      <c r="E91" s="358" t="s">
        <v>5208</v>
      </c>
      <c r="F91" s="320">
        <v>4745975</v>
      </c>
      <c r="G91" s="371" t="s">
        <v>4878</v>
      </c>
      <c r="H91" s="319" t="s">
        <v>5209</v>
      </c>
      <c r="I91" s="319" t="s">
        <v>5210</v>
      </c>
      <c r="J91" s="319" t="s">
        <v>4878</v>
      </c>
      <c r="K91" s="322" t="s">
        <v>5211</v>
      </c>
      <c r="L91" s="397" t="s">
        <v>576</v>
      </c>
      <c r="M91" s="397" t="s">
        <v>5185</v>
      </c>
      <c r="N91" s="411" t="s">
        <v>5375</v>
      </c>
      <c r="O91" s="323">
        <v>51</v>
      </c>
    </row>
    <row r="92" spans="2:15" ht="69.900000000000006" customHeight="1" x14ac:dyDescent="0.25">
      <c r="B92" s="323">
        <v>82</v>
      </c>
      <c r="C92" s="323">
        <v>5</v>
      </c>
      <c r="D92" s="319" t="s">
        <v>5212</v>
      </c>
      <c r="E92" s="358" t="s">
        <v>5208</v>
      </c>
      <c r="F92" s="320">
        <v>221543</v>
      </c>
      <c r="G92" s="371" t="s">
        <v>5061</v>
      </c>
      <c r="H92" s="319" t="s">
        <v>5213</v>
      </c>
      <c r="I92" s="319" t="s">
        <v>5210</v>
      </c>
      <c r="J92" s="319" t="s">
        <v>4878</v>
      </c>
      <c r="K92" s="322" t="s">
        <v>5214</v>
      </c>
      <c r="L92" s="397" t="s">
        <v>576</v>
      </c>
      <c r="M92" s="397" t="s">
        <v>5185</v>
      </c>
      <c r="N92" s="411" t="s">
        <v>5375</v>
      </c>
      <c r="O92" s="323">
        <v>51</v>
      </c>
    </row>
    <row r="93" spans="2:15" ht="69.900000000000006" customHeight="1" x14ac:dyDescent="0.25">
      <c r="B93" s="323">
        <v>83</v>
      </c>
      <c r="C93" s="323">
        <v>5</v>
      </c>
      <c r="D93" s="319" t="s">
        <v>5246</v>
      </c>
      <c r="E93" s="358" t="s">
        <v>5225</v>
      </c>
      <c r="F93" s="320">
        <v>2372988</v>
      </c>
      <c r="G93" s="371" t="s">
        <v>5037</v>
      </c>
      <c r="H93" s="319" t="s">
        <v>5247</v>
      </c>
      <c r="I93" s="319" t="s">
        <v>5227</v>
      </c>
      <c r="J93" s="319" t="s">
        <v>4878</v>
      </c>
      <c r="K93" s="322" t="s">
        <v>5043</v>
      </c>
      <c r="L93" s="385" t="s">
        <v>576</v>
      </c>
      <c r="M93" s="385" t="s">
        <v>5185</v>
      </c>
      <c r="N93" s="411" t="s">
        <v>5375</v>
      </c>
      <c r="O93" s="323">
        <v>51</v>
      </c>
    </row>
    <row r="94" spans="2:15" ht="69.900000000000006" customHeight="1" x14ac:dyDescent="0.25">
      <c r="B94" s="323">
        <v>84</v>
      </c>
      <c r="C94" s="323">
        <v>5</v>
      </c>
      <c r="D94" s="319" t="s">
        <v>5169</v>
      </c>
      <c r="E94" s="358" t="s">
        <v>5032</v>
      </c>
      <c r="F94" s="354">
        <v>63640000</v>
      </c>
      <c r="G94" s="366" t="s">
        <v>4889</v>
      </c>
      <c r="H94" s="319" t="s">
        <v>5170</v>
      </c>
      <c r="I94" s="319" t="s">
        <v>5011</v>
      </c>
      <c r="J94" s="319" t="s">
        <v>4892</v>
      </c>
      <c r="K94" s="322" t="s">
        <v>5171</v>
      </c>
      <c r="L94" s="397" t="s">
        <v>576</v>
      </c>
      <c r="M94" s="397" t="s">
        <v>5183</v>
      </c>
      <c r="N94" s="411" t="s">
        <v>5376</v>
      </c>
      <c r="O94" s="323">
        <v>52</v>
      </c>
    </row>
    <row r="95" spans="2:15" ht="69.900000000000006" customHeight="1" x14ac:dyDescent="0.25">
      <c r="B95" s="323">
        <v>85</v>
      </c>
      <c r="C95" s="323">
        <v>5</v>
      </c>
      <c r="D95" s="319" t="s">
        <v>5147</v>
      </c>
      <c r="E95" s="358" t="s">
        <v>5148</v>
      </c>
      <c r="F95" s="320">
        <v>540000000</v>
      </c>
      <c r="G95" s="407" t="s">
        <v>5149</v>
      </c>
      <c r="H95" s="319" t="s">
        <v>5150</v>
      </c>
      <c r="I95" s="319" t="s">
        <v>5151</v>
      </c>
      <c r="J95" s="319" t="s">
        <v>4878</v>
      </c>
      <c r="K95" s="322" t="s">
        <v>5152</v>
      </c>
      <c r="L95" s="397" t="s">
        <v>576</v>
      </c>
      <c r="M95" s="397" t="s">
        <v>5183</v>
      </c>
      <c r="N95" s="411" t="s">
        <v>5377</v>
      </c>
      <c r="O95" s="323">
        <v>53</v>
      </c>
    </row>
    <row r="96" spans="2:15" ht="69.900000000000006" customHeight="1" x14ac:dyDescent="0.25">
      <c r="B96" s="323">
        <v>86</v>
      </c>
      <c r="C96" s="323">
        <v>5</v>
      </c>
      <c r="D96" s="319" t="s">
        <v>5153</v>
      </c>
      <c r="E96" s="358" t="s">
        <v>5151</v>
      </c>
      <c r="F96" s="320">
        <v>900500</v>
      </c>
      <c r="G96" s="367" t="s">
        <v>4878</v>
      </c>
      <c r="H96" s="319" t="s">
        <v>5154</v>
      </c>
      <c r="I96" s="319" t="s">
        <v>5155</v>
      </c>
      <c r="J96" s="319" t="s">
        <v>4878</v>
      </c>
      <c r="K96" s="322" t="s">
        <v>5156</v>
      </c>
      <c r="L96" s="397" t="s">
        <v>542</v>
      </c>
      <c r="M96" s="397" t="s">
        <v>5184</v>
      </c>
      <c r="N96" s="411"/>
      <c r="O96" s="323">
        <v>52</v>
      </c>
    </row>
    <row r="97" spans="2:15" ht="69.900000000000006" customHeight="1" x14ac:dyDescent="0.25">
      <c r="B97" s="323">
        <v>87</v>
      </c>
      <c r="C97" s="323">
        <v>5</v>
      </c>
      <c r="D97" s="319" t="s">
        <v>5160</v>
      </c>
      <c r="E97" s="358" t="s">
        <v>5151</v>
      </c>
      <c r="F97" s="320">
        <v>3600000</v>
      </c>
      <c r="G97" s="367" t="s">
        <v>4878</v>
      </c>
      <c r="H97" s="319" t="s">
        <v>5161</v>
      </c>
      <c r="I97" s="319" t="s">
        <v>5155</v>
      </c>
      <c r="J97" s="319" t="s">
        <v>4878</v>
      </c>
      <c r="K97" s="322" t="s">
        <v>5162</v>
      </c>
      <c r="L97" s="397" t="s">
        <v>542</v>
      </c>
      <c r="M97" s="397" t="s">
        <v>5184</v>
      </c>
      <c r="N97" s="411"/>
      <c r="O97" s="323">
        <v>52</v>
      </c>
    </row>
    <row r="98" spans="2:15" ht="69.900000000000006" customHeight="1" x14ac:dyDescent="0.25">
      <c r="B98" s="323">
        <v>88</v>
      </c>
      <c r="C98" s="323">
        <v>5</v>
      </c>
      <c r="D98" s="319" t="s">
        <v>5163</v>
      </c>
      <c r="E98" s="358" t="s">
        <v>5151</v>
      </c>
      <c r="F98" s="320">
        <v>10960600</v>
      </c>
      <c r="G98" s="367" t="s">
        <v>4878</v>
      </c>
      <c r="H98" s="319" t="s">
        <v>5164</v>
      </c>
      <c r="I98" s="319" t="s">
        <v>5155</v>
      </c>
      <c r="J98" s="319" t="s">
        <v>4878</v>
      </c>
      <c r="K98" s="322" t="s">
        <v>5165</v>
      </c>
      <c r="L98" s="397" t="s">
        <v>542</v>
      </c>
      <c r="M98" s="397" t="s">
        <v>5184</v>
      </c>
      <c r="N98" s="411"/>
      <c r="O98" s="323">
        <v>52</v>
      </c>
    </row>
    <row r="99" spans="2:15" ht="69.900000000000006" customHeight="1" x14ac:dyDescent="0.25">
      <c r="B99" s="323">
        <v>89</v>
      </c>
      <c r="C99" s="323">
        <v>5</v>
      </c>
      <c r="D99" s="319" t="s">
        <v>5166</v>
      </c>
      <c r="E99" s="358" t="s">
        <v>5151</v>
      </c>
      <c r="F99" s="320">
        <v>930000</v>
      </c>
      <c r="G99" s="367" t="s">
        <v>4878</v>
      </c>
      <c r="H99" s="319" t="s">
        <v>5167</v>
      </c>
      <c r="I99" s="319" t="s">
        <v>5155</v>
      </c>
      <c r="J99" s="319" t="s">
        <v>4878</v>
      </c>
      <c r="K99" s="322" t="s">
        <v>5168</v>
      </c>
      <c r="L99" s="397" t="s">
        <v>535</v>
      </c>
      <c r="M99" s="397" t="s">
        <v>5217</v>
      </c>
      <c r="N99" s="411"/>
      <c r="O99" s="323">
        <v>52</v>
      </c>
    </row>
    <row r="100" spans="2:15" ht="69.900000000000006" customHeight="1" x14ac:dyDescent="0.25">
      <c r="B100" s="323">
        <v>90</v>
      </c>
      <c r="C100" s="323">
        <v>5</v>
      </c>
      <c r="D100" s="319" t="s">
        <v>5157</v>
      </c>
      <c r="E100" s="358" t="s">
        <v>5151</v>
      </c>
      <c r="F100" s="320">
        <v>872000</v>
      </c>
      <c r="G100" s="367" t="s">
        <v>4878</v>
      </c>
      <c r="H100" s="319" t="s">
        <v>5158</v>
      </c>
      <c r="I100" s="319" t="s">
        <v>5155</v>
      </c>
      <c r="J100" s="319" t="s">
        <v>4878</v>
      </c>
      <c r="K100" s="322" t="s">
        <v>5159</v>
      </c>
      <c r="L100" s="397" t="s">
        <v>531</v>
      </c>
      <c r="M100" s="397" t="s">
        <v>5218</v>
      </c>
      <c r="N100" s="411"/>
      <c r="O100" s="323">
        <v>52</v>
      </c>
    </row>
    <row r="101" spans="2:15" ht="69.900000000000006" customHeight="1" x14ac:dyDescent="0.25">
      <c r="B101" s="323">
        <v>91</v>
      </c>
      <c r="C101" s="323">
        <v>5</v>
      </c>
      <c r="D101" s="321" t="s">
        <v>5200</v>
      </c>
      <c r="E101" s="409" t="s">
        <v>5194</v>
      </c>
      <c r="F101" s="365">
        <v>114200000</v>
      </c>
      <c r="G101" s="407" t="s">
        <v>5149</v>
      </c>
      <c r="H101" s="321" t="s">
        <v>5201</v>
      </c>
      <c r="I101" s="321" t="s">
        <v>5179</v>
      </c>
      <c r="J101" s="321" t="s">
        <v>4878</v>
      </c>
      <c r="K101" s="322" t="s">
        <v>5202</v>
      </c>
      <c r="L101" s="397" t="s">
        <v>576</v>
      </c>
      <c r="M101" s="397" t="s">
        <v>5183</v>
      </c>
      <c r="N101" s="411" t="s">
        <v>5377</v>
      </c>
      <c r="O101" s="323">
        <v>53</v>
      </c>
    </row>
    <row r="102" spans="2:15" ht="69.900000000000006" customHeight="1" x14ac:dyDescent="0.25">
      <c r="B102" s="323">
        <v>92</v>
      </c>
      <c r="C102" s="323">
        <v>5</v>
      </c>
      <c r="D102" s="321" t="s">
        <v>5193</v>
      </c>
      <c r="E102" s="409" t="s">
        <v>5194</v>
      </c>
      <c r="F102" s="365">
        <v>93939616</v>
      </c>
      <c r="G102" s="368" t="s">
        <v>4641</v>
      </c>
      <c r="H102" s="321" t="s">
        <v>5195</v>
      </c>
      <c r="I102" s="321" t="s">
        <v>5196</v>
      </c>
      <c r="J102" s="321" t="s">
        <v>4878</v>
      </c>
      <c r="K102" s="322" t="s">
        <v>5197</v>
      </c>
      <c r="L102" s="397"/>
      <c r="M102" s="397"/>
      <c r="N102" s="411"/>
      <c r="O102" s="323">
        <v>52</v>
      </c>
    </row>
    <row r="103" spans="2:15" ht="69.900000000000006" customHeight="1" x14ac:dyDescent="0.25">
      <c r="B103" s="323">
        <v>93</v>
      </c>
      <c r="C103" s="323">
        <v>5</v>
      </c>
      <c r="D103" s="321" t="s">
        <v>5198</v>
      </c>
      <c r="E103" s="409" t="s">
        <v>5194</v>
      </c>
      <c r="F103" s="365">
        <v>1500000</v>
      </c>
      <c r="G103" s="368" t="s">
        <v>4641</v>
      </c>
      <c r="H103" s="321" t="s">
        <v>5199</v>
      </c>
      <c r="I103" s="321" t="s">
        <v>5196</v>
      </c>
      <c r="J103" s="321" t="s">
        <v>4878</v>
      </c>
      <c r="K103" s="322" t="s">
        <v>5197</v>
      </c>
      <c r="L103" s="397"/>
      <c r="M103" s="397"/>
      <c r="N103" s="411"/>
      <c r="O103" s="323">
        <v>52</v>
      </c>
    </row>
    <row r="104" spans="2:15" ht="69.900000000000006" customHeight="1" x14ac:dyDescent="0.25">
      <c r="B104" s="323">
        <v>94</v>
      </c>
      <c r="C104" s="323">
        <v>5</v>
      </c>
      <c r="D104" s="319" t="s">
        <v>5240</v>
      </c>
      <c r="E104" s="358" t="s">
        <v>5225</v>
      </c>
      <c r="F104" s="320">
        <v>448000</v>
      </c>
      <c r="G104" s="367" t="s">
        <v>4878</v>
      </c>
      <c r="H104" s="319" t="s">
        <v>5241</v>
      </c>
      <c r="I104" s="319" t="s">
        <v>5227</v>
      </c>
      <c r="J104" s="319" t="s">
        <v>4878</v>
      </c>
      <c r="K104" s="322" t="s">
        <v>5242</v>
      </c>
      <c r="L104" s="385" t="s">
        <v>542</v>
      </c>
      <c r="M104" s="385" t="s">
        <v>5184</v>
      </c>
      <c r="N104" s="411"/>
      <c r="O104" s="323">
        <v>52</v>
      </c>
    </row>
    <row r="105" spans="2:15" ht="69.900000000000006" customHeight="1" x14ac:dyDescent="0.25">
      <c r="B105" s="323">
        <v>95</v>
      </c>
      <c r="C105" s="323">
        <v>5</v>
      </c>
      <c r="D105" s="319" t="s">
        <v>5253</v>
      </c>
      <c r="E105" s="358" t="s">
        <v>5225</v>
      </c>
      <c r="F105" s="320">
        <v>1040000</v>
      </c>
      <c r="G105" s="367" t="s">
        <v>4878</v>
      </c>
      <c r="H105" s="319" t="s">
        <v>5254</v>
      </c>
      <c r="I105" s="319" t="s">
        <v>5227</v>
      </c>
      <c r="J105" s="319" t="s">
        <v>4878</v>
      </c>
      <c r="K105" s="322" t="s">
        <v>5255</v>
      </c>
      <c r="L105" s="385" t="s">
        <v>531</v>
      </c>
      <c r="M105" s="385" t="s">
        <v>5219</v>
      </c>
      <c r="N105" s="411"/>
      <c r="O105" s="323">
        <v>52</v>
      </c>
    </row>
    <row r="106" spans="2:15" ht="69.900000000000006" customHeight="1" x14ac:dyDescent="0.25">
      <c r="B106" s="323">
        <v>96</v>
      </c>
      <c r="C106" s="323">
        <v>5</v>
      </c>
      <c r="D106" s="319" t="s">
        <v>5237</v>
      </c>
      <c r="E106" s="358" t="s">
        <v>5225</v>
      </c>
      <c r="F106" s="320">
        <v>14922000</v>
      </c>
      <c r="G106" s="367" t="s">
        <v>4878</v>
      </c>
      <c r="H106" s="319" t="s">
        <v>5238</v>
      </c>
      <c r="I106" s="319" t="s">
        <v>5227</v>
      </c>
      <c r="J106" s="319" t="s">
        <v>4878</v>
      </c>
      <c r="K106" s="322" t="s">
        <v>5239</v>
      </c>
      <c r="L106" s="385" t="s">
        <v>531</v>
      </c>
      <c r="M106" s="385" t="s">
        <v>5218</v>
      </c>
      <c r="N106" s="411"/>
      <c r="O106" s="323">
        <v>52</v>
      </c>
    </row>
    <row r="107" spans="2:15" ht="69.900000000000006" customHeight="1" x14ac:dyDescent="0.25">
      <c r="B107" s="323">
        <v>97</v>
      </c>
      <c r="C107" s="323">
        <v>5</v>
      </c>
      <c r="D107" s="319" t="s">
        <v>5243</v>
      </c>
      <c r="E107" s="358" t="s">
        <v>5225</v>
      </c>
      <c r="F107" s="320">
        <v>3184000</v>
      </c>
      <c r="G107" s="367" t="s">
        <v>4878</v>
      </c>
      <c r="H107" s="319" t="s">
        <v>5244</v>
      </c>
      <c r="I107" s="319" t="s">
        <v>5227</v>
      </c>
      <c r="J107" s="319" t="s">
        <v>4878</v>
      </c>
      <c r="K107" s="322" t="s">
        <v>5245</v>
      </c>
      <c r="L107" s="385" t="s">
        <v>542</v>
      </c>
      <c r="M107" s="385" t="s">
        <v>5184</v>
      </c>
      <c r="N107" s="411"/>
      <c r="O107" s="323">
        <v>52</v>
      </c>
    </row>
    <row r="108" spans="2:15" ht="69.900000000000006" customHeight="1" x14ac:dyDescent="0.25">
      <c r="B108" s="323">
        <v>98</v>
      </c>
      <c r="C108" s="323">
        <v>5</v>
      </c>
      <c r="D108" s="319" t="s">
        <v>5248</v>
      </c>
      <c r="E108" s="358" t="s">
        <v>5225</v>
      </c>
      <c r="F108" s="320">
        <v>3620000</v>
      </c>
      <c r="G108" s="367" t="s">
        <v>4878</v>
      </c>
      <c r="H108" s="319" t="s">
        <v>5249</v>
      </c>
      <c r="I108" s="319" t="s">
        <v>5227</v>
      </c>
      <c r="J108" s="319" t="s">
        <v>4878</v>
      </c>
      <c r="K108" s="322" t="s">
        <v>5250</v>
      </c>
      <c r="L108" s="385" t="s">
        <v>531</v>
      </c>
      <c r="M108" s="385" t="s">
        <v>5218</v>
      </c>
      <c r="N108" s="411"/>
      <c r="O108" s="323">
        <v>52</v>
      </c>
    </row>
    <row r="109" spans="2:15" ht="69.900000000000006" customHeight="1" x14ac:dyDescent="0.25">
      <c r="B109" s="323">
        <v>99</v>
      </c>
      <c r="C109" s="323">
        <v>5</v>
      </c>
      <c r="D109" s="319" t="s">
        <v>5234</v>
      </c>
      <c r="E109" s="358" t="s">
        <v>5225</v>
      </c>
      <c r="F109" s="320">
        <v>1250000</v>
      </c>
      <c r="G109" s="367" t="s">
        <v>4878</v>
      </c>
      <c r="H109" s="319" t="s">
        <v>5235</v>
      </c>
      <c r="I109" s="319" t="s">
        <v>5227</v>
      </c>
      <c r="J109" s="319" t="s">
        <v>4878</v>
      </c>
      <c r="K109" s="322" t="s">
        <v>5236</v>
      </c>
      <c r="L109" s="385" t="s">
        <v>531</v>
      </c>
      <c r="M109" s="385" t="s">
        <v>5219</v>
      </c>
      <c r="N109" s="411"/>
      <c r="O109" s="323">
        <v>52</v>
      </c>
    </row>
    <row r="110" spans="2:15" ht="69.900000000000006" customHeight="1" x14ac:dyDescent="0.25">
      <c r="B110" s="323">
        <v>100</v>
      </c>
      <c r="C110" s="323">
        <v>5</v>
      </c>
      <c r="D110" s="319" t="s">
        <v>5251</v>
      </c>
      <c r="E110" s="358" t="s">
        <v>5225</v>
      </c>
      <c r="F110" s="320">
        <v>74895594</v>
      </c>
      <c r="G110" s="368" t="s">
        <v>4641</v>
      </c>
      <c r="H110" s="319" t="s">
        <v>5252</v>
      </c>
      <c r="I110" s="319" t="s">
        <v>5227</v>
      </c>
      <c r="J110" s="319" t="s">
        <v>4878</v>
      </c>
      <c r="K110" s="322" t="s">
        <v>5231</v>
      </c>
      <c r="L110" s="385"/>
      <c r="M110" s="385"/>
      <c r="N110" s="411"/>
      <c r="O110" s="323">
        <v>52</v>
      </c>
    </row>
    <row r="111" spans="2:15" ht="69.900000000000006" customHeight="1" x14ac:dyDescent="0.25">
      <c r="B111" s="323">
        <v>101</v>
      </c>
      <c r="C111" s="323">
        <v>5</v>
      </c>
      <c r="D111" s="319" t="s">
        <v>5229</v>
      </c>
      <c r="E111" s="358" t="s">
        <v>5225</v>
      </c>
      <c r="F111" s="320">
        <v>10182883</v>
      </c>
      <c r="G111" s="368" t="s">
        <v>4641</v>
      </c>
      <c r="H111" s="319" t="s">
        <v>5230</v>
      </c>
      <c r="I111" s="319" t="s">
        <v>5227</v>
      </c>
      <c r="J111" s="319" t="s">
        <v>4878</v>
      </c>
      <c r="K111" s="322" t="s">
        <v>5231</v>
      </c>
      <c r="L111" s="385"/>
      <c r="M111" s="385"/>
      <c r="N111" s="411"/>
      <c r="O111" s="323">
        <v>52</v>
      </c>
    </row>
    <row r="112" spans="2:15" ht="69.900000000000006" customHeight="1" x14ac:dyDescent="0.25">
      <c r="B112" s="323">
        <v>102</v>
      </c>
      <c r="C112" s="323">
        <v>5</v>
      </c>
      <c r="D112" s="319" t="s">
        <v>5232</v>
      </c>
      <c r="E112" s="358" t="s">
        <v>5225</v>
      </c>
      <c r="F112" s="320">
        <v>8760100</v>
      </c>
      <c r="G112" s="368" t="s">
        <v>4641</v>
      </c>
      <c r="H112" s="319" t="s">
        <v>5233</v>
      </c>
      <c r="I112" s="319" t="s">
        <v>5227</v>
      </c>
      <c r="J112" s="319" t="s">
        <v>4878</v>
      </c>
      <c r="K112" s="322" t="s">
        <v>5231</v>
      </c>
      <c r="L112" s="385"/>
      <c r="M112" s="385"/>
      <c r="N112" s="411"/>
      <c r="O112" s="323">
        <v>52</v>
      </c>
    </row>
    <row r="113" spans="2:15" ht="69.900000000000006" customHeight="1" x14ac:dyDescent="0.25">
      <c r="B113" s="323">
        <v>103</v>
      </c>
      <c r="C113" s="323">
        <v>5</v>
      </c>
      <c r="D113" s="319" t="s">
        <v>5224</v>
      </c>
      <c r="E113" s="358" t="s">
        <v>5225</v>
      </c>
      <c r="F113" s="320">
        <v>312088731</v>
      </c>
      <c r="G113" s="369" t="s">
        <v>4902</v>
      </c>
      <c r="H113" s="319" t="s">
        <v>5226</v>
      </c>
      <c r="I113" s="319" t="s">
        <v>5227</v>
      </c>
      <c r="J113" s="319" t="s">
        <v>4905</v>
      </c>
      <c r="K113" s="322" t="s">
        <v>5228</v>
      </c>
      <c r="L113" s="385"/>
      <c r="M113" s="385"/>
      <c r="N113" s="411"/>
      <c r="O113" s="323">
        <v>52</v>
      </c>
    </row>
    <row r="114" spans="2:15" ht="69.900000000000006" customHeight="1" x14ac:dyDescent="0.25">
      <c r="B114" s="323">
        <v>107</v>
      </c>
      <c r="C114" s="323">
        <v>6</v>
      </c>
      <c r="D114" s="319" t="s">
        <v>5271</v>
      </c>
      <c r="E114" s="358" t="s">
        <v>5273</v>
      </c>
      <c r="F114" s="320">
        <v>11850000</v>
      </c>
      <c r="G114" s="394" t="s">
        <v>4878</v>
      </c>
      <c r="H114" s="321" t="s">
        <v>5274</v>
      </c>
      <c r="I114" s="319" t="s">
        <v>5272</v>
      </c>
      <c r="J114" s="319" t="s">
        <v>4878</v>
      </c>
      <c r="K114" s="322" t="s">
        <v>5275</v>
      </c>
      <c r="L114" s="385" t="s">
        <v>542</v>
      </c>
      <c r="M114" s="385" t="s">
        <v>5184</v>
      </c>
      <c r="N114" s="411" t="s">
        <v>5374</v>
      </c>
      <c r="O114" s="323">
        <v>52</v>
      </c>
    </row>
    <row r="115" spans="2:15" ht="69.900000000000006" customHeight="1" x14ac:dyDescent="0.25">
      <c r="B115" s="323">
        <v>108</v>
      </c>
      <c r="C115" s="323">
        <v>6</v>
      </c>
      <c r="D115" s="319" t="s">
        <v>5291</v>
      </c>
      <c r="E115" s="358" t="s">
        <v>5273</v>
      </c>
      <c r="F115" s="320">
        <v>8750000</v>
      </c>
      <c r="G115" s="394" t="s">
        <v>5149</v>
      </c>
      <c r="H115" s="321" t="s">
        <v>5292</v>
      </c>
      <c r="I115" s="319" t="s">
        <v>5272</v>
      </c>
      <c r="J115" s="319" t="s">
        <v>4878</v>
      </c>
      <c r="K115" s="322" t="s">
        <v>5293</v>
      </c>
      <c r="L115" s="385" t="s">
        <v>542</v>
      </c>
      <c r="M115" s="385" t="s">
        <v>5184</v>
      </c>
      <c r="N115" s="411" t="s">
        <v>5374</v>
      </c>
      <c r="O115" s="323">
        <v>52</v>
      </c>
    </row>
    <row r="116" spans="2:15" ht="69.900000000000006" customHeight="1" x14ac:dyDescent="0.25">
      <c r="B116" s="323">
        <v>109</v>
      </c>
      <c r="C116" s="323">
        <v>6</v>
      </c>
      <c r="D116" s="319" t="s">
        <v>5288</v>
      </c>
      <c r="E116" s="358" t="s">
        <v>5273</v>
      </c>
      <c r="F116" s="320">
        <v>136000000</v>
      </c>
      <c r="G116" s="394" t="s">
        <v>5149</v>
      </c>
      <c r="H116" s="321" t="s">
        <v>5289</v>
      </c>
      <c r="I116" s="319" t="s">
        <v>5272</v>
      </c>
      <c r="J116" s="319" t="s">
        <v>4878</v>
      </c>
      <c r="K116" s="322" t="s">
        <v>5290</v>
      </c>
      <c r="L116" s="385" t="s">
        <v>542</v>
      </c>
      <c r="M116" s="385" t="s">
        <v>5184</v>
      </c>
      <c r="N116" s="411" t="s">
        <v>5374</v>
      </c>
      <c r="O116" s="323">
        <v>52</v>
      </c>
    </row>
    <row r="117" spans="2:15" ht="69.900000000000006" customHeight="1" x14ac:dyDescent="0.25">
      <c r="B117" s="323">
        <v>110</v>
      </c>
      <c r="C117" s="323">
        <v>6</v>
      </c>
      <c r="D117" s="319" t="s">
        <v>5303</v>
      </c>
      <c r="E117" s="358" t="s">
        <v>5273</v>
      </c>
      <c r="F117" s="320">
        <v>202275000</v>
      </c>
      <c r="G117" s="394" t="s">
        <v>5149</v>
      </c>
      <c r="H117" s="321" t="s">
        <v>5304</v>
      </c>
      <c r="I117" s="319" t="s">
        <v>5272</v>
      </c>
      <c r="J117" s="319" t="s">
        <v>4878</v>
      </c>
      <c r="K117" s="322" t="s">
        <v>5305</v>
      </c>
      <c r="L117" s="385" t="s">
        <v>542</v>
      </c>
      <c r="M117" s="385" t="s">
        <v>5184</v>
      </c>
      <c r="N117" s="411" t="s">
        <v>5374</v>
      </c>
      <c r="O117" s="323">
        <v>52</v>
      </c>
    </row>
    <row r="118" spans="2:15" ht="69.900000000000006" customHeight="1" x14ac:dyDescent="0.25">
      <c r="B118" s="323">
        <v>111</v>
      </c>
      <c r="C118" s="323">
        <v>6</v>
      </c>
      <c r="D118" s="319" t="s">
        <v>5276</v>
      </c>
      <c r="E118" s="358" t="s">
        <v>5273</v>
      </c>
      <c r="F118" s="320">
        <v>32800000</v>
      </c>
      <c r="G118" s="394" t="s">
        <v>5149</v>
      </c>
      <c r="H118" s="321" t="s">
        <v>5277</v>
      </c>
      <c r="I118" s="319" t="s">
        <v>5272</v>
      </c>
      <c r="J118" s="319" t="s">
        <v>4878</v>
      </c>
      <c r="K118" s="322" t="s">
        <v>5278</v>
      </c>
      <c r="L118" s="385" t="s">
        <v>542</v>
      </c>
      <c r="M118" s="385" t="s">
        <v>5184</v>
      </c>
      <c r="N118" s="411" t="s">
        <v>5374</v>
      </c>
      <c r="O118" s="323">
        <v>52</v>
      </c>
    </row>
    <row r="119" spans="2:15" ht="69.900000000000006" customHeight="1" x14ac:dyDescent="0.25">
      <c r="B119" s="323">
        <v>112</v>
      </c>
      <c r="C119" s="323">
        <v>6</v>
      </c>
      <c r="D119" s="319" t="s">
        <v>5294</v>
      </c>
      <c r="E119" s="358" t="s">
        <v>5273</v>
      </c>
      <c r="F119" s="320">
        <v>39150000</v>
      </c>
      <c r="G119" s="394" t="s">
        <v>5149</v>
      </c>
      <c r="H119" s="321" t="s">
        <v>5295</v>
      </c>
      <c r="I119" s="319" t="s">
        <v>5272</v>
      </c>
      <c r="J119" s="319" t="s">
        <v>4878</v>
      </c>
      <c r="K119" s="322" t="s">
        <v>5296</v>
      </c>
      <c r="L119" s="385" t="s">
        <v>542</v>
      </c>
      <c r="M119" s="385" t="s">
        <v>5184</v>
      </c>
      <c r="N119" s="411" t="s">
        <v>5374</v>
      </c>
      <c r="O119" s="323">
        <v>52</v>
      </c>
    </row>
    <row r="120" spans="2:15" ht="69.900000000000006" customHeight="1" x14ac:dyDescent="0.25">
      <c r="B120" s="323">
        <v>113</v>
      </c>
      <c r="C120" s="323">
        <v>6</v>
      </c>
      <c r="D120" s="353" t="s">
        <v>5309</v>
      </c>
      <c r="E120" s="359" t="s">
        <v>5310</v>
      </c>
      <c r="F120" s="354">
        <v>180000000</v>
      </c>
      <c r="G120" s="399" t="s">
        <v>4878</v>
      </c>
      <c r="H120" s="353" t="s">
        <v>5311</v>
      </c>
      <c r="I120" s="353" t="s">
        <v>5273</v>
      </c>
      <c r="J120" s="353" t="s">
        <v>4878</v>
      </c>
      <c r="K120" s="355" t="s">
        <v>5312</v>
      </c>
      <c r="L120" s="385" t="s">
        <v>542</v>
      </c>
      <c r="M120" s="385" t="s">
        <v>5184</v>
      </c>
      <c r="N120" s="411" t="s">
        <v>5374</v>
      </c>
      <c r="O120" s="323">
        <v>52</v>
      </c>
    </row>
    <row r="121" spans="2:15" ht="69.900000000000006" customHeight="1" x14ac:dyDescent="0.25">
      <c r="B121" s="323">
        <v>114</v>
      </c>
      <c r="C121" s="323">
        <v>6</v>
      </c>
      <c r="D121" s="353" t="s">
        <v>5331</v>
      </c>
      <c r="E121" s="359" t="s">
        <v>5310</v>
      </c>
      <c r="F121" s="354">
        <v>30000000</v>
      </c>
      <c r="G121" s="394" t="s">
        <v>4878</v>
      </c>
      <c r="H121" s="353" t="s">
        <v>5332</v>
      </c>
      <c r="I121" s="353" t="s">
        <v>5273</v>
      </c>
      <c r="J121" s="353" t="s">
        <v>4878</v>
      </c>
      <c r="K121" s="355" t="s">
        <v>5333</v>
      </c>
      <c r="L121" s="385" t="s">
        <v>542</v>
      </c>
      <c r="M121" s="385" t="s">
        <v>5184</v>
      </c>
      <c r="N121" s="411" t="s">
        <v>5374</v>
      </c>
      <c r="O121" s="323">
        <v>52</v>
      </c>
    </row>
    <row r="122" spans="2:15" ht="69.900000000000006" customHeight="1" x14ac:dyDescent="0.25">
      <c r="B122" s="323">
        <v>115</v>
      </c>
      <c r="C122" s="323">
        <v>6</v>
      </c>
      <c r="D122" s="319" t="s">
        <v>5340</v>
      </c>
      <c r="E122" s="358" t="s">
        <v>5341</v>
      </c>
      <c r="F122" s="320">
        <v>6750000</v>
      </c>
      <c r="G122" s="394" t="s">
        <v>5149</v>
      </c>
      <c r="H122" s="319" t="s">
        <v>5342</v>
      </c>
      <c r="I122" s="319" t="s">
        <v>5273</v>
      </c>
      <c r="J122" s="319" t="s">
        <v>4878</v>
      </c>
      <c r="K122" s="355" t="s">
        <v>5343</v>
      </c>
      <c r="L122" s="385" t="s">
        <v>542</v>
      </c>
      <c r="M122" s="385" t="s">
        <v>5184</v>
      </c>
      <c r="N122" s="411" t="s">
        <v>5374</v>
      </c>
      <c r="O122" s="323">
        <v>52</v>
      </c>
    </row>
    <row r="123" spans="2:15" ht="69.900000000000006" customHeight="1" x14ac:dyDescent="0.25">
      <c r="B123" s="323">
        <v>116</v>
      </c>
      <c r="C123" s="323">
        <v>6</v>
      </c>
      <c r="D123" s="319" t="s">
        <v>5344</v>
      </c>
      <c r="E123" s="358" t="s">
        <v>5341</v>
      </c>
      <c r="F123" s="320">
        <v>14000000</v>
      </c>
      <c r="G123" s="394" t="s">
        <v>5149</v>
      </c>
      <c r="H123" s="319" t="s">
        <v>5345</v>
      </c>
      <c r="I123" s="319" t="s">
        <v>5273</v>
      </c>
      <c r="J123" s="319" t="s">
        <v>4878</v>
      </c>
      <c r="K123" s="355" t="s">
        <v>5346</v>
      </c>
      <c r="L123" s="385" t="s">
        <v>542</v>
      </c>
      <c r="M123" s="385" t="s">
        <v>5184</v>
      </c>
      <c r="N123" s="411" t="s">
        <v>5374</v>
      </c>
      <c r="O123" s="323">
        <v>52</v>
      </c>
    </row>
    <row r="124" spans="2:15" ht="69.900000000000006" customHeight="1" x14ac:dyDescent="0.25">
      <c r="B124" s="323">
        <v>117</v>
      </c>
      <c r="C124" s="323">
        <v>6</v>
      </c>
      <c r="D124" s="319" t="s">
        <v>5356</v>
      </c>
      <c r="E124" s="358" t="s">
        <v>5341</v>
      </c>
      <c r="F124" s="320">
        <v>185225000</v>
      </c>
      <c r="G124" s="394" t="s">
        <v>5149</v>
      </c>
      <c r="H124" s="319" t="s">
        <v>5357</v>
      </c>
      <c r="I124" s="319" t="s">
        <v>5273</v>
      </c>
      <c r="J124" s="319" t="s">
        <v>4878</v>
      </c>
      <c r="K124" s="355" t="s">
        <v>5358</v>
      </c>
      <c r="L124" s="385" t="s">
        <v>542</v>
      </c>
      <c r="M124" s="385" t="s">
        <v>5184</v>
      </c>
      <c r="N124" s="411" t="s">
        <v>5374</v>
      </c>
      <c r="O124" s="323">
        <v>52</v>
      </c>
    </row>
    <row r="125" spans="2:15" ht="69.900000000000006" customHeight="1" x14ac:dyDescent="0.25">
      <c r="B125" s="323">
        <v>118</v>
      </c>
      <c r="C125" s="323">
        <v>6</v>
      </c>
      <c r="D125" s="319" t="s">
        <v>5350</v>
      </c>
      <c r="E125" s="358" t="s">
        <v>5341</v>
      </c>
      <c r="F125" s="320">
        <v>436225000</v>
      </c>
      <c r="G125" s="394" t="s">
        <v>5149</v>
      </c>
      <c r="H125" s="319" t="s">
        <v>5351</v>
      </c>
      <c r="I125" s="319" t="s">
        <v>5273</v>
      </c>
      <c r="J125" s="319" t="s">
        <v>4878</v>
      </c>
      <c r="K125" s="355" t="s">
        <v>5352</v>
      </c>
      <c r="L125" s="385" t="s">
        <v>542</v>
      </c>
      <c r="M125" s="385" t="s">
        <v>5184</v>
      </c>
      <c r="N125" s="411" t="s">
        <v>5374</v>
      </c>
      <c r="O125" s="323">
        <v>52</v>
      </c>
    </row>
    <row r="126" spans="2:15" ht="69.900000000000006" customHeight="1" x14ac:dyDescent="0.25">
      <c r="B126" s="323">
        <v>119</v>
      </c>
      <c r="C126" s="323">
        <v>6</v>
      </c>
      <c r="D126" s="319" t="s">
        <v>5371</v>
      </c>
      <c r="E126" s="358" t="s">
        <v>5341</v>
      </c>
      <c r="F126" s="320">
        <v>9000000</v>
      </c>
      <c r="G126" s="394" t="s">
        <v>5149</v>
      </c>
      <c r="H126" s="319" t="s">
        <v>5372</v>
      </c>
      <c r="I126" s="319" t="s">
        <v>5310</v>
      </c>
      <c r="J126" s="319" t="s">
        <v>4878</v>
      </c>
      <c r="K126" s="355" t="s">
        <v>5373</v>
      </c>
      <c r="L126" s="385" t="s">
        <v>542</v>
      </c>
      <c r="M126" s="385" t="s">
        <v>5184</v>
      </c>
      <c r="N126" s="411" t="s">
        <v>5374</v>
      </c>
      <c r="O126" s="323">
        <v>52</v>
      </c>
    </row>
    <row r="127" spans="2:15" ht="69.900000000000006" customHeight="1" x14ac:dyDescent="0.25">
      <c r="B127" s="323">
        <v>120</v>
      </c>
      <c r="C127" s="323">
        <v>6</v>
      </c>
      <c r="D127" s="319" t="s">
        <v>5362</v>
      </c>
      <c r="E127" s="358" t="s">
        <v>5341</v>
      </c>
      <c r="F127" s="320">
        <v>36000000</v>
      </c>
      <c r="G127" s="394" t="s">
        <v>5149</v>
      </c>
      <c r="H127" s="319" t="s">
        <v>5363</v>
      </c>
      <c r="I127" s="319" t="s">
        <v>5310</v>
      </c>
      <c r="J127" s="319" t="s">
        <v>4878</v>
      </c>
      <c r="K127" s="355" t="s">
        <v>5364</v>
      </c>
      <c r="L127" s="385" t="s">
        <v>542</v>
      </c>
      <c r="M127" s="385" t="s">
        <v>5184</v>
      </c>
      <c r="N127" s="411" t="s">
        <v>5374</v>
      </c>
      <c r="O127" s="323">
        <v>52</v>
      </c>
    </row>
    <row r="128" spans="2:15" ht="69.900000000000006" customHeight="1" x14ac:dyDescent="0.25">
      <c r="B128" s="323">
        <v>121</v>
      </c>
      <c r="C128" s="323">
        <v>6</v>
      </c>
      <c r="D128" s="319" t="s">
        <v>5359</v>
      </c>
      <c r="E128" s="358" t="s">
        <v>5341</v>
      </c>
      <c r="F128" s="320">
        <v>46500000</v>
      </c>
      <c r="G128" s="394" t="s">
        <v>5149</v>
      </c>
      <c r="H128" s="319" t="s">
        <v>5360</v>
      </c>
      <c r="I128" s="319" t="s">
        <v>5310</v>
      </c>
      <c r="J128" s="319" t="s">
        <v>4878</v>
      </c>
      <c r="K128" s="355" t="s">
        <v>5361</v>
      </c>
      <c r="L128" s="385" t="s">
        <v>542</v>
      </c>
      <c r="M128" s="385" t="s">
        <v>5184</v>
      </c>
      <c r="N128" s="411" t="s">
        <v>5374</v>
      </c>
      <c r="O128" s="323">
        <v>52</v>
      </c>
    </row>
    <row r="129" spans="2:15" ht="69.900000000000006" customHeight="1" x14ac:dyDescent="0.25">
      <c r="B129" s="323">
        <v>122</v>
      </c>
      <c r="C129" s="323">
        <v>6</v>
      </c>
      <c r="D129" s="319" t="s">
        <v>5353</v>
      </c>
      <c r="E129" s="358" t="s">
        <v>5341</v>
      </c>
      <c r="F129" s="320">
        <v>10000000</v>
      </c>
      <c r="G129" s="394" t="s">
        <v>5149</v>
      </c>
      <c r="H129" s="319" t="s">
        <v>5354</v>
      </c>
      <c r="I129" s="319" t="s">
        <v>5310</v>
      </c>
      <c r="J129" s="319" t="s">
        <v>4878</v>
      </c>
      <c r="K129" s="355" t="s">
        <v>5355</v>
      </c>
      <c r="L129" s="385" t="s">
        <v>542</v>
      </c>
      <c r="M129" s="385" t="s">
        <v>5184</v>
      </c>
      <c r="N129" s="411" t="s">
        <v>5374</v>
      </c>
      <c r="O129" s="323">
        <v>52</v>
      </c>
    </row>
    <row r="130" spans="2:15" ht="69.900000000000006" customHeight="1" x14ac:dyDescent="0.25">
      <c r="B130" s="323">
        <v>123</v>
      </c>
      <c r="C130" s="323">
        <v>6</v>
      </c>
      <c r="D130" s="319" t="s">
        <v>5368</v>
      </c>
      <c r="E130" s="358" t="s">
        <v>5341</v>
      </c>
      <c r="F130" s="320">
        <v>15500000</v>
      </c>
      <c r="G130" s="394" t="s">
        <v>5149</v>
      </c>
      <c r="H130" s="319" t="s">
        <v>5369</v>
      </c>
      <c r="I130" s="319" t="s">
        <v>5310</v>
      </c>
      <c r="J130" s="319" t="s">
        <v>4878</v>
      </c>
      <c r="K130" s="355" t="s">
        <v>5370</v>
      </c>
      <c r="L130" s="385" t="s">
        <v>542</v>
      </c>
      <c r="M130" s="385" t="s">
        <v>5184</v>
      </c>
      <c r="N130" s="411" t="s">
        <v>5374</v>
      </c>
      <c r="O130" s="323">
        <v>52</v>
      </c>
    </row>
    <row r="131" spans="2:15" ht="69.900000000000006" customHeight="1" x14ac:dyDescent="0.25">
      <c r="B131" s="323">
        <v>124</v>
      </c>
      <c r="C131" s="323">
        <v>6</v>
      </c>
      <c r="D131" s="319" t="s">
        <v>5347</v>
      </c>
      <c r="E131" s="358" t="s">
        <v>5341</v>
      </c>
      <c r="F131" s="320">
        <v>25000000</v>
      </c>
      <c r="G131" s="394" t="s">
        <v>5149</v>
      </c>
      <c r="H131" s="319" t="s">
        <v>5348</v>
      </c>
      <c r="I131" s="319" t="s">
        <v>5310</v>
      </c>
      <c r="J131" s="319" t="s">
        <v>4878</v>
      </c>
      <c r="K131" s="355" t="s">
        <v>5349</v>
      </c>
      <c r="L131" s="385" t="s">
        <v>542</v>
      </c>
      <c r="M131" s="385" t="s">
        <v>5184</v>
      </c>
      <c r="N131" s="411" t="s">
        <v>5374</v>
      </c>
      <c r="O131" s="323">
        <v>52</v>
      </c>
    </row>
    <row r="132" spans="2:15" ht="69.900000000000006" customHeight="1" x14ac:dyDescent="0.25">
      <c r="B132" s="323">
        <v>125</v>
      </c>
      <c r="C132" s="323">
        <v>6</v>
      </c>
      <c r="D132" s="319" t="s">
        <v>5384</v>
      </c>
      <c r="E132" s="358" t="s">
        <v>5381</v>
      </c>
      <c r="F132" s="320">
        <v>30000000</v>
      </c>
      <c r="G132" s="394" t="s">
        <v>4878</v>
      </c>
      <c r="H132" s="319" t="s">
        <v>5385</v>
      </c>
      <c r="I132" s="319" t="s">
        <v>5273</v>
      </c>
      <c r="J132" s="319" t="s">
        <v>4878</v>
      </c>
      <c r="K132" s="322" t="s">
        <v>5386</v>
      </c>
      <c r="L132" s="385" t="s">
        <v>542</v>
      </c>
      <c r="M132" s="385" t="s">
        <v>5184</v>
      </c>
      <c r="N132" s="411" t="s">
        <v>5374</v>
      </c>
      <c r="O132" s="323">
        <v>52</v>
      </c>
    </row>
    <row r="133" spans="2:15" ht="69.900000000000006" customHeight="1" x14ac:dyDescent="0.25">
      <c r="B133" s="323">
        <v>126</v>
      </c>
      <c r="C133" s="323">
        <v>6</v>
      </c>
      <c r="D133" s="319" t="s">
        <v>5389</v>
      </c>
      <c r="E133" s="358" t="s">
        <v>5381</v>
      </c>
      <c r="F133" s="320">
        <v>55500000</v>
      </c>
      <c r="G133" s="394" t="s">
        <v>5149</v>
      </c>
      <c r="H133" s="319" t="s">
        <v>5390</v>
      </c>
      <c r="I133" s="319" t="s">
        <v>5273</v>
      </c>
      <c r="J133" s="319" t="s">
        <v>4878</v>
      </c>
      <c r="K133" s="322" t="s">
        <v>5391</v>
      </c>
      <c r="L133" s="385" t="s">
        <v>542</v>
      </c>
      <c r="M133" s="385" t="s">
        <v>5184</v>
      </c>
      <c r="N133" s="411" t="s">
        <v>5374</v>
      </c>
      <c r="O133" s="323">
        <v>52</v>
      </c>
    </row>
    <row r="134" spans="2:15" ht="69.900000000000006" customHeight="1" x14ac:dyDescent="0.25">
      <c r="B134" s="323">
        <v>127</v>
      </c>
      <c r="C134" s="323">
        <v>6</v>
      </c>
      <c r="D134" s="319" t="s">
        <v>5392</v>
      </c>
      <c r="E134" s="358" t="s">
        <v>5381</v>
      </c>
      <c r="F134" s="320">
        <v>152000000</v>
      </c>
      <c r="G134" s="394" t="s">
        <v>5149</v>
      </c>
      <c r="H134" s="319" t="s">
        <v>5393</v>
      </c>
      <c r="I134" s="319" t="s">
        <v>5273</v>
      </c>
      <c r="J134" s="319" t="s">
        <v>4878</v>
      </c>
      <c r="K134" s="322" t="s">
        <v>5394</v>
      </c>
      <c r="L134" s="385" t="s">
        <v>542</v>
      </c>
      <c r="M134" s="385" t="s">
        <v>5184</v>
      </c>
      <c r="N134" s="411" t="s">
        <v>5374</v>
      </c>
      <c r="O134" s="323">
        <v>52</v>
      </c>
    </row>
    <row r="135" spans="2:15" ht="69.900000000000006" customHeight="1" x14ac:dyDescent="0.25">
      <c r="B135" s="323">
        <v>128</v>
      </c>
      <c r="C135" s="323">
        <v>6</v>
      </c>
      <c r="D135" s="319" t="s">
        <v>5395</v>
      </c>
      <c r="E135" s="358" t="s">
        <v>5381</v>
      </c>
      <c r="F135" s="320">
        <v>16250000</v>
      </c>
      <c r="G135" s="394" t="s">
        <v>5149</v>
      </c>
      <c r="H135" s="319" t="s">
        <v>5396</v>
      </c>
      <c r="I135" s="319" t="s">
        <v>5273</v>
      </c>
      <c r="J135" s="319" t="s">
        <v>4878</v>
      </c>
      <c r="K135" s="322" t="s">
        <v>5397</v>
      </c>
      <c r="L135" s="385" t="s">
        <v>542</v>
      </c>
      <c r="M135" s="385" t="s">
        <v>5184</v>
      </c>
      <c r="N135" s="411" t="s">
        <v>5374</v>
      </c>
      <c r="O135" s="323">
        <v>52</v>
      </c>
    </row>
    <row r="136" spans="2:15" ht="69.900000000000006" customHeight="1" x14ac:dyDescent="0.25">
      <c r="B136" s="323">
        <v>104</v>
      </c>
      <c r="C136" s="323">
        <v>6</v>
      </c>
      <c r="D136" s="319" t="s">
        <v>5261</v>
      </c>
      <c r="E136" s="358" t="s">
        <v>5262</v>
      </c>
      <c r="F136" s="354">
        <v>210863345</v>
      </c>
      <c r="G136" s="371" t="s">
        <v>5033</v>
      </c>
      <c r="H136" s="408" t="s">
        <v>5263</v>
      </c>
      <c r="I136" s="319" t="s">
        <v>5196</v>
      </c>
      <c r="J136" s="319" t="s">
        <v>4892</v>
      </c>
      <c r="K136" s="322" t="s">
        <v>5264</v>
      </c>
      <c r="L136" s="385" t="s">
        <v>576</v>
      </c>
      <c r="M136" s="385" t="s">
        <v>5185</v>
      </c>
      <c r="N136" s="411" t="s">
        <v>5375</v>
      </c>
      <c r="O136" s="323">
        <v>51</v>
      </c>
    </row>
    <row r="137" spans="2:15" ht="69.900000000000006" customHeight="1" x14ac:dyDescent="0.25">
      <c r="B137" s="323">
        <v>105</v>
      </c>
      <c r="C137" s="323">
        <v>6</v>
      </c>
      <c r="D137" s="319" t="s">
        <v>5265</v>
      </c>
      <c r="E137" s="358" t="s">
        <v>5262</v>
      </c>
      <c r="F137" s="354">
        <v>4697567</v>
      </c>
      <c r="G137" s="371" t="s">
        <v>5033</v>
      </c>
      <c r="H137" s="408" t="s">
        <v>5266</v>
      </c>
      <c r="I137" s="319" t="s">
        <v>5196</v>
      </c>
      <c r="J137" s="319" t="s">
        <v>4892</v>
      </c>
      <c r="K137" s="322" t="s">
        <v>5267</v>
      </c>
      <c r="L137" s="385" t="s">
        <v>576</v>
      </c>
      <c r="M137" s="385" t="s">
        <v>5185</v>
      </c>
      <c r="N137" s="411" t="s">
        <v>5375</v>
      </c>
      <c r="O137" s="323">
        <v>51</v>
      </c>
    </row>
    <row r="138" spans="2:15" ht="69.900000000000006" customHeight="1" x14ac:dyDescent="0.25">
      <c r="B138" s="323">
        <v>106</v>
      </c>
      <c r="C138" s="323">
        <v>6</v>
      </c>
      <c r="D138" s="319" t="s">
        <v>5380</v>
      </c>
      <c r="E138" s="358" t="s">
        <v>5381</v>
      </c>
      <c r="F138" s="320">
        <v>241668914</v>
      </c>
      <c r="G138" s="371" t="s">
        <v>4878</v>
      </c>
      <c r="H138" s="319" t="s">
        <v>5382</v>
      </c>
      <c r="I138" s="319" t="s">
        <v>5341</v>
      </c>
      <c r="J138" s="319" t="s">
        <v>4878</v>
      </c>
      <c r="K138" s="322" t="s">
        <v>5383</v>
      </c>
      <c r="L138" s="385" t="s">
        <v>576</v>
      </c>
      <c r="M138" s="385" t="s">
        <v>5185</v>
      </c>
      <c r="N138" s="410" t="s">
        <v>5375</v>
      </c>
      <c r="O138" s="323">
        <v>51</v>
      </c>
    </row>
    <row r="139" spans="2:15" ht="69.900000000000006" customHeight="1" x14ac:dyDescent="0.25">
      <c r="B139" s="323">
        <v>129</v>
      </c>
      <c r="C139" s="323">
        <v>6</v>
      </c>
      <c r="D139" s="319" t="s">
        <v>5268</v>
      </c>
      <c r="E139" s="358" t="s">
        <v>5262</v>
      </c>
      <c r="F139" s="354">
        <v>63640000</v>
      </c>
      <c r="G139" s="366" t="s">
        <v>4889</v>
      </c>
      <c r="H139" s="408" t="s">
        <v>5269</v>
      </c>
      <c r="I139" s="319" t="s">
        <v>5210</v>
      </c>
      <c r="J139" s="319" t="s">
        <v>4892</v>
      </c>
      <c r="K139" s="322" t="s">
        <v>5270</v>
      </c>
      <c r="L139" s="385" t="s">
        <v>576</v>
      </c>
      <c r="M139" s="385" t="s">
        <v>5183</v>
      </c>
      <c r="N139" s="411" t="s">
        <v>5376</v>
      </c>
      <c r="O139" s="323">
        <v>52</v>
      </c>
    </row>
    <row r="140" spans="2:15" ht="69.900000000000006" customHeight="1" x14ac:dyDescent="0.25">
      <c r="B140" s="323">
        <v>130</v>
      </c>
      <c r="C140" s="323">
        <v>6</v>
      </c>
      <c r="D140" s="319" t="s">
        <v>5306</v>
      </c>
      <c r="E140" s="358" t="s">
        <v>5273</v>
      </c>
      <c r="F140" s="320">
        <v>3000000</v>
      </c>
      <c r="G140" s="395" t="s">
        <v>4878</v>
      </c>
      <c r="H140" s="321" t="s">
        <v>5307</v>
      </c>
      <c r="I140" s="319" t="s">
        <v>5227</v>
      </c>
      <c r="J140" s="319" t="s">
        <v>4878</v>
      </c>
      <c r="K140" s="322" t="s">
        <v>5308</v>
      </c>
      <c r="L140" s="398" t="s">
        <v>531</v>
      </c>
      <c r="M140" s="398" t="s">
        <v>5218</v>
      </c>
      <c r="N140" s="411"/>
      <c r="O140" s="323">
        <v>52</v>
      </c>
    </row>
    <row r="141" spans="2:15" ht="69.900000000000006" customHeight="1" x14ac:dyDescent="0.25">
      <c r="B141" s="323">
        <v>131</v>
      </c>
      <c r="C141" s="323">
        <v>6</v>
      </c>
      <c r="D141" s="353" t="s">
        <v>5325</v>
      </c>
      <c r="E141" s="359" t="s">
        <v>5310</v>
      </c>
      <c r="F141" s="354">
        <v>6450000</v>
      </c>
      <c r="G141" s="395" t="s">
        <v>4878</v>
      </c>
      <c r="H141" s="353" t="s">
        <v>5326</v>
      </c>
      <c r="I141" s="353" t="s">
        <v>5273</v>
      </c>
      <c r="J141" s="353" t="s">
        <v>4878</v>
      </c>
      <c r="K141" s="355" t="s">
        <v>5327</v>
      </c>
      <c r="L141" s="385" t="s">
        <v>542</v>
      </c>
      <c r="M141" s="385" t="s">
        <v>5184</v>
      </c>
      <c r="N141" s="411"/>
      <c r="O141" s="323">
        <v>52</v>
      </c>
    </row>
    <row r="142" spans="2:15" ht="69.900000000000006" customHeight="1" x14ac:dyDescent="0.25">
      <c r="B142" s="323">
        <v>132</v>
      </c>
      <c r="C142" s="323">
        <v>6</v>
      </c>
      <c r="D142" s="319" t="s">
        <v>5297</v>
      </c>
      <c r="E142" s="358" t="s">
        <v>5273</v>
      </c>
      <c r="F142" s="320">
        <v>11343740</v>
      </c>
      <c r="G142" s="395" t="s">
        <v>4878</v>
      </c>
      <c r="H142" s="321" t="s">
        <v>5298</v>
      </c>
      <c r="I142" s="319" t="s">
        <v>5272</v>
      </c>
      <c r="J142" s="319" t="s">
        <v>4878</v>
      </c>
      <c r="K142" s="322" t="s">
        <v>5299</v>
      </c>
      <c r="L142" s="385" t="s">
        <v>535</v>
      </c>
      <c r="M142" s="385" t="s">
        <v>5220</v>
      </c>
      <c r="N142" s="411"/>
      <c r="O142" s="323">
        <v>52</v>
      </c>
    </row>
    <row r="143" spans="2:15" ht="69.900000000000006" customHeight="1" x14ac:dyDescent="0.25">
      <c r="B143" s="323">
        <v>133</v>
      </c>
      <c r="C143" s="323">
        <v>6</v>
      </c>
      <c r="D143" s="319" t="s">
        <v>5282</v>
      </c>
      <c r="E143" s="358" t="s">
        <v>5273</v>
      </c>
      <c r="F143" s="320">
        <v>2118000</v>
      </c>
      <c r="G143" s="395" t="s">
        <v>4878</v>
      </c>
      <c r="H143" s="321" t="s">
        <v>5283</v>
      </c>
      <c r="I143" s="319" t="s">
        <v>5272</v>
      </c>
      <c r="J143" s="319" t="s">
        <v>4878</v>
      </c>
      <c r="K143" s="322" t="s">
        <v>5284</v>
      </c>
      <c r="L143" s="385" t="s">
        <v>542</v>
      </c>
      <c r="M143" s="385" t="s">
        <v>5221</v>
      </c>
      <c r="N143" s="411"/>
      <c r="O143" s="323">
        <v>52</v>
      </c>
    </row>
    <row r="144" spans="2:15" ht="69.900000000000006" customHeight="1" x14ac:dyDescent="0.25">
      <c r="B144" s="323">
        <v>134</v>
      </c>
      <c r="C144" s="323">
        <v>6</v>
      </c>
      <c r="D144" s="319" t="s">
        <v>5300</v>
      </c>
      <c r="E144" s="358" t="s">
        <v>5273</v>
      </c>
      <c r="F144" s="320">
        <v>11404870</v>
      </c>
      <c r="G144" s="395" t="s">
        <v>4878</v>
      </c>
      <c r="H144" s="321" t="s">
        <v>5301</v>
      </c>
      <c r="I144" s="319" t="s">
        <v>5272</v>
      </c>
      <c r="J144" s="319" t="s">
        <v>4878</v>
      </c>
      <c r="K144" s="322" t="s">
        <v>5302</v>
      </c>
      <c r="L144" s="385" t="s">
        <v>535</v>
      </c>
      <c r="M144" s="385" t="s">
        <v>5220</v>
      </c>
      <c r="N144" s="411"/>
      <c r="O144" s="323">
        <v>52</v>
      </c>
    </row>
    <row r="145" spans="2:15" ht="69.900000000000006" customHeight="1" x14ac:dyDescent="0.25">
      <c r="B145" s="323">
        <v>135</v>
      </c>
      <c r="C145" s="323">
        <v>6</v>
      </c>
      <c r="D145" s="319" t="s">
        <v>5285</v>
      </c>
      <c r="E145" s="358" t="s">
        <v>5273</v>
      </c>
      <c r="F145" s="320">
        <v>7200000</v>
      </c>
      <c r="G145" s="395" t="s">
        <v>4878</v>
      </c>
      <c r="H145" s="321" t="s">
        <v>5286</v>
      </c>
      <c r="I145" s="319" t="s">
        <v>5272</v>
      </c>
      <c r="J145" s="319" t="s">
        <v>4878</v>
      </c>
      <c r="K145" s="322" t="s">
        <v>5287</v>
      </c>
      <c r="L145" s="385" t="s">
        <v>535</v>
      </c>
      <c r="M145" s="385" t="s">
        <v>5217</v>
      </c>
      <c r="N145" s="411"/>
      <c r="O145" s="323">
        <v>52</v>
      </c>
    </row>
    <row r="146" spans="2:15" ht="69.900000000000006" customHeight="1" x14ac:dyDescent="0.25">
      <c r="B146" s="323">
        <v>136</v>
      </c>
      <c r="C146" s="323">
        <v>6</v>
      </c>
      <c r="D146" s="319" t="s">
        <v>5279</v>
      </c>
      <c r="E146" s="358" t="s">
        <v>5273</v>
      </c>
      <c r="F146" s="320">
        <v>10500000</v>
      </c>
      <c r="G146" s="395" t="s">
        <v>4878</v>
      </c>
      <c r="H146" s="321" t="s">
        <v>5280</v>
      </c>
      <c r="I146" s="319" t="s">
        <v>5272</v>
      </c>
      <c r="J146" s="319" t="s">
        <v>4878</v>
      </c>
      <c r="K146" s="322" t="s">
        <v>5281</v>
      </c>
      <c r="L146" s="385" t="s">
        <v>542</v>
      </c>
      <c r="M146" s="385" t="s">
        <v>5184</v>
      </c>
      <c r="N146" s="411"/>
      <c r="O146" s="323">
        <v>52</v>
      </c>
    </row>
    <row r="147" spans="2:15" ht="69.900000000000006" customHeight="1" x14ac:dyDescent="0.25">
      <c r="B147" s="323">
        <v>137</v>
      </c>
      <c r="C147" s="323">
        <v>6</v>
      </c>
      <c r="D147" s="353" t="s">
        <v>5334</v>
      </c>
      <c r="E147" s="359" t="s">
        <v>5310</v>
      </c>
      <c r="F147" s="354">
        <v>1650000</v>
      </c>
      <c r="G147" s="395" t="s">
        <v>4878</v>
      </c>
      <c r="H147" s="353" t="s">
        <v>5335</v>
      </c>
      <c r="I147" s="353" t="s">
        <v>5273</v>
      </c>
      <c r="J147" s="353" t="s">
        <v>4878</v>
      </c>
      <c r="K147" s="355" t="s">
        <v>5336</v>
      </c>
      <c r="L147" s="385" t="s">
        <v>535</v>
      </c>
      <c r="M147" s="385" t="s">
        <v>5220</v>
      </c>
      <c r="N147" s="323"/>
      <c r="O147" s="323">
        <v>52</v>
      </c>
    </row>
    <row r="148" spans="2:15" ht="69.900000000000006" customHeight="1" x14ac:dyDescent="0.25">
      <c r="B148" s="323">
        <v>138</v>
      </c>
      <c r="C148" s="323">
        <v>6</v>
      </c>
      <c r="D148" s="353" t="s">
        <v>5337</v>
      </c>
      <c r="E148" s="359" t="s">
        <v>5310</v>
      </c>
      <c r="F148" s="354">
        <v>4074431</v>
      </c>
      <c r="G148" s="395" t="s">
        <v>4878</v>
      </c>
      <c r="H148" s="353" t="s">
        <v>5338</v>
      </c>
      <c r="I148" s="353" t="s">
        <v>5273</v>
      </c>
      <c r="J148" s="353" t="s">
        <v>4878</v>
      </c>
      <c r="K148" s="355" t="s">
        <v>5339</v>
      </c>
      <c r="L148" s="385" t="s">
        <v>542</v>
      </c>
      <c r="M148" s="385" t="s">
        <v>5221</v>
      </c>
      <c r="N148" s="323"/>
      <c r="O148" s="323">
        <v>52</v>
      </c>
    </row>
    <row r="149" spans="2:15" ht="69.900000000000006" customHeight="1" x14ac:dyDescent="0.25">
      <c r="B149" s="323">
        <v>139</v>
      </c>
      <c r="C149" s="323">
        <v>6</v>
      </c>
      <c r="D149" s="353" t="s">
        <v>5316</v>
      </c>
      <c r="E149" s="359" t="s">
        <v>5310</v>
      </c>
      <c r="F149" s="354">
        <v>15880573</v>
      </c>
      <c r="G149" s="400" t="s">
        <v>4878</v>
      </c>
      <c r="H149" s="353" t="s">
        <v>5317</v>
      </c>
      <c r="I149" s="353" t="s">
        <v>5273</v>
      </c>
      <c r="J149" s="353" t="s">
        <v>4878</v>
      </c>
      <c r="K149" s="355" t="s">
        <v>5318</v>
      </c>
      <c r="L149" s="385" t="s">
        <v>542</v>
      </c>
      <c r="M149" s="385" t="s">
        <v>5184</v>
      </c>
      <c r="N149" s="323"/>
      <c r="O149" s="323">
        <v>52</v>
      </c>
    </row>
    <row r="150" spans="2:15" ht="69.900000000000006" customHeight="1" x14ac:dyDescent="0.25">
      <c r="B150" s="323">
        <v>140</v>
      </c>
      <c r="C150" s="323">
        <v>6</v>
      </c>
      <c r="D150" s="319" t="s">
        <v>5365</v>
      </c>
      <c r="E150" s="358" t="s">
        <v>5341</v>
      </c>
      <c r="F150" s="320">
        <v>3700700</v>
      </c>
      <c r="G150" s="395" t="s">
        <v>4878</v>
      </c>
      <c r="H150" s="319" t="s">
        <v>5366</v>
      </c>
      <c r="I150" s="319" t="s">
        <v>5273</v>
      </c>
      <c r="J150" s="319" t="s">
        <v>4878</v>
      </c>
      <c r="K150" s="355" t="s">
        <v>5367</v>
      </c>
      <c r="L150" s="385" t="s">
        <v>535</v>
      </c>
      <c r="M150" s="385" t="s">
        <v>5220</v>
      </c>
      <c r="N150" s="323"/>
      <c r="O150" s="323">
        <v>52</v>
      </c>
    </row>
    <row r="151" spans="2:15" ht="69.900000000000006" customHeight="1" x14ac:dyDescent="0.25">
      <c r="B151" s="323">
        <v>141</v>
      </c>
      <c r="C151" s="323">
        <v>6</v>
      </c>
      <c r="D151" s="353" t="s">
        <v>5313</v>
      </c>
      <c r="E151" s="359" t="s">
        <v>5310</v>
      </c>
      <c r="F151" s="354">
        <v>3840000</v>
      </c>
      <c r="G151" s="400" t="s">
        <v>4878</v>
      </c>
      <c r="H151" s="353" t="s">
        <v>5314</v>
      </c>
      <c r="I151" s="353" t="s">
        <v>5273</v>
      </c>
      <c r="J151" s="353" t="s">
        <v>4878</v>
      </c>
      <c r="K151" s="355" t="s">
        <v>5315</v>
      </c>
      <c r="L151" s="385" t="s">
        <v>542</v>
      </c>
      <c r="M151" s="385" t="s">
        <v>5184</v>
      </c>
      <c r="N151" s="323"/>
      <c r="O151" s="323">
        <v>52</v>
      </c>
    </row>
    <row r="152" spans="2:15" ht="69.900000000000006" customHeight="1" x14ac:dyDescent="0.25">
      <c r="B152" s="323">
        <v>142</v>
      </c>
      <c r="C152" s="323">
        <v>6</v>
      </c>
      <c r="D152" s="353" t="s">
        <v>5322</v>
      </c>
      <c r="E152" s="359" t="s">
        <v>5310</v>
      </c>
      <c r="F152" s="354">
        <v>25425327</v>
      </c>
      <c r="G152" s="400" t="s">
        <v>4878</v>
      </c>
      <c r="H152" s="353" t="s">
        <v>5323</v>
      </c>
      <c r="I152" s="353" t="s">
        <v>5273</v>
      </c>
      <c r="J152" s="353" t="s">
        <v>4878</v>
      </c>
      <c r="K152" s="355" t="s">
        <v>5324</v>
      </c>
      <c r="L152" s="385" t="s">
        <v>531</v>
      </c>
      <c r="M152" s="385" t="s">
        <v>5218</v>
      </c>
      <c r="N152" s="323"/>
      <c r="O152" s="323">
        <v>52</v>
      </c>
    </row>
    <row r="153" spans="2:15" ht="69.900000000000006" customHeight="1" x14ac:dyDescent="0.25">
      <c r="B153" s="323">
        <v>143</v>
      </c>
      <c r="C153" s="323">
        <v>6</v>
      </c>
      <c r="D153" s="353" t="s">
        <v>5319</v>
      </c>
      <c r="E153" s="359" t="s">
        <v>5310</v>
      </c>
      <c r="F153" s="354">
        <v>15508650</v>
      </c>
      <c r="G153" s="400" t="s">
        <v>4878</v>
      </c>
      <c r="H153" s="353" t="s">
        <v>5320</v>
      </c>
      <c r="I153" s="353" t="s">
        <v>5273</v>
      </c>
      <c r="J153" s="353" t="s">
        <v>4878</v>
      </c>
      <c r="K153" s="355" t="s">
        <v>5321</v>
      </c>
      <c r="L153" s="385" t="s">
        <v>535</v>
      </c>
      <c r="M153" s="385" t="s">
        <v>5217</v>
      </c>
      <c r="N153" s="323"/>
      <c r="O153" s="323">
        <v>52</v>
      </c>
    </row>
    <row r="154" spans="2:15" ht="69.900000000000006" customHeight="1" x14ac:dyDescent="0.25">
      <c r="B154" s="323">
        <v>144</v>
      </c>
      <c r="C154" s="323">
        <v>6</v>
      </c>
      <c r="D154" s="353" t="s">
        <v>5328</v>
      </c>
      <c r="E154" s="359" t="s">
        <v>5310</v>
      </c>
      <c r="F154" s="354">
        <v>27294800</v>
      </c>
      <c r="G154" s="395" t="s">
        <v>4878</v>
      </c>
      <c r="H154" s="353" t="s">
        <v>5329</v>
      </c>
      <c r="I154" s="353" t="s">
        <v>5273</v>
      </c>
      <c r="J154" s="353" t="s">
        <v>4878</v>
      </c>
      <c r="K154" s="355" t="s">
        <v>5330</v>
      </c>
      <c r="L154" s="385" t="s">
        <v>535</v>
      </c>
      <c r="M154" s="385" t="s">
        <v>5217</v>
      </c>
      <c r="N154" s="323"/>
      <c r="O154" s="323">
        <v>52</v>
      </c>
    </row>
    <row r="155" spans="2:15" ht="69.900000000000006" customHeight="1" x14ac:dyDescent="0.25">
      <c r="B155" s="323">
        <v>145</v>
      </c>
      <c r="C155" s="323">
        <v>6</v>
      </c>
      <c r="D155" s="319" t="s">
        <v>5387</v>
      </c>
      <c r="E155" s="358" t="s">
        <v>5381</v>
      </c>
      <c r="F155" s="320">
        <v>7559500</v>
      </c>
      <c r="G155" s="369" t="s">
        <v>4902</v>
      </c>
      <c r="H155" s="319" t="s">
        <v>5388</v>
      </c>
      <c r="I155" s="319" t="s">
        <v>5341</v>
      </c>
      <c r="J155" s="319" t="s">
        <v>4905</v>
      </c>
      <c r="K155" s="322" t="s">
        <v>5228</v>
      </c>
      <c r="L155" s="385"/>
      <c r="M155" s="385"/>
      <c r="N155" s="410"/>
      <c r="O155" s="323">
        <v>52</v>
      </c>
    </row>
    <row r="156" spans="2:15" ht="69.900000000000006" customHeight="1" x14ac:dyDescent="0.25">
      <c r="B156" s="323">
        <v>146</v>
      </c>
      <c r="C156" s="323">
        <v>6</v>
      </c>
      <c r="D156" s="415" t="s">
        <v>5403</v>
      </c>
      <c r="E156" s="416" t="s">
        <v>5404</v>
      </c>
      <c r="F156" s="417">
        <v>136770850</v>
      </c>
      <c r="G156" s="394" t="s">
        <v>4878</v>
      </c>
      <c r="H156" s="415" t="s">
        <v>5405</v>
      </c>
      <c r="I156" s="415" t="s">
        <v>5406</v>
      </c>
      <c r="J156" s="415" t="s">
        <v>4878</v>
      </c>
      <c r="K156" s="419" t="s">
        <v>5407</v>
      </c>
      <c r="L156" s="385" t="s">
        <v>542</v>
      </c>
      <c r="M156" s="385" t="s">
        <v>5184</v>
      </c>
      <c r="N156" s="411" t="s">
        <v>5374</v>
      </c>
      <c r="O156" s="323">
        <v>52</v>
      </c>
    </row>
    <row r="157" spans="2:15" ht="69.900000000000006" customHeight="1" x14ac:dyDescent="0.25">
      <c r="B157" s="323">
        <v>147</v>
      </c>
      <c r="C157" s="323">
        <v>6</v>
      </c>
      <c r="D157" s="319" t="s">
        <v>5408</v>
      </c>
      <c r="E157" s="358" t="s">
        <v>5404</v>
      </c>
      <c r="F157" s="320">
        <v>48815040</v>
      </c>
      <c r="G157" s="395" t="s">
        <v>4878</v>
      </c>
      <c r="H157" s="319" t="s">
        <v>5409</v>
      </c>
      <c r="I157" s="319" t="s">
        <v>5406</v>
      </c>
      <c r="J157" s="319" t="s">
        <v>4878</v>
      </c>
      <c r="K157" s="355" t="s">
        <v>5410</v>
      </c>
      <c r="L157" s="385" t="s">
        <v>535</v>
      </c>
      <c r="M157" s="385" t="s">
        <v>5217</v>
      </c>
      <c r="N157" s="410"/>
      <c r="O157" s="323">
        <v>52</v>
      </c>
    </row>
    <row r="158" spans="2:15" ht="69.900000000000006" customHeight="1" x14ac:dyDescent="0.25">
      <c r="B158" s="323">
        <v>148</v>
      </c>
      <c r="C158" s="323">
        <v>6</v>
      </c>
      <c r="D158" s="319" t="s">
        <v>5411</v>
      </c>
      <c r="E158" s="358" t="s">
        <v>5404</v>
      </c>
      <c r="F158" s="320">
        <v>360000</v>
      </c>
      <c r="G158" s="395" t="s">
        <v>4878</v>
      </c>
      <c r="H158" s="319" t="s">
        <v>5412</v>
      </c>
      <c r="I158" s="319" t="s">
        <v>5406</v>
      </c>
      <c r="J158" s="319" t="s">
        <v>4878</v>
      </c>
      <c r="K158" s="355" t="s">
        <v>5413</v>
      </c>
      <c r="L158" s="385" t="s">
        <v>531</v>
      </c>
      <c r="M158" s="385" t="s">
        <v>5219</v>
      </c>
      <c r="N158" s="410"/>
      <c r="O158" s="323">
        <v>52</v>
      </c>
    </row>
    <row r="159" spans="2:15" ht="69.900000000000006" customHeight="1" x14ac:dyDescent="0.25">
      <c r="B159" s="323">
        <v>149</v>
      </c>
      <c r="C159" s="323">
        <v>6</v>
      </c>
      <c r="D159" s="415" t="s">
        <v>5414</v>
      </c>
      <c r="E159" s="416" t="s">
        <v>5404</v>
      </c>
      <c r="F159" s="417">
        <v>2110000</v>
      </c>
      <c r="G159" s="395" t="s">
        <v>4878</v>
      </c>
      <c r="H159" s="415" t="s">
        <v>5415</v>
      </c>
      <c r="I159" s="415" t="s">
        <v>5406</v>
      </c>
      <c r="J159" s="415" t="s">
        <v>4878</v>
      </c>
      <c r="K159" s="419" t="s">
        <v>5416</v>
      </c>
      <c r="L159" s="418" t="s">
        <v>531</v>
      </c>
      <c r="M159" s="418" t="s">
        <v>5218</v>
      </c>
      <c r="N159" s="414"/>
      <c r="O159" s="323">
        <v>52</v>
      </c>
    </row>
    <row r="160" spans="2:15" ht="69.900000000000006" customHeight="1" x14ac:dyDescent="0.25">
      <c r="B160" s="323">
        <v>150</v>
      </c>
      <c r="C160" s="323">
        <v>6</v>
      </c>
      <c r="D160" s="319" t="s">
        <v>5417</v>
      </c>
      <c r="E160" s="358" t="s">
        <v>5404</v>
      </c>
      <c r="F160" s="320">
        <v>9185000</v>
      </c>
      <c r="G160" s="395" t="s">
        <v>4878</v>
      </c>
      <c r="H160" s="319" t="s">
        <v>5418</v>
      </c>
      <c r="I160" s="319" t="s">
        <v>5406</v>
      </c>
      <c r="J160" s="319" t="s">
        <v>4878</v>
      </c>
      <c r="K160" s="355" t="s">
        <v>5419</v>
      </c>
      <c r="L160" s="385" t="s">
        <v>542</v>
      </c>
      <c r="M160" s="385" t="s">
        <v>5221</v>
      </c>
      <c r="N160" s="410"/>
      <c r="O160" s="323">
        <v>52</v>
      </c>
    </row>
    <row r="161" spans="2:15" ht="69.900000000000006" customHeight="1" x14ac:dyDescent="0.25">
      <c r="B161" s="323">
        <v>151</v>
      </c>
      <c r="C161" s="323">
        <v>6</v>
      </c>
      <c r="D161" s="319" t="s">
        <v>5420</v>
      </c>
      <c r="E161" s="358" t="s">
        <v>5404</v>
      </c>
      <c r="F161" s="320">
        <v>14635000</v>
      </c>
      <c r="G161" s="395" t="s">
        <v>4878</v>
      </c>
      <c r="H161" s="319" t="s">
        <v>5421</v>
      </c>
      <c r="I161" s="319" t="s">
        <v>5406</v>
      </c>
      <c r="J161" s="319" t="s">
        <v>4878</v>
      </c>
      <c r="K161" s="355" t="s">
        <v>5422</v>
      </c>
      <c r="L161" s="385" t="s">
        <v>542</v>
      </c>
      <c r="M161" s="385" t="s">
        <v>5184</v>
      </c>
      <c r="N161" s="410"/>
      <c r="O161" s="323">
        <v>52</v>
      </c>
    </row>
    <row r="162" spans="2:15" ht="69.900000000000006" customHeight="1" x14ac:dyDescent="0.25">
      <c r="B162" s="323">
        <v>152</v>
      </c>
      <c r="C162" s="323">
        <v>6</v>
      </c>
      <c r="D162" s="415" t="s">
        <v>5423</v>
      </c>
      <c r="E162" s="416" t="s">
        <v>5404</v>
      </c>
      <c r="F162" s="417">
        <v>25208100</v>
      </c>
      <c r="G162" s="395" t="s">
        <v>4878</v>
      </c>
      <c r="H162" s="415" t="s">
        <v>5424</v>
      </c>
      <c r="I162" s="415" t="s">
        <v>5406</v>
      </c>
      <c r="J162" s="415" t="s">
        <v>4878</v>
      </c>
      <c r="K162" s="419" t="s">
        <v>5425</v>
      </c>
      <c r="L162" s="418" t="s">
        <v>542</v>
      </c>
      <c r="M162" s="418" t="s">
        <v>5221</v>
      </c>
      <c r="N162" s="414"/>
      <c r="O162" s="323">
        <v>52</v>
      </c>
    </row>
    <row r="163" spans="2:15" ht="69.900000000000006" customHeight="1" x14ac:dyDescent="0.25">
      <c r="B163" s="323">
        <v>153</v>
      </c>
      <c r="C163" s="323">
        <v>6</v>
      </c>
      <c r="D163" s="319" t="s">
        <v>5426</v>
      </c>
      <c r="E163" s="358" t="s">
        <v>5404</v>
      </c>
      <c r="F163" s="320">
        <v>9875000</v>
      </c>
      <c r="G163" s="394" t="s">
        <v>4878</v>
      </c>
      <c r="H163" s="319" t="s">
        <v>5427</v>
      </c>
      <c r="I163" s="319" t="s">
        <v>5406</v>
      </c>
      <c r="J163" s="319" t="s">
        <v>4878</v>
      </c>
      <c r="K163" s="355" t="s">
        <v>5428</v>
      </c>
      <c r="L163" s="385" t="s">
        <v>542</v>
      </c>
      <c r="M163" s="385" t="s">
        <v>5184</v>
      </c>
      <c r="N163" s="411" t="s">
        <v>5374</v>
      </c>
      <c r="O163" s="323">
        <v>52</v>
      </c>
    </row>
    <row r="164" spans="2:15" ht="69.900000000000006" customHeight="1" x14ac:dyDescent="0.25">
      <c r="B164" s="323">
        <v>154</v>
      </c>
      <c r="C164" s="323">
        <v>6</v>
      </c>
      <c r="D164" s="319" t="s">
        <v>5429</v>
      </c>
      <c r="E164" s="358" t="s">
        <v>5404</v>
      </c>
      <c r="F164" s="320">
        <v>3950000</v>
      </c>
      <c r="G164" s="394" t="s">
        <v>4878</v>
      </c>
      <c r="H164" s="319" t="s">
        <v>5430</v>
      </c>
      <c r="I164" s="319" t="s">
        <v>5406</v>
      </c>
      <c r="J164" s="319" t="s">
        <v>4878</v>
      </c>
      <c r="K164" s="355" t="s">
        <v>5431</v>
      </c>
      <c r="L164" s="385" t="s">
        <v>542</v>
      </c>
      <c r="M164" s="385" t="s">
        <v>5184</v>
      </c>
      <c r="N164" s="411" t="s">
        <v>5374</v>
      </c>
      <c r="O164" s="323">
        <v>52</v>
      </c>
    </row>
    <row r="165" spans="2:15" ht="69.900000000000006" customHeight="1" x14ac:dyDescent="0.25">
      <c r="B165" s="323">
        <v>155</v>
      </c>
      <c r="C165" s="323">
        <v>6</v>
      </c>
      <c r="D165" s="415" t="s">
        <v>5432</v>
      </c>
      <c r="E165" s="416" t="s">
        <v>5404</v>
      </c>
      <c r="F165" s="417">
        <v>3950000</v>
      </c>
      <c r="G165" s="394" t="s">
        <v>4878</v>
      </c>
      <c r="H165" s="415" t="s">
        <v>5433</v>
      </c>
      <c r="I165" s="415" t="s">
        <v>5406</v>
      </c>
      <c r="J165" s="415" t="s">
        <v>4878</v>
      </c>
      <c r="K165" s="419" t="s">
        <v>5431</v>
      </c>
      <c r="L165" s="385" t="s">
        <v>542</v>
      </c>
      <c r="M165" s="385" t="s">
        <v>5184</v>
      </c>
      <c r="N165" s="411" t="s">
        <v>5374</v>
      </c>
      <c r="O165" s="323">
        <v>52</v>
      </c>
    </row>
    <row r="166" spans="2:15" ht="69.900000000000006" customHeight="1" x14ac:dyDescent="0.25">
      <c r="B166" s="323">
        <v>156</v>
      </c>
      <c r="C166" s="410">
        <v>6</v>
      </c>
      <c r="D166" s="319" t="s">
        <v>5434</v>
      </c>
      <c r="E166" s="358" t="s">
        <v>5435</v>
      </c>
      <c r="F166" s="320">
        <v>424528</v>
      </c>
      <c r="G166" s="371" t="s">
        <v>4878</v>
      </c>
      <c r="H166" s="319" t="s">
        <v>5436</v>
      </c>
      <c r="I166" s="319" t="s">
        <v>5406</v>
      </c>
      <c r="J166" s="319" t="s">
        <v>4878</v>
      </c>
      <c r="K166" s="355" t="s">
        <v>5437</v>
      </c>
      <c r="L166" s="385" t="s">
        <v>576</v>
      </c>
      <c r="M166" s="385" t="s">
        <v>5185</v>
      </c>
      <c r="N166" s="411" t="s">
        <v>5375</v>
      </c>
      <c r="O166" s="410">
        <v>51</v>
      </c>
    </row>
    <row r="167" spans="2:15" ht="69.900000000000006" customHeight="1" x14ac:dyDescent="0.25">
      <c r="B167" s="323">
        <v>157</v>
      </c>
      <c r="C167" s="414">
        <v>6</v>
      </c>
      <c r="D167" s="415" t="s">
        <v>5438</v>
      </c>
      <c r="E167" s="416" t="s">
        <v>5435</v>
      </c>
      <c r="F167" s="417">
        <v>16698000</v>
      </c>
      <c r="G167" s="371" t="s">
        <v>5049</v>
      </c>
      <c r="H167" s="415" t="s">
        <v>5439</v>
      </c>
      <c r="I167" s="415" t="s">
        <v>5406</v>
      </c>
      <c r="J167" s="415" t="s">
        <v>4878</v>
      </c>
      <c r="K167" s="419" t="s">
        <v>5440</v>
      </c>
      <c r="L167" s="385" t="s">
        <v>576</v>
      </c>
      <c r="M167" s="385" t="s">
        <v>5185</v>
      </c>
      <c r="N167" s="411" t="s">
        <v>5375</v>
      </c>
      <c r="O167" s="414">
        <v>51</v>
      </c>
    </row>
    <row r="168" spans="2:15" ht="69.900000000000006" customHeight="1" x14ac:dyDescent="0.25">
      <c r="B168" s="323">
        <v>158</v>
      </c>
      <c r="C168" s="414">
        <v>6</v>
      </c>
      <c r="D168" s="319" t="s">
        <v>5442</v>
      </c>
      <c r="E168" s="358" t="s">
        <v>5443</v>
      </c>
      <c r="F168" s="320">
        <v>1200000</v>
      </c>
      <c r="G168" s="395" t="s">
        <v>4878</v>
      </c>
      <c r="H168" s="319" t="s">
        <v>5444</v>
      </c>
      <c r="I168" s="319" t="s">
        <v>5445</v>
      </c>
      <c r="J168" s="319" t="s">
        <v>4878</v>
      </c>
      <c r="K168" s="322" t="s">
        <v>5446</v>
      </c>
      <c r="L168" s="418" t="s">
        <v>531</v>
      </c>
      <c r="M168" s="418" t="s">
        <v>5218</v>
      </c>
      <c r="N168" s="410"/>
      <c r="O168" s="410">
        <v>52</v>
      </c>
    </row>
    <row r="169" spans="2:15" ht="69.900000000000006" customHeight="1" x14ac:dyDescent="0.25">
      <c r="B169" s="323">
        <v>159</v>
      </c>
      <c r="C169" s="414">
        <v>6</v>
      </c>
      <c r="D169" s="415" t="s">
        <v>5447</v>
      </c>
      <c r="E169" s="416" t="s">
        <v>5443</v>
      </c>
      <c r="F169" s="417">
        <v>9950000</v>
      </c>
      <c r="G169" s="394" t="s">
        <v>5149</v>
      </c>
      <c r="H169" s="415" t="s">
        <v>5448</v>
      </c>
      <c r="I169" s="415" t="s">
        <v>5445</v>
      </c>
      <c r="J169" s="415" t="s">
        <v>4878</v>
      </c>
      <c r="K169" s="420" t="s">
        <v>5449</v>
      </c>
      <c r="L169" s="385" t="s">
        <v>542</v>
      </c>
      <c r="M169" s="385" t="s">
        <v>5184</v>
      </c>
      <c r="N169" s="411" t="s">
        <v>5374</v>
      </c>
      <c r="O169" s="414">
        <v>52</v>
      </c>
    </row>
    <row r="170" spans="2:15" ht="69.900000000000006" customHeight="1" x14ac:dyDescent="0.25">
      <c r="B170" s="323">
        <v>160</v>
      </c>
      <c r="C170" s="414">
        <v>6</v>
      </c>
      <c r="D170" s="415" t="s">
        <v>5450</v>
      </c>
      <c r="E170" s="416" t="s">
        <v>5443</v>
      </c>
      <c r="F170" s="417">
        <v>1810000</v>
      </c>
      <c r="G170" s="395" t="s">
        <v>4878</v>
      </c>
      <c r="H170" s="415" t="s">
        <v>5451</v>
      </c>
      <c r="I170" s="415" t="s">
        <v>5445</v>
      </c>
      <c r="J170" s="415" t="s">
        <v>4878</v>
      </c>
      <c r="K170" s="420" t="s">
        <v>5452</v>
      </c>
      <c r="L170" s="418" t="s">
        <v>531</v>
      </c>
      <c r="M170" s="418" t="s">
        <v>5218</v>
      </c>
      <c r="N170" s="414"/>
      <c r="O170" s="414">
        <v>52</v>
      </c>
    </row>
    <row r="172" spans="2:15" ht="69.900000000000006" customHeight="1" x14ac:dyDescent="0.25">
      <c r="N172" s="406" t="s">
        <v>4644</v>
      </c>
    </row>
  </sheetData>
  <sortState xmlns:xlrd2="http://schemas.microsoft.com/office/spreadsheetml/2017/richdata2" ref="B11:K51">
    <sortCondition ref="H11:H51"/>
  </sortState>
  <conditionalFormatting sqref="D113:D116">
    <cfRule type="duplicateValues" dxfId="534" priority="3"/>
  </conditionalFormatting>
  <conditionalFormatting sqref="D11:D170">
    <cfRule type="duplicateValues" dxfId="533" priority="28"/>
    <cfRule type="duplicateValues" dxfId="532"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opLeftCell="B22" zoomScale="70" zoomScaleNormal="70" zoomScaleSheetLayoutView="70" workbookViewId="0">
      <selection activeCell="J32" sqref="J32"/>
    </sheetView>
  </sheetViews>
  <sheetFormatPr defaultRowHeight="14.4" x14ac:dyDescent="0.3"/>
  <cols>
    <col min="3" max="3" width="99.109375" style="301" bestFit="1" customWidth="1"/>
    <col min="4" max="4" width="15.88671875" bestFit="1" customWidth="1"/>
    <col min="5" max="5" width="14.88671875" bestFit="1" customWidth="1"/>
    <col min="6" max="6" width="8" bestFit="1" customWidth="1"/>
    <col min="7" max="7" width="15.88671875" bestFit="1" customWidth="1"/>
    <col min="8" max="8" width="7.6640625" bestFit="1" customWidth="1"/>
    <col min="9" max="9" width="18.5546875" bestFit="1" customWidth="1"/>
    <col min="10" max="10" width="21.44140625" customWidth="1"/>
    <col min="13" max="13" width="14.33203125" style="274" customWidth="1"/>
    <col min="18" max="18" width="19.33203125" customWidth="1"/>
    <col min="21" max="21" width="11.5546875" bestFit="1" customWidth="1"/>
  </cols>
  <sheetData>
    <row r="1" spans="3:18" ht="18.600000000000001" x14ac:dyDescent="0.45">
      <c r="C1" s="444" t="str">
        <f>PERSUBBID!A1</f>
        <v>REALISASI TANPA GAJI</v>
      </c>
      <c r="D1" s="444"/>
      <c r="E1" s="444"/>
      <c r="F1" s="444"/>
      <c r="G1" s="444"/>
      <c r="H1" s="444"/>
    </row>
    <row r="2" spans="3:18" ht="18.600000000000001" x14ac:dyDescent="0.45">
      <c r="C2" s="444" t="str">
        <f>PERSUBBID!A2</f>
        <v>Berdasarkan DIPA Revisi 1 POK 2 TA. 2022 (Tanggal 22 Maret 2022)</v>
      </c>
      <c r="D2" s="444"/>
      <c r="E2" s="444"/>
      <c r="F2" s="444"/>
      <c r="G2" s="444"/>
      <c r="H2" s="444"/>
    </row>
    <row r="3" spans="3:18" ht="18.600000000000001" x14ac:dyDescent="0.45">
      <c r="C3" s="444" t="str">
        <f>PERSUBBID!A3</f>
        <v>SAMPAI DENGAN 15 JUNI 2022</v>
      </c>
      <c r="D3" s="444"/>
      <c r="E3" s="444"/>
      <c r="F3" s="444"/>
      <c r="G3" s="444"/>
      <c r="H3" s="444"/>
    </row>
    <row r="4" spans="3:18" x14ac:dyDescent="0.3">
      <c r="C4" s="372"/>
      <c r="D4" s="372"/>
      <c r="E4" s="372"/>
      <c r="F4" s="372"/>
      <c r="G4" s="372"/>
      <c r="H4" s="372"/>
    </row>
    <row r="5" spans="3:18" ht="15.6" x14ac:dyDescent="0.3">
      <c r="C5" s="373" t="s">
        <v>4849</v>
      </c>
      <c r="D5" s="374" t="s">
        <v>4844</v>
      </c>
      <c r="E5" s="374" t="s">
        <v>4845</v>
      </c>
      <c r="F5" s="374" t="s">
        <v>4846</v>
      </c>
      <c r="G5" s="374" t="s">
        <v>4847</v>
      </c>
      <c r="H5" s="374" t="s">
        <v>4848</v>
      </c>
    </row>
    <row r="6" spans="3:18" ht="17.100000000000001" customHeight="1" x14ac:dyDescent="0.3">
      <c r="C6" s="310" t="s">
        <v>530</v>
      </c>
      <c r="D6" s="314">
        <v>16863164000</v>
      </c>
      <c r="E6" s="314">
        <v>6067322932</v>
      </c>
      <c r="F6" s="313">
        <v>35.97974218835801</v>
      </c>
      <c r="G6" s="314">
        <v>10795841068</v>
      </c>
      <c r="H6" s="313">
        <v>64.020257811641983</v>
      </c>
      <c r="R6" s="274"/>
    </row>
    <row r="7" spans="3:18" x14ac:dyDescent="0.3">
      <c r="C7" s="377" t="s">
        <v>4696</v>
      </c>
      <c r="D7" s="375">
        <v>1000000000</v>
      </c>
      <c r="E7" s="375">
        <v>368522100</v>
      </c>
      <c r="F7" s="376">
        <v>36.852209999999999</v>
      </c>
      <c r="G7" s="375">
        <v>631477900</v>
      </c>
      <c r="H7" s="376">
        <v>63.147790000000001</v>
      </c>
      <c r="R7" s="274"/>
    </row>
    <row r="8" spans="3:18" x14ac:dyDescent="0.3">
      <c r="C8" s="377" t="s">
        <v>4706</v>
      </c>
      <c r="D8" s="375">
        <v>1000000000</v>
      </c>
      <c r="E8" s="375">
        <v>368522100</v>
      </c>
      <c r="F8" s="376">
        <v>36.852209999999999</v>
      </c>
      <c r="G8" s="375">
        <v>631477900</v>
      </c>
      <c r="H8" s="376">
        <v>63.147790000000001</v>
      </c>
    </row>
    <row r="9" spans="3:18" ht="17.100000000000001" customHeight="1" x14ac:dyDescent="0.3">
      <c r="C9" s="378" t="s">
        <v>535</v>
      </c>
      <c r="D9" s="379">
        <v>821400000</v>
      </c>
      <c r="E9" s="379">
        <v>288789600</v>
      </c>
      <c r="F9" s="380">
        <v>35.158217677136591</v>
      </c>
      <c r="G9" s="379">
        <v>532610400</v>
      </c>
      <c r="H9" s="380">
        <v>64.841782322863409</v>
      </c>
    </row>
    <row r="10" spans="3:18" x14ac:dyDescent="0.3">
      <c r="C10" s="226" t="s">
        <v>536</v>
      </c>
      <c r="D10" s="299">
        <v>686300000</v>
      </c>
      <c r="E10" s="299">
        <v>214180240</v>
      </c>
      <c r="F10" s="300">
        <v>31.207961532857354</v>
      </c>
      <c r="G10" s="299">
        <v>472119760</v>
      </c>
      <c r="H10" s="300">
        <v>68.792038467142646</v>
      </c>
    </row>
    <row r="11" spans="3:18" x14ac:dyDescent="0.3">
      <c r="C11" s="377" t="s">
        <v>4708</v>
      </c>
      <c r="D11" s="375">
        <v>686300000</v>
      </c>
      <c r="E11" s="375">
        <v>214180240</v>
      </c>
      <c r="F11" s="376">
        <v>31.207961532857354</v>
      </c>
      <c r="G11" s="375">
        <v>472119760</v>
      </c>
      <c r="H11" s="376">
        <v>68.792038467142646</v>
      </c>
    </row>
    <row r="12" spans="3:18" x14ac:dyDescent="0.3">
      <c r="C12" s="401" t="s">
        <v>4714</v>
      </c>
      <c r="D12" s="232">
        <v>686300000</v>
      </c>
      <c r="E12" s="232">
        <v>214180240</v>
      </c>
      <c r="F12" s="231">
        <v>31.207961532857354</v>
      </c>
      <c r="G12" s="232">
        <v>472119760</v>
      </c>
      <c r="H12" s="231">
        <v>68.792038467142646</v>
      </c>
    </row>
    <row r="13" spans="3:18" x14ac:dyDescent="0.3">
      <c r="C13" s="383" t="s">
        <v>4715</v>
      </c>
      <c r="D13" s="381">
        <v>386924000</v>
      </c>
      <c r="E13" s="381">
        <v>58923650</v>
      </c>
      <c r="F13" s="382">
        <v>15.228740010958225</v>
      </c>
      <c r="G13" s="381">
        <v>328000350</v>
      </c>
      <c r="H13" s="382">
        <v>84.771259989041781</v>
      </c>
    </row>
    <row r="14" spans="3:18" x14ac:dyDescent="0.3">
      <c r="C14" s="387" t="s">
        <v>4698</v>
      </c>
      <c r="D14" s="375">
        <v>64900000</v>
      </c>
      <c r="E14" s="375">
        <v>6195000</v>
      </c>
      <c r="F14" s="376">
        <v>9.5454545454545467</v>
      </c>
      <c r="G14" s="375">
        <v>58705000</v>
      </c>
      <c r="H14" s="376">
        <v>90.454545454545453</v>
      </c>
    </row>
    <row r="15" spans="3:18" x14ac:dyDescent="0.3">
      <c r="C15" s="387" t="s">
        <v>4711</v>
      </c>
      <c r="D15" s="375">
        <v>6000000</v>
      </c>
      <c r="E15" s="375">
        <v>963000</v>
      </c>
      <c r="F15" s="376">
        <v>16.05</v>
      </c>
      <c r="G15" s="375">
        <v>5037000</v>
      </c>
      <c r="H15" s="376">
        <v>83.95</v>
      </c>
    </row>
    <row r="16" spans="3:18" x14ac:dyDescent="0.3">
      <c r="C16" s="387" t="s">
        <v>4716</v>
      </c>
      <c r="D16" s="375">
        <v>30000000</v>
      </c>
      <c r="E16" s="375">
        <v>9537000</v>
      </c>
      <c r="F16" s="376">
        <v>31.790000000000003</v>
      </c>
      <c r="G16" s="375">
        <v>20463000</v>
      </c>
      <c r="H16" s="376">
        <v>68.210000000000008</v>
      </c>
    </row>
    <row r="17" spans="3:21" x14ac:dyDescent="0.3">
      <c r="C17" s="387" t="s">
        <v>4701</v>
      </c>
      <c r="D17" s="375">
        <v>25200000</v>
      </c>
      <c r="E17" s="375">
        <v>9000000</v>
      </c>
      <c r="F17" s="376">
        <v>35.714285714285715</v>
      </c>
      <c r="G17" s="375">
        <v>16200000</v>
      </c>
      <c r="H17" s="376">
        <v>64.285714285714292</v>
      </c>
    </row>
    <row r="18" spans="3:21" x14ac:dyDescent="0.3">
      <c r="C18" s="387" t="s">
        <v>4703</v>
      </c>
      <c r="D18" s="375">
        <v>6000000</v>
      </c>
      <c r="E18" s="375">
        <v>0</v>
      </c>
      <c r="F18" s="376">
        <v>0</v>
      </c>
      <c r="G18" s="375">
        <v>6000000</v>
      </c>
      <c r="H18" s="376">
        <v>100</v>
      </c>
    </row>
    <row r="19" spans="3:21" x14ac:dyDescent="0.3">
      <c r="C19" s="387" t="s">
        <v>4702</v>
      </c>
      <c r="D19" s="375">
        <v>253324000</v>
      </c>
      <c r="E19" s="375">
        <v>33228650</v>
      </c>
      <c r="F19" s="376">
        <v>13.117055628365257</v>
      </c>
      <c r="G19" s="375">
        <v>220095350</v>
      </c>
      <c r="H19" s="376">
        <v>86.882944371634736</v>
      </c>
    </row>
    <row r="20" spans="3:21" x14ac:dyDescent="0.3">
      <c r="C20" s="387" t="s">
        <v>508</v>
      </c>
      <c r="D20" s="375">
        <v>1500000</v>
      </c>
      <c r="E20" s="375">
        <v>0</v>
      </c>
      <c r="F20" s="376">
        <v>0</v>
      </c>
      <c r="G20" s="375">
        <v>1500000</v>
      </c>
      <c r="H20" s="376">
        <v>100</v>
      </c>
    </row>
    <row r="21" spans="3:21" x14ac:dyDescent="0.3">
      <c r="C21" s="383" t="s">
        <v>4717</v>
      </c>
      <c r="D21" s="381">
        <v>247816000</v>
      </c>
      <c r="E21" s="381">
        <v>155256590</v>
      </c>
      <c r="F21" s="382">
        <v>62.649945927623719</v>
      </c>
      <c r="G21" s="381">
        <v>92559410</v>
      </c>
      <c r="H21" s="382">
        <v>37.350054072376281</v>
      </c>
    </row>
    <row r="22" spans="3:21" x14ac:dyDescent="0.3">
      <c r="C22" s="387" t="s">
        <v>4698</v>
      </c>
      <c r="D22" s="375">
        <v>71456000</v>
      </c>
      <c r="E22" s="375">
        <v>10438550</v>
      </c>
      <c r="F22" s="376">
        <v>14.60836038961039</v>
      </c>
      <c r="G22" s="375">
        <v>61017450</v>
      </c>
      <c r="H22" s="376">
        <v>85.391639610389618</v>
      </c>
      <c r="U22" s="276"/>
    </row>
    <row r="23" spans="3:21" x14ac:dyDescent="0.3">
      <c r="C23" s="387" t="s">
        <v>4711</v>
      </c>
      <c r="D23" s="375">
        <v>5000000</v>
      </c>
      <c r="E23" s="375">
        <v>4262850</v>
      </c>
      <c r="F23" s="376">
        <v>85.257000000000005</v>
      </c>
      <c r="G23" s="375">
        <v>737150</v>
      </c>
      <c r="H23" s="376">
        <v>14.743</v>
      </c>
      <c r="U23" s="276"/>
    </row>
    <row r="24" spans="3:21" x14ac:dyDescent="0.3">
      <c r="C24" s="387" t="s">
        <v>4716</v>
      </c>
      <c r="D24" s="375">
        <v>15000000</v>
      </c>
      <c r="E24" s="375">
        <v>2453500</v>
      </c>
      <c r="F24" s="376">
        <v>16.356666666666666</v>
      </c>
      <c r="G24" s="375">
        <v>12546500</v>
      </c>
      <c r="H24" s="376">
        <v>83.643333333333331</v>
      </c>
    </row>
    <row r="25" spans="3:21" x14ac:dyDescent="0.3">
      <c r="C25" s="387" t="s">
        <v>4701</v>
      </c>
      <c r="D25" s="375">
        <v>16200000</v>
      </c>
      <c r="E25" s="375">
        <v>6300000</v>
      </c>
      <c r="F25" s="376">
        <v>38.888888888888893</v>
      </c>
      <c r="G25" s="375">
        <v>9900000</v>
      </c>
      <c r="H25" s="376">
        <v>61.111111111111114</v>
      </c>
    </row>
    <row r="26" spans="3:21" x14ac:dyDescent="0.3">
      <c r="C26" s="387" t="s">
        <v>4703</v>
      </c>
      <c r="D26" s="375">
        <v>2000000</v>
      </c>
      <c r="E26" s="375">
        <v>365000</v>
      </c>
      <c r="F26" s="376">
        <v>18.25</v>
      </c>
      <c r="G26" s="375">
        <v>1635000</v>
      </c>
      <c r="H26" s="376">
        <v>81.75</v>
      </c>
    </row>
    <row r="27" spans="3:21" x14ac:dyDescent="0.3">
      <c r="C27" s="387" t="s">
        <v>4702</v>
      </c>
      <c r="D27" s="375">
        <v>138160000</v>
      </c>
      <c r="E27" s="375">
        <v>131436690</v>
      </c>
      <c r="F27" s="376">
        <v>95.133678343949043</v>
      </c>
      <c r="G27" s="375">
        <v>6723310</v>
      </c>
      <c r="H27" s="376">
        <v>4.866321656050955</v>
      </c>
    </row>
    <row r="28" spans="3:21" x14ac:dyDescent="0.3">
      <c r="C28" s="383" t="s">
        <v>4742</v>
      </c>
      <c r="D28" s="381">
        <v>51560000</v>
      </c>
      <c r="E28" s="381">
        <v>0</v>
      </c>
      <c r="F28" s="382">
        <v>0</v>
      </c>
      <c r="G28" s="381">
        <v>51560000</v>
      </c>
      <c r="H28" s="382">
        <v>100</v>
      </c>
    </row>
    <row r="29" spans="3:21" x14ac:dyDescent="0.3">
      <c r="C29" s="387" t="s">
        <v>4698</v>
      </c>
      <c r="D29" s="375">
        <v>20830000</v>
      </c>
      <c r="E29" s="375">
        <v>0</v>
      </c>
      <c r="F29" s="376">
        <v>0</v>
      </c>
      <c r="G29" s="375">
        <v>20830000</v>
      </c>
      <c r="H29" s="376">
        <v>100</v>
      </c>
    </row>
    <row r="30" spans="3:21" x14ac:dyDescent="0.3">
      <c r="C30" s="387" t="s">
        <v>4711</v>
      </c>
      <c r="D30" s="375">
        <v>500000</v>
      </c>
      <c r="E30" s="375">
        <v>0</v>
      </c>
      <c r="F30" s="376">
        <v>0</v>
      </c>
      <c r="G30" s="375">
        <v>500000</v>
      </c>
      <c r="H30" s="376">
        <v>100</v>
      </c>
    </row>
    <row r="31" spans="3:21" x14ac:dyDescent="0.3">
      <c r="C31" s="387" t="s">
        <v>4701</v>
      </c>
      <c r="D31" s="375">
        <v>7200000</v>
      </c>
      <c r="E31" s="375">
        <v>0</v>
      </c>
      <c r="F31" s="376">
        <v>0</v>
      </c>
      <c r="G31" s="375">
        <v>7200000</v>
      </c>
      <c r="H31" s="376">
        <v>100</v>
      </c>
    </row>
    <row r="32" spans="3:21" x14ac:dyDescent="0.3">
      <c r="C32" s="387" t="s">
        <v>4702</v>
      </c>
      <c r="D32" s="375">
        <v>23030000</v>
      </c>
      <c r="E32" s="375">
        <v>0</v>
      </c>
      <c r="F32" s="376">
        <v>0</v>
      </c>
      <c r="G32" s="375">
        <v>23030000</v>
      </c>
      <c r="H32" s="376">
        <v>100</v>
      </c>
    </row>
    <row r="33" spans="3:8" x14ac:dyDescent="0.3">
      <c r="C33" s="226" t="s">
        <v>538</v>
      </c>
      <c r="D33" s="299">
        <v>135100000</v>
      </c>
      <c r="E33" s="299">
        <v>74609360</v>
      </c>
      <c r="F33" s="300">
        <v>55.22528497409327</v>
      </c>
      <c r="G33" s="299">
        <v>60490640</v>
      </c>
      <c r="H33" s="300">
        <v>44.774715025906737</v>
      </c>
    </row>
    <row r="34" spans="3:8" x14ac:dyDescent="0.3">
      <c r="C34" s="377" t="s">
        <v>4708</v>
      </c>
      <c r="D34" s="375">
        <v>135100000</v>
      </c>
      <c r="E34" s="375">
        <v>74609360</v>
      </c>
      <c r="F34" s="376">
        <v>55.22528497409327</v>
      </c>
      <c r="G34" s="375">
        <v>60490640</v>
      </c>
      <c r="H34" s="376">
        <v>44.774715025906737</v>
      </c>
    </row>
    <row r="35" spans="3:8" x14ac:dyDescent="0.3">
      <c r="C35" s="401" t="s">
        <v>4718</v>
      </c>
      <c r="D35" s="232">
        <v>135100000</v>
      </c>
      <c r="E35" s="232">
        <v>74609360</v>
      </c>
      <c r="F35" s="231">
        <v>55.22528497409327</v>
      </c>
      <c r="G35" s="232">
        <v>60490640</v>
      </c>
      <c r="H35" s="231">
        <v>44.774715025906737</v>
      </c>
    </row>
    <row r="36" spans="3:8" x14ac:dyDescent="0.3">
      <c r="C36" s="383" t="s">
        <v>4719</v>
      </c>
      <c r="D36" s="381">
        <v>135100000</v>
      </c>
      <c r="E36" s="381">
        <v>74609360</v>
      </c>
      <c r="F36" s="382">
        <v>55.22528497409327</v>
      </c>
      <c r="G36" s="381">
        <v>60490640</v>
      </c>
      <c r="H36" s="382">
        <v>44.774715025906737</v>
      </c>
    </row>
    <row r="37" spans="3:8" x14ac:dyDescent="0.3">
      <c r="C37" s="387" t="s">
        <v>4698</v>
      </c>
      <c r="D37" s="375">
        <v>13900000</v>
      </c>
      <c r="E37" s="375">
        <v>9490750</v>
      </c>
      <c r="F37" s="376">
        <v>68.27877697841727</v>
      </c>
      <c r="G37" s="375">
        <v>4409250</v>
      </c>
      <c r="H37" s="376">
        <v>31.721223021582734</v>
      </c>
    </row>
    <row r="38" spans="3:8" x14ac:dyDescent="0.3">
      <c r="C38" s="387" t="s">
        <v>4711</v>
      </c>
      <c r="D38" s="375">
        <v>8784000</v>
      </c>
      <c r="E38" s="375">
        <v>0</v>
      </c>
      <c r="F38" s="376">
        <v>0</v>
      </c>
      <c r="G38" s="375">
        <v>8784000</v>
      </c>
      <c r="H38" s="376">
        <v>100</v>
      </c>
    </row>
    <row r="39" spans="3:8" x14ac:dyDescent="0.3">
      <c r="C39" s="387" t="s">
        <v>4701</v>
      </c>
      <c r="D39" s="375">
        <v>10000000</v>
      </c>
      <c r="E39" s="375">
        <v>7200000</v>
      </c>
      <c r="F39" s="376">
        <v>72</v>
      </c>
      <c r="G39" s="375">
        <v>2800000</v>
      </c>
      <c r="H39" s="376">
        <v>28.000000000000004</v>
      </c>
    </row>
    <row r="40" spans="3:8" x14ac:dyDescent="0.3">
      <c r="C40" s="387" t="s">
        <v>4703</v>
      </c>
      <c r="D40" s="375">
        <v>5000000</v>
      </c>
      <c r="E40" s="375">
        <v>0</v>
      </c>
      <c r="F40" s="376">
        <v>0</v>
      </c>
      <c r="G40" s="375">
        <v>5000000</v>
      </c>
      <c r="H40" s="376">
        <v>100</v>
      </c>
    </row>
    <row r="41" spans="3:8" x14ac:dyDescent="0.3">
      <c r="C41" s="387" t="s">
        <v>4702</v>
      </c>
      <c r="D41" s="375">
        <v>97416000</v>
      </c>
      <c r="E41" s="375">
        <v>57918610</v>
      </c>
      <c r="F41" s="376">
        <v>59.454925268949651</v>
      </c>
      <c r="G41" s="375">
        <v>39497390</v>
      </c>
      <c r="H41" s="376">
        <v>40.545074731050342</v>
      </c>
    </row>
    <row r="42" spans="3:8" x14ac:dyDescent="0.3">
      <c r="C42" s="378" t="s">
        <v>531</v>
      </c>
      <c r="D42" s="379">
        <v>178600000</v>
      </c>
      <c r="E42" s="379">
        <v>79732500</v>
      </c>
      <c r="F42" s="380">
        <v>44.643057110862259</v>
      </c>
      <c r="G42" s="379">
        <v>98867500</v>
      </c>
      <c r="H42" s="380">
        <v>55.356942889137741</v>
      </c>
    </row>
    <row r="43" spans="3:8" x14ac:dyDescent="0.3">
      <c r="C43" s="226" t="s">
        <v>532</v>
      </c>
      <c r="D43" s="299">
        <v>124100000</v>
      </c>
      <c r="E43" s="299">
        <v>55518000</v>
      </c>
      <c r="F43" s="300">
        <v>44.736502820306207</v>
      </c>
      <c r="G43" s="299">
        <v>68582000</v>
      </c>
      <c r="H43" s="300">
        <v>55.2634971796938</v>
      </c>
    </row>
    <row r="44" spans="3:8" x14ac:dyDescent="0.3">
      <c r="C44" s="377" t="s">
        <v>4708</v>
      </c>
      <c r="D44" s="375">
        <v>124100000</v>
      </c>
      <c r="E44" s="375">
        <v>55518000</v>
      </c>
      <c r="F44" s="376">
        <v>44.736502820306207</v>
      </c>
      <c r="G44" s="375">
        <v>68582000</v>
      </c>
      <c r="H44" s="376">
        <v>55.2634971796938</v>
      </c>
    </row>
    <row r="45" spans="3:8" x14ac:dyDescent="0.3">
      <c r="C45" s="401" t="s">
        <v>4709</v>
      </c>
      <c r="D45" s="232">
        <v>124100000</v>
      </c>
      <c r="E45" s="232">
        <v>55518000</v>
      </c>
      <c r="F45" s="231">
        <v>44.736502820306207</v>
      </c>
      <c r="G45" s="232">
        <v>68582000</v>
      </c>
      <c r="H45" s="231">
        <v>55.2634971796938</v>
      </c>
    </row>
    <row r="46" spans="3:8" x14ac:dyDescent="0.3">
      <c r="C46" s="383" t="s">
        <v>4710</v>
      </c>
      <c r="D46" s="381">
        <v>83135000</v>
      </c>
      <c r="E46" s="381">
        <v>33957000</v>
      </c>
      <c r="F46" s="382">
        <v>40.845612557887776</v>
      </c>
      <c r="G46" s="381">
        <v>49178000</v>
      </c>
      <c r="H46" s="382">
        <v>59.154387442112224</v>
      </c>
    </row>
    <row r="47" spans="3:8" ht="17.100000000000001" customHeight="1" x14ac:dyDescent="0.3">
      <c r="C47" s="387" t="s">
        <v>4698</v>
      </c>
      <c r="D47" s="375">
        <v>19875000</v>
      </c>
      <c r="E47" s="375">
        <v>5581000</v>
      </c>
      <c r="F47" s="376">
        <v>28.080503144654088</v>
      </c>
      <c r="G47" s="375">
        <v>14294000</v>
      </c>
      <c r="H47" s="376">
        <v>71.919496855345912</v>
      </c>
    </row>
    <row r="48" spans="3:8" x14ac:dyDescent="0.3">
      <c r="C48" s="387" t="s">
        <v>4701</v>
      </c>
      <c r="D48" s="375">
        <v>20000000</v>
      </c>
      <c r="E48" s="375">
        <v>2100000</v>
      </c>
      <c r="F48" s="376">
        <v>10.5</v>
      </c>
      <c r="G48" s="375">
        <v>17900000</v>
      </c>
      <c r="H48" s="376">
        <v>89.5</v>
      </c>
    </row>
    <row r="49" spans="3:8" x14ac:dyDescent="0.3">
      <c r="C49" s="387" t="s">
        <v>4702</v>
      </c>
      <c r="D49" s="375">
        <v>43260000</v>
      </c>
      <c r="E49" s="375">
        <v>26276000</v>
      </c>
      <c r="F49" s="376">
        <v>60.739713361072589</v>
      </c>
      <c r="G49" s="375">
        <v>16984000</v>
      </c>
      <c r="H49" s="376">
        <v>39.260286638927418</v>
      </c>
    </row>
    <row r="50" spans="3:8" x14ac:dyDescent="0.3">
      <c r="C50" s="383" t="s">
        <v>4712</v>
      </c>
      <c r="D50" s="381">
        <v>40965000</v>
      </c>
      <c r="E50" s="381">
        <v>21561000</v>
      </c>
      <c r="F50" s="382">
        <v>52.632735261808861</v>
      </c>
      <c r="G50" s="381">
        <v>19404000</v>
      </c>
      <c r="H50" s="382">
        <v>47.367264738191139</v>
      </c>
    </row>
    <row r="51" spans="3:8" x14ac:dyDescent="0.3">
      <c r="C51" s="387" t="s">
        <v>4698</v>
      </c>
      <c r="D51" s="375">
        <v>19500000</v>
      </c>
      <c r="E51" s="375">
        <v>4041000</v>
      </c>
      <c r="F51" s="376">
        <v>20.723076923076921</v>
      </c>
      <c r="G51" s="375">
        <v>15459000</v>
      </c>
      <c r="H51" s="376">
        <v>79.276923076923083</v>
      </c>
    </row>
    <row r="52" spans="3:8" x14ac:dyDescent="0.3">
      <c r="C52" s="387" t="s">
        <v>4701</v>
      </c>
      <c r="D52" s="375">
        <v>4000000</v>
      </c>
      <c r="E52" s="375">
        <v>900000</v>
      </c>
      <c r="F52" s="376">
        <v>22.5</v>
      </c>
      <c r="G52" s="375">
        <v>3100000</v>
      </c>
      <c r="H52" s="376">
        <v>77.5</v>
      </c>
    </row>
    <row r="53" spans="3:8" x14ac:dyDescent="0.3">
      <c r="C53" s="387" t="s">
        <v>4702</v>
      </c>
      <c r="D53" s="375">
        <v>17465000</v>
      </c>
      <c r="E53" s="375">
        <v>16620000</v>
      </c>
      <c r="F53" s="376">
        <v>95.161752075579727</v>
      </c>
      <c r="G53" s="375">
        <v>845000</v>
      </c>
      <c r="H53" s="376">
        <v>4.8382479244202692</v>
      </c>
    </row>
    <row r="54" spans="3:8" x14ac:dyDescent="0.3">
      <c r="C54" s="226" t="s">
        <v>534</v>
      </c>
      <c r="D54" s="299">
        <v>54500000</v>
      </c>
      <c r="E54" s="299">
        <v>24214500</v>
      </c>
      <c r="F54" s="300">
        <v>44.430275229357797</v>
      </c>
      <c r="G54" s="299">
        <v>30285500</v>
      </c>
      <c r="H54" s="300">
        <v>55.569724770642203</v>
      </c>
    </row>
    <row r="55" spans="3:8" x14ac:dyDescent="0.3">
      <c r="C55" s="377" t="s">
        <v>4708</v>
      </c>
      <c r="D55" s="375">
        <v>54500000</v>
      </c>
      <c r="E55" s="375">
        <v>24214500</v>
      </c>
      <c r="F55" s="376">
        <v>44.430275229357797</v>
      </c>
      <c r="G55" s="375">
        <v>30285500</v>
      </c>
      <c r="H55" s="376">
        <v>55.569724770642203</v>
      </c>
    </row>
    <row r="56" spans="3:8" x14ac:dyDescent="0.3">
      <c r="C56" s="401" t="s">
        <v>4713</v>
      </c>
      <c r="D56" s="232">
        <v>54500000</v>
      </c>
      <c r="E56" s="232">
        <v>24214500</v>
      </c>
      <c r="F56" s="231">
        <v>44.430275229357797</v>
      </c>
      <c r="G56" s="232">
        <v>30285500</v>
      </c>
      <c r="H56" s="231">
        <v>55.569724770642203</v>
      </c>
    </row>
    <row r="57" spans="3:8" x14ac:dyDescent="0.3">
      <c r="C57" s="383" t="s">
        <v>4741</v>
      </c>
      <c r="D57" s="381">
        <v>54500000</v>
      </c>
      <c r="E57" s="381">
        <v>24214500</v>
      </c>
      <c r="F57" s="382">
        <v>44.430275229357797</v>
      </c>
      <c r="G57" s="381">
        <v>30285500</v>
      </c>
      <c r="H57" s="382">
        <v>55.569724770642203</v>
      </c>
    </row>
    <row r="58" spans="3:8" x14ac:dyDescent="0.3">
      <c r="C58" s="387" t="s">
        <v>4698</v>
      </c>
      <c r="D58" s="375">
        <v>21250000</v>
      </c>
      <c r="E58" s="375">
        <v>3120000</v>
      </c>
      <c r="F58" s="376">
        <v>14.682352941176472</v>
      </c>
      <c r="G58" s="375">
        <v>18130000</v>
      </c>
      <c r="H58" s="376">
        <v>85.317647058823525</v>
      </c>
    </row>
    <row r="59" spans="3:8" x14ac:dyDescent="0.3">
      <c r="C59" s="387" t="s">
        <v>4702</v>
      </c>
      <c r="D59" s="375">
        <v>33250000</v>
      </c>
      <c r="E59" s="375">
        <v>21094500</v>
      </c>
      <c r="F59" s="376">
        <v>63.442105263157899</v>
      </c>
      <c r="G59" s="375">
        <v>12155500</v>
      </c>
      <c r="H59" s="376">
        <v>36.557894736842108</v>
      </c>
    </row>
    <row r="60" spans="3:8" x14ac:dyDescent="0.3">
      <c r="C60" s="377" t="s">
        <v>4721</v>
      </c>
      <c r="D60" s="375">
        <v>15863164000</v>
      </c>
      <c r="E60" s="375">
        <v>5698800832</v>
      </c>
      <c r="F60" s="376">
        <v>35.924742579727479</v>
      </c>
      <c r="G60" s="375">
        <v>10164363168</v>
      </c>
      <c r="H60" s="376">
        <v>64.075257420272521</v>
      </c>
    </row>
    <row r="61" spans="3:8" x14ac:dyDescent="0.3">
      <c r="C61" s="377" t="s">
        <v>4722</v>
      </c>
      <c r="D61" s="375">
        <v>7280664000</v>
      </c>
      <c r="E61" s="375">
        <v>2222086920</v>
      </c>
      <c r="F61" s="376">
        <v>30.520388250302442</v>
      </c>
      <c r="G61" s="375">
        <v>5058577080</v>
      </c>
      <c r="H61" s="376">
        <v>69.479611749697554</v>
      </c>
    </row>
    <row r="62" spans="3:8" x14ac:dyDescent="0.3">
      <c r="C62" s="378" t="s">
        <v>535</v>
      </c>
      <c r="D62" s="379">
        <v>450000000</v>
      </c>
      <c r="E62" s="379">
        <v>13647358</v>
      </c>
      <c r="F62" s="380">
        <v>3.0327462222222223</v>
      </c>
      <c r="G62" s="379">
        <v>436352642</v>
      </c>
      <c r="H62" s="380">
        <v>96.967253777777771</v>
      </c>
    </row>
    <row r="63" spans="3:8" x14ac:dyDescent="0.3">
      <c r="C63" s="226" t="s">
        <v>538</v>
      </c>
      <c r="D63" s="299">
        <v>450000000</v>
      </c>
      <c r="E63" s="299">
        <v>13647358</v>
      </c>
      <c r="F63" s="300">
        <v>3.0327462222222223</v>
      </c>
      <c r="G63" s="299">
        <v>436352642</v>
      </c>
      <c r="H63" s="300">
        <v>96.967253777777771</v>
      </c>
    </row>
    <row r="64" spans="3:8" x14ac:dyDescent="0.3">
      <c r="C64" s="377" t="s">
        <v>4754</v>
      </c>
      <c r="D64" s="375">
        <v>450000000</v>
      </c>
      <c r="E64" s="375">
        <v>13647358</v>
      </c>
      <c r="F64" s="376">
        <v>3.0327462222222223</v>
      </c>
      <c r="G64" s="375">
        <v>436352642</v>
      </c>
      <c r="H64" s="376">
        <v>96.967253777777771</v>
      </c>
    </row>
    <row r="65" spans="3:8" x14ac:dyDescent="0.3">
      <c r="C65" s="401" t="s">
        <v>4753</v>
      </c>
      <c r="D65" s="232">
        <v>450000000</v>
      </c>
      <c r="E65" s="232">
        <v>13647358</v>
      </c>
      <c r="F65" s="231">
        <v>3.0327462222222223</v>
      </c>
      <c r="G65" s="232">
        <v>436352642</v>
      </c>
      <c r="H65" s="231">
        <v>96.967253777777771</v>
      </c>
    </row>
    <row r="66" spans="3:8" x14ac:dyDescent="0.3">
      <c r="C66" s="383" t="s">
        <v>4758</v>
      </c>
      <c r="D66" s="381">
        <v>450000000</v>
      </c>
      <c r="E66" s="381">
        <v>13647358</v>
      </c>
      <c r="F66" s="382">
        <v>3.0327462222222223</v>
      </c>
      <c r="G66" s="381">
        <v>436352642</v>
      </c>
      <c r="H66" s="382">
        <v>96.967253777777771</v>
      </c>
    </row>
    <row r="67" spans="3:8" x14ac:dyDescent="0.3">
      <c r="C67" s="387" t="s">
        <v>4698</v>
      </c>
      <c r="D67" s="375">
        <v>32000000</v>
      </c>
      <c r="E67" s="375">
        <v>3999200</v>
      </c>
      <c r="F67" s="376">
        <v>12.4975</v>
      </c>
      <c r="G67" s="375">
        <v>28000800</v>
      </c>
      <c r="H67" s="376">
        <v>87.502500000000012</v>
      </c>
    </row>
    <row r="68" spans="3:8" x14ac:dyDescent="0.3">
      <c r="C68" s="387" t="s">
        <v>4711</v>
      </c>
      <c r="D68" s="375">
        <v>298141000</v>
      </c>
      <c r="E68" s="375">
        <v>4297458</v>
      </c>
      <c r="F68" s="376">
        <v>1.4414179867914845</v>
      </c>
      <c r="G68" s="375">
        <v>293843542</v>
      </c>
      <c r="H68" s="376">
        <v>98.558582013208522</v>
      </c>
    </row>
    <row r="69" spans="3:8" x14ac:dyDescent="0.3">
      <c r="C69" s="387" t="s">
        <v>4701</v>
      </c>
      <c r="D69" s="375">
        <v>30000000</v>
      </c>
      <c r="E69" s="375">
        <v>0</v>
      </c>
      <c r="F69" s="376">
        <v>0</v>
      </c>
      <c r="G69" s="375">
        <v>30000000</v>
      </c>
      <c r="H69" s="376">
        <v>100</v>
      </c>
    </row>
    <row r="70" spans="3:8" x14ac:dyDescent="0.3">
      <c r="C70" s="387" t="s">
        <v>4703</v>
      </c>
      <c r="D70" s="375">
        <v>8000000</v>
      </c>
      <c r="E70" s="375">
        <v>0</v>
      </c>
      <c r="F70" s="376">
        <v>0</v>
      </c>
      <c r="G70" s="375">
        <v>8000000</v>
      </c>
      <c r="H70" s="376">
        <v>100</v>
      </c>
    </row>
    <row r="71" spans="3:8" x14ac:dyDescent="0.3">
      <c r="C71" s="387" t="s">
        <v>4702</v>
      </c>
      <c r="D71" s="375">
        <v>81859000</v>
      </c>
      <c r="E71" s="375">
        <v>5350700</v>
      </c>
      <c r="F71" s="376">
        <v>6.5364834654711146</v>
      </c>
      <c r="G71" s="375">
        <v>76508300</v>
      </c>
      <c r="H71" s="376">
        <v>93.463516534528893</v>
      </c>
    </row>
    <row r="72" spans="3:8" x14ac:dyDescent="0.3">
      <c r="C72" s="378" t="s">
        <v>531</v>
      </c>
      <c r="D72" s="379">
        <v>1100000000</v>
      </c>
      <c r="E72" s="379">
        <v>127448590</v>
      </c>
      <c r="F72" s="380">
        <v>11.586235454545454</v>
      </c>
      <c r="G72" s="379">
        <v>972551410</v>
      </c>
      <c r="H72" s="380">
        <v>88.413764545454541</v>
      </c>
    </row>
    <row r="73" spans="3:8" x14ac:dyDescent="0.3">
      <c r="C73" s="226" t="s">
        <v>532</v>
      </c>
      <c r="D73" s="299">
        <v>350000000</v>
      </c>
      <c r="E73" s="299">
        <v>78297590</v>
      </c>
      <c r="F73" s="300">
        <v>22.370740000000001</v>
      </c>
      <c r="G73" s="299">
        <v>271702410</v>
      </c>
      <c r="H73" s="300">
        <v>77.629260000000002</v>
      </c>
    </row>
    <row r="74" spans="3:8" x14ac:dyDescent="0.3">
      <c r="C74" s="377" t="s">
        <v>4754</v>
      </c>
      <c r="D74" s="375">
        <v>350000000</v>
      </c>
      <c r="E74" s="375">
        <v>78297590</v>
      </c>
      <c r="F74" s="376">
        <v>22.370740000000001</v>
      </c>
      <c r="G74" s="375">
        <v>271702410</v>
      </c>
      <c r="H74" s="376">
        <v>77.629260000000002</v>
      </c>
    </row>
    <row r="75" spans="3:8" x14ac:dyDescent="0.3">
      <c r="C75" s="401" t="s">
        <v>4753</v>
      </c>
      <c r="D75" s="232">
        <v>350000000</v>
      </c>
      <c r="E75" s="232">
        <v>78297590</v>
      </c>
      <c r="F75" s="231">
        <v>22.370740000000001</v>
      </c>
      <c r="G75" s="232">
        <v>271702410</v>
      </c>
      <c r="H75" s="231">
        <v>77.629260000000002</v>
      </c>
    </row>
    <row r="76" spans="3:8" x14ac:dyDescent="0.3">
      <c r="C76" s="383" t="s">
        <v>4759</v>
      </c>
      <c r="D76" s="381">
        <v>350000000</v>
      </c>
      <c r="E76" s="381">
        <v>78297590</v>
      </c>
      <c r="F76" s="382">
        <v>22.370740000000001</v>
      </c>
      <c r="G76" s="381">
        <v>271702410</v>
      </c>
      <c r="H76" s="382">
        <v>77.629260000000002</v>
      </c>
    </row>
    <row r="77" spans="3:8" x14ac:dyDescent="0.3">
      <c r="C77" s="387" t="s">
        <v>4698</v>
      </c>
      <c r="D77" s="375">
        <v>31000000</v>
      </c>
      <c r="E77" s="375">
        <v>11542500</v>
      </c>
      <c r="F77" s="376">
        <v>37.233870967741936</v>
      </c>
      <c r="G77" s="375">
        <v>19457500</v>
      </c>
      <c r="H77" s="376">
        <v>62.766129032258064</v>
      </c>
    </row>
    <row r="78" spans="3:8" x14ac:dyDescent="0.3">
      <c r="C78" s="387" t="s">
        <v>4711</v>
      </c>
      <c r="D78" s="375">
        <v>3000000</v>
      </c>
      <c r="E78" s="375">
        <v>1191418</v>
      </c>
      <c r="F78" s="376">
        <v>39.713933333333337</v>
      </c>
      <c r="G78" s="375">
        <v>1808582</v>
      </c>
      <c r="H78" s="376">
        <v>60.28606666666667</v>
      </c>
    </row>
    <row r="79" spans="3:8" x14ac:dyDescent="0.3">
      <c r="C79" s="387" t="s">
        <v>4701</v>
      </c>
      <c r="D79" s="375">
        <v>70000000</v>
      </c>
      <c r="E79" s="375">
        <v>4800000</v>
      </c>
      <c r="F79" s="376">
        <v>6.8571428571428577</v>
      </c>
      <c r="G79" s="375">
        <v>65200000</v>
      </c>
      <c r="H79" s="376">
        <v>93.142857142857139</v>
      </c>
    </row>
    <row r="80" spans="3:8" x14ac:dyDescent="0.3">
      <c r="C80" s="387" t="s">
        <v>4702</v>
      </c>
      <c r="D80" s="375">
        <v>246000000</v>
      </c>
      <c r="E80" s="375">
        <v>60763672</v>
      </c>
      <c r="F80" s="376">
        <v>24.700679674796746</v>
      </c>
      <c r="G80" s="375">
        <v>185236328</v>
      </c>
      <c r="H80" s="376">
        <v>75.299320325203254</v>
      </c>
    </row>
    <row r="81" spans="3:8" x14ac:dyDescent="0.3">
      <c r="C81" s="226" t="s">
        <v>534</v>
      </c>
      <c r="D81" s="299">
        <v>750000000</v>
      </c>
      <c r="E81" s="299">
        <v>49151000</v>
      </c>
      <c r="F81" s="300">
        <v>6.553466666666667</v>
      </c>
      <c r="G81" s="299">
        <v>700849000</v>
      </c>
      <c r="H81" s="300">
        <v>93.446533333333335</v>
      </c>
    </row>
    <row r="82" spans="3:8" x14ac:dyDescent="0.3">
      <c r="C82" s="377" t="s">
        <v>4754</v>
      </c>
      <c r="D82" s="375">
        <v>750000000</v>
      </c>
      <c r="E82" s="375">
        <v>49151000</v>
      </c>
      <c r="F82" s="376">
        <v>6.553466666666667</v>
      </c>
      <c r="G82" s="375">
        <v>700849000</v>
      </c>
      <c r="H82" s="376">
        <v>93.446533333333335</v>
      </c>
    </row>
    <row r="83" spans="3:8" x14ac:dyDescent="0.3">
      <c r="C83" s="401" t="s">
        <v>4753</v>
      </c>
      <c r="D83" s="232">
        <v>750000000</v>
      </c>
      <c r="E83" s="232">
        <v>49151000</v>
      </c>
      <c r="F83" s="231">
        <v>6.553466666666667</v>
      </c>
      <c r="G83" s="232">
        <v>700849000</v>
      </c>
      <c r="H83" s="231">
        <v>93.446533333333335</v>
      </c>
    </row>
    <row r="84" spans="3:8" x14ac:dyDescent="0.3">
      <c r="C84" s="383" t="s">
        <v>4760</v>
      </c>
      <c r="D84" s="381">
        <v>639737000</v>
      </c>
      <c r="E84" s="381">
        <v>0</v>
      </c>
      <c r="F84" s="382">
        <v>0</v>
      </c>
      <c r="G84" s="381">
        <v>639737000</v>
      </c>
      <c r="H84" s="382">
        <v>100</v>
      </c>
    </row>
    <row r="85" spans="3:8" x14ac:dyDescent="0.3">
      <c r="C85" s="387" t="s">
        <v>4698</v>
      </c>
      <c r="D85" s="375">
        <v>118575000</v>
      </c>
      <c r="E85" s="375">
        <v>0</v>
      </c>
      <c r="F85" s="376">
        <v>0</v>
      </c>
      <c r="G85" s="375">
        <v>118575000</v>
      </c>
      <c r="H85" s="376">
        <v>100</v>
      </c>
    </row>
    <row r="86" spans="3:8" x14ac:dyDescent="0.3">
      <c r="C86" s="387" t="s">
        <v>4711</v>
      </c>
      <c r="D86" s="375">
        <v>393200000</v>
      </c>
      <c r="E86" s="375">
        <v>0</v>
      </c>
      <c r="F86" s="376">
        <v>0</v>
      </c>
      <c r="G86" s="375">
        <v>393200000</v>
      </c>
      <c r="H86" s="376">
        <v>100</v>
      </c>
    </row>
    <row r="87" spans="3:8" x14ac:dyDescent="0.3">
      <c r="C87" s="387" t="s">
        <v>4704</v>
      </c>
      <c r="D87" s="375">
        <v>120000000</v>
      </c>
      <c r="E87" s="375">
        <v>0</v>
      </c>
      <c r="F87" s="376">
        <v>0</v>
      </c>
      <c r="G87" s="375">
        <v>120000000</v>
      </c>
      <c r="H87" s="376">
        <v>100</v>
      </c>
    </row>
    <row r="88" spans="3:8" x14ac:dyDescent="0.3">
      <c r="C88" s="387" t="s">
        <v>4702</v>
      </c>
      <c r="D88" s="375">
        <v>7962000</v>
      </c>
      <c r="E88" s="375">
        <v>0</v>
      </c>
      <c r="F88" s="376">
        <v>0</v>
      </c>
      <c r="G88" s="375">
        <v>7962000</v>
      </c>
      <c r="H88" s="376">
        <v>100</v>
      </c>
    </row>
    <row r="89" spans="3:8" x14ac:dyDescent="0.3">
      <c r="C89" s="383" t="s">
        <v>4761</v>
      </c>
      <c r="D89" s="381">
        <v>110263000</v>
      </c>
      <c r="E89" s="381">
        <v>49151000</v>
      </c>
      <c r="F89" s="382">
        <v>44.576149751049762</v>
      </c>
      <c r="G89" s="381">
        <v>61112000</v>
      </c>
      <c r="H89" s="382">
        <v>55.423850248950238</v>
      </c>
    </row>
    <row r="90" spans="3:8" x14ac:dyDescent="0.3">
      <c r="C90" s="387" t="s">
        <v>4698</v>
      </c>
      <c r="D90" s="375">
        <v>17550000</v>
      </c>
      <c r="E90" s="375">
        <v>9469000</v>
      </c>
      <c r="F90" s="376">
        <v>53.954415954415957</v>
      </c>
      <c r="G90" s="375">
        <v>8081000</v>
      </c>
      <c r="H90" s="376">
        <v>46.04558404558405</v>
      </c>
    </row>
    <row r="91" spans="3:8" x14ac:dyDescent="0.3">
      <c r="C91" s="387" t="s">
        <v>4711</v>
      </c>
      <c r="D91" s="375">
        <v>27651000</v>
      </c>
      <c r="E91" s="375">
        <v>620000</v>
      </c>
      <c r="F91" s="376">
        <v>2.2422335539401832</v>
      </c>
      <c r="G91" s="375">
        <v>27031000</v>
      </c>
      <c r="H91" s="376">
        <v>97.757766446059819</v>
      </c>
    </row>
    <row r="92" spans="3:8" x14ac:dyDescent="0.3">
      <c r="C92" s="387" t="s">
        <v>4701</v>
      </c>
      <c r="D92" s="375">
        <v>40000000</v>
      </c>
      <c r="E92" s="375">
        <v>14000000</v>
      </c>
      <c r="F92" s="376">
        <v>35</v>
      </c>
      <c r="G92" s="375">
        <v>26000000</v>
      </c>
      <c r="H92" s="376">
        <v>65</v>
      </c>
    </row>
    <row r="93" spans="3:8" x14ac:dyDescent="0.3">
      <c r="C93" s="387" t="s">
        <v>4702</v>
      </c>
      <c r="D93" s="375">
        <v>25062000</v>
      </c>
      <c r="E93" s="375">
        <v>25062000</v>
      </c>
      <c r="F93" s="376">
        <v>100</v>
      </c>
      <c r="G93" s="375">
        <v>0</v>
      </c>
      <c r="H93" s="376">
        <v>0</v>
      </c>
    </row>
    <row r="94" spans="3:8" x14ac:dyDescent="0.3">
      <c r="C94" s="378" t="s">
        <v>542</v>
      </c>
      <c r="D94" s="379">
        <v>1402650000</v>
      </c>
      <c r="E94" s="379">
        <v>236473592</v>
      </c>
      <c r="F94" s="380">
        <v>16.859059066766477</v>
      </c>
      <c r="G94" s="379">
        <v>1166176408</v>
      </c>
      <c r="H94" s="380">
        <v>83.140940933233523</v>
      </c>
    </row>
    <row r="95" spans="3:8" x14ac:dyDescent="0.3">
      <c r="C95" s="226" t="s">
        <v>591</v>
      </c>
      <c r="D95" s="299">
        <v>633732000</v>
      </c>
      <c r="E95" s="299">
        <v>105796297</v>
      </c>
      <c r="F95" s="300">
        <v>16.694169933031628</v>
      </c>
      <c r="G95" s="299">
        <v>527935703</v>
      </c>
      <c r="H95" s="300">
        <v>83.305830066968369</v>
      </c>
    </row>
    <row r="96" spans="3:8" x14ac:dyDescent="0.3">
      <c r="C96" s="377" t="s">
        <v>4786</v>
      </c>
      <c r="D96" s="375">
        <v>633732000</v>
      </c>
      <c r="E96" s="375">
        <v>105796297</v>
      </c>
      <c r="F96" s="376">
        <v>16.694169933031628</v>
      </c>
      <c r="G96" s="375">
        <v>527935703</v>
      </c>
      <c r="H96" s="376">
        <v>83.305830066968369</v>
      </c>
    </row>
    <row r="97" spans="3:8" x14ac:dyDescent="0.3">
      <c r="C97" s="401" t="s">
        <v>4785</v>
      </c>
      <c r="D97" s="232">
        <v>507200000</v>
      </c>
      <c r="E97" s="232">
        <v>77314297</v>
      </c>
      <c r="F97" s="231">
        <v>15.243355086750791</v>
      </c>
      <c r="G97" s="232">
        <v>429885703</v>
      </c>
      <c r="H97" s="231">
        <v>84.756644913249218</v>
      </c>
    </row>
    <row r="98" spans="3:8" x14ac:dyDescent="0.3">
      <c r="C98" s="383" t="s">
        <v>4727</v>
      </c>
      <c r="D98" s="381">
        <v>295200000</v>
      </c>
      <c r="E98" s="381">
        <v>6778028</v>
      </c>
      <c r="F98" s="382">
        <v>2.2960799457994581</v>
      </c>
      <c r="G98" s="381">
        <v>288421972</v>
      </c>
      <c r="H98" s="382">
        <v>97.703920054200537</v>
      </c>
    </row>
    <row r="99" spans="3:8" x14ac:dyDescent="0.3">
      <c r="C99" s="387" t="s">
        <v>4698</v>
      </c>
      <c r="D99" s="375">
        <v>46000000</v>
      </c>
      <c r="E99" s="375">
        <v>6278500</v>
      </c>
      <c r="F99" s="376">
        <v>13.648913043478261</v>
      </c>
      <c r="G99" s="375">
        <v>39721500</v>
      </c>
      <c r="H99" s="376">
        <v>86.35108695652174</v>
      </c>
    </row>
    <row r="100" spans="3:8" x14ac:dyDescent="0.3">
      <c r="C100" s="387" t="s">
        <v>4711</v>
      </c>
      <c r="D100" s="375">
        <v>2000000</v>
      </c>
      <c r="E100" s="375">
        <v>499528</v>
      </c>
      <c r="F100" s="376">
        <v>24.976400000000002</v>
      </c>
      <c r="G100" s="375">
        <v>1500472</v>
      </c>
      <c r="H100" s="376">
        <v>75.023600000000002</v>
      </c>
    </row>
    <row r="101" spans="3:8" x14ac:dyDescent="0.3">
      <c r="C101" s="387" t="s">
        <v>4702</v>
      </c>
      <c r="D101" s="375">
        <v>247200000</v>
      </c>
      <c r="E101" s="375">
        <v>0</v>
      </c>
      <c r="F101" s="376">
        <v>0</v>
      </c>
      <c r="G101" s="375">
        <v>247200000</v>
      </c>
      <c r="H101" s="376">
        <v>100</v>
      </c>
    </row>
    <row r="102" spans="3:8" x14ac:dyDescent="0.3">
      <c r="C102" s="383" t="s">
        <v>4728</v>
      </c>
      <c r="D102" s="381">
        <v>212000000</v>
      </c>
      <c r="E102" s="381">
        <v>70536269</v>
      </c>
      <c r="F102" s="382">
        <v>33.271825</v>
      </c>
      <c r="G102" s="381">
        <v>141463731</v>
      </c>
      <c r="H102" s="382">
        <v>66.728175000000007</v>
      </c>
    </row>
    <row r="103" spans="3:8" x14ac:dyDescent="0.3">
      <c r="C103" s="387" t="s">
        <v>4698</v>
      </c>
      <c r="D103" s="375">
        <v>41000000</v>
      </c>
      <c r="E103" s="375">
        <v>9519000</v>
      </c>
      <c r="F103" s="376">
        <v>23.217073170731709</v>
      </c>
      <c r="G103" s="375">
        <v>31481000</v>
      </c>
      <c r="H103" s="376">
        <v>76.782926829268291</v>
      </c>
    </row>
    <row r="104" spans="3:8" x14ac:dyDescent="0.3">
      <c r="C104" s="387" t="s">
        <v>4711</v>
      </c>
      <c r="D104" s="375">
        <v>32000000</v>
      </c>
      <c r="E104" s="375">
        <v>603014</v>
      </c>
      <c r="F104" s="376">
        <v>1.8844187500000003</v>
      </c>
      <c r="G104" s="375">
        <v>31396986</v>
      </c>
      <c r="H104" s="376">
        <v>98.115581249999991</v>
      </c>
    </row>
    <row r="105" spans="3:8" x14ac:dyDescent="0.3">
      <c r="C105" s="387" t="s">
        <v>4701</v>
      </c>
      <c r="D105" s="375">
        <v>10000000</v>
      </c>
      <c r="E105" s="375">
        <v>0</v>
      </c>
      <c r="F105" s="376">
        <v>0</v>
      </c>
      <c r="G105" s="375">
        <v>10000000</v>
      </c>
      <c r="H105" s="376">
        <v>100</v>
      </c>
    </row>
    <row r="106" spans="3:8" x14ac:dyDescent="0.3">
      <c r="C106" s="387" t="s">
        <v>4702</v>
      </c>
      <c r="D106" s="375">
        <v>120000000</v>
      </c>
      <c r="E106" s="375">
        <v>21946724</v>
      </c>
      <c r="F106" s="376">
        <v>18.288936666666665</v>
      </c>
      <c r="G106" s="375">
        <v>98053276</v>
      </c>
      <c r="H106" s="376">
        <v>81.711063333333328</v>
      </c>
    </row>
    <row r="107" spans="3:8" ht="17.100000000000001" customHeight="1" x14ac:dyDescent="0.3">
      <c r="C107" s="387" t="s">
        <v>508</v>
      </c>
      <c r="D107" s="375">
        <v>9000000</v>
      </c>
      <c r="E107" s="375">
        <v>38467531</v>
      </c>
      <c r="F107" s="376">
        <v>427.41701111111115</v>
      </c>
      <c r="G107" s="375">
        <v>-29467531</v>
      </c>
      <c r="H107" s="376">
        <v>-327.41701111111115</v>
      </c>
    </row>
    <row r="108" spans="3:8" x14ac:dyDescent="0.3">
      <c r="C108" s="401" t="s">
        <v>4787</v>
      </c>
      <c r="D108" s="232">
        <v>126532000</v>
      </c>
      <c r="E108" s="232">
        <v>28482000</v>
      </c>
      <c r="F108" s="231">
        <v>22.509720861126041</v>
      </c>
      <c r="G108" s="232">
        <v>98050000</v>
      </c>
      <c r="H108" s="231">
        <v>77.490279138873959</v>
      </c>
    </row>
    <row r="109" spans="3:8" x14ac:dyDescent="0.3">
      <c r="C109" s="383" t="s">
        <v>4788</v>
      </c>
      <c r="D109" s="381">
        <v>126532000</v>
      </c>
      <c r="E109" s="381">
        <v>28482000</v>
      </c>
      <c r="F109" s="382">
        <v>22.509720861126041</v>
      </c>
      <c r="G109" s="381">
        <v>98050000</v>
      </c>
      <c r="H109" s="382">
        <v>77.490279138873959</v>
      </c>
    </row>
    <row r="110" spans="3:8" ht="17.100000000000001" customHeight="1" x14ac:dyDescent="0.3">
      <c r="C110" s="387" t="s">
        <v>4698</v>
      </c>
      <c r="D110" s="375">
        <v>35500000</v>
      </c>
      <c r="E110" s="375">
        <v>8344000</v>
      </c>
      <c r="F110" s="376">
        <v>23.504225352112677</v>
      </c>
      <c r="G110" s="375">
        <v>27156000</v>
      </c>
      <c r="H110" s="376">
        <v>76.49577464788733</v>
      </c>
    </row>
    <row r="111" spans="3:8" ht="17.100000000000001" customHeight="1" x14ac:dyDescent="0.3">
      <c r="C111" s="387" t="s">
        <v>4711</v>
      </c>
      <c r="D111" s="375">
        <v>2000000</v>
      </c>
      <c r="E111" s="375">
        <v>0</v>
      </c>
      <c r="F111" s="376">
        <v>0</v>
      </c>
      <c r="G111" s="375">
        <v>2000000</v>
      </c>
      <c r="H111" s="376">
        <v>100</v>
      </c>
    </row>
    <row r="112" spans="3:8" ht="17.100000000000001" customHeight="1" x14ac:dyDescent="0.3">
      <c r="C112" s="387" t="s">
        <v>4702</v>
      </c>
      <c r="D112" s="375">
        <v>89032000</v>
      </c>
      <c r="E112" s="375">
        <v>20138000</v>
      </c>
      <c r="F112" s="376">
        <v>22.618833677778778</v>
      </c>
      <c r="G112" s="375">
        <v>68894000</v>
      </c>
      <c r="H112" s="376">
        <v>77.381166322221233</v>
      </c>
    </row>
    <row r="113" spans="3:8" x14ac:dyDescent="0.3">
      <c r="C113" s="226" t="s">
        <v>543</v>
      </c>
      <c r="D113" s="299">
        <v>768918000</v>
      </c>
      <c r="E113" s="299">
        <v>130677295</v>
      </c>
      <c r="F113" s="300">
        <v>16.994958500126149</v>
      </c>
      <c r="G113" s="299">
        <v>638240705</v>
      </c>
      <c r="H113" s="300">
        <v>83.00504149987384</v>
      </c>
    </row>
    <row r="114" spans="3:8" x14ac:dyDescent="0.3">
      <c r="C114" s="377" t="s">
        <v>4752</v>
      </c>
      <c r="D114" s="375">
        <v>153780000</v>
      </c>
      <c r="E114" s="375">
        <v>28697850</v>
      </c>
      <c r="F114" s="376">
        <v>18.661626999609833</v>
      </c>
      <c r="G114" s="375">
        <v>125082150</v>
      </c>
      <c r="H114" s="376">
        <v>81.338373000390163</v>
      </c>
    </row>
    <row r="115" spans="3:8" x14ac:dyDescent="0.3">
      <c r="C115" s="401" t="s">
        <v>4751</v>
      </c>
      <c r="D115" s="232">
        <v>153780000</v>
      </c>
      <c r="E115" s="232">
        <v>28697850</v>
      </c>
      <c r="F115" s="231">
        <v>18.661626999609833</v>
      </c>
      <c r="G115" s="232">
        <v>125082150</v>
      </c>
      <c r="H115" s="231">
        <v>81.338373000390163</v>
      </c>
    </row>
    <row r="116" spans="3:8" x14ac:dyDescent="0.3">
      <c r="C116" s="383" t="s">
        <v>4750</v>
      </c>
      <c r="D116" s="381">
        <v>153780000</v>
      </c>
      <c r="E116" s="381">
        <v>28697850</v>
      </c>
      <c r="F116" s="382">
        <v>18.661626999609833</v>
      </c>
      <c r="G116" s="381">
        <v>125082150</v>
      </c>
      <c r="H116" s="382">
        <v>81.338373000390163</v>
      </c>
    </row>
    <row r="117" spans="3:8" ht="17.100000000000001" customHeight="1" x14ac:dyDescent="0.3">
      <c r="C117" s="387" t="s">
        <v>4698</v>
      </c>
      <c r="D117" s="375">
        <v>14400000</v>
      </c>
      <c r="E117" s="375">
        <v>5947500</v>
      </c>
      <c r="F117" s="376">
        <v>41.302083333333336</v>
      </c>
      <c r="G117" s="375">
        <v>8452500</v>
      </c>
      <c r="H117" s="376">
        <v>58.697916666666671</v>
      </c>
    </row>
    <row r="118" spans="3:8" ht="17.100000000000001" customHeight="1" x14ac:dyDescent="0.3">
      <c r="C118" s="387" t="s">
        <v>4711</v>
      </c>
      <c r="D118" s="375">
        <v>8000000</v>
      </c>
      <c r="E118" s="375">
        <v>0</v>
      </c>
      <c r="F118" s="376">
        <v>0</v>
      </c>
      <c r="G118" s="375">
        <v>8000000</v>
      </c>
      <c r="H118" s="376">
        <v>100</v>
      </c>
    </row>
    <row r="119" spans="3:8" ht="17.100000000000001" customHeight="1" x14ac:dyDescent="0.3">
      <c r="C119" s="387" t="s">
        <v>4716</v>
      </c>
      <c r="D119" s="375">
        <v>12000000</v>
      </c>
      <c r="E119" s="375">
        <v>4379750</v>
      </c>
      <c r="F119" s="376">
        <v>36.497916666666669</v>
      </c>
      <c r="G119" s="375">
        <v>7620250</v>
      </c>
      <c r="H119" s="376">
        <v>63.502083333333339</v>
      </c>
    </row>
    <row r="120" spans="3:8" ht="17.100000000000001" customHeight="1" x14ac:dyDescent="0.3">
      <c r="C120" s="387" t="s">
        <v>4701</v>
      </c>
      <c r="D120" s="375">
        <v>4000000</v>
      </c>
      <c r="E120" s="375">
        <v>0</v>
      </c>
      <c r="F120" s="376">
        <v>0</v>
      </c>
      <c r="G120" s="375">
        <v>4000000</v>
      </c>
      <c r="H120" s="376">
        <v>100</v>
      </c>
    </row>
    <row r="121" spans="3:8" ht="17.100000000000001" customHeight="1" x14ac:dyDescent="0.3">
      <c r="C121" s="387" t="s">
        <v>4702</v>
      </c>
      <c r="D121" s="375">
        <v>115380000</v>
      </c>
      <c r="E121" s="375">
        <v>18370600</v>
      </c>
      <c r="F121" s="376">
        <v>15.921823539608251</v>
      </c>
      <c r="G121" s="375">
        <v>97009400</v>
      </c>
      <c r="H121" s="376">
        <v>84.078176460391745</v>
      </c>
    </row>
    <row r="122" spans="3:8" x14ac:dyDescent="0.3">
      <c r="C122" s="377" t="s">
        <v>4780</v>
      </c>
      <c r="D122" s="375">
        <v>615138000</v>
      </c>
      <c r="E122" s="375">
        <v>101979445</v>
      </c>
      <c r="F122" s="376">
        <v>16.578303567654736</v>
      </c>
      <c r="G122" s="375">
        <v>513158555</v>
      </c>
      <c r="H122" s="376">
        <v>83.421696432345257</v>
      </c>
    </row>
    <row r="123" spans="3:8" x14ac:dyDescent="0.3">
      <c r="C123" s="401" t="s">
        <v>4781</v>
      </c>
      <c r="D123" s="232">
        <v>615138000</v>
      </c>
      <c r="E123" s="232">
        <v>101979445</v>
      </c>
      <c r="F123" s="231">
        <v>16.578303567654736</v>
      </c>
      <c r="G123" s="232">
        <v>513158555</v>
      </c>
      <c r="H123" s="231">
        <v>83.421696432345257</v>
      </c>
    </row>
    <row r="124" spans="3:8" x14ac:dyDescent="0.3">
      <c r="C124" s="383" t="s">
        <v>4782</v>
      </c>
      <c r="D124" s="381">
        <v>101050000</v>
      </c>
      <c r="E124" s="381">
        <v>13706395</v>
      </c>
      <c r="F124" s="382">
        <v>13.563973280554181</v>
      </c>
      <c r="G124" s="381">
        <v>87343605</v>
      </c>
      <c r="H124" s="382">
        <v>86.43602671944582</v>
      </c>
    </row>
    <row r="125" spans="3:8" ht="17.100000000000001" customHeight="1" x14ac:dyDescent="0.3">
      <c r="C125" s="387" t="s">
        <v>4698</v>
      </c>
      <c r="D125" s="375">
        <v>22650000</v>
      </c>
      <c r="E125" s="375">
        <v>2991000</v>
      </c>
      <c r="F125" s="376">
        <v>13.205298013245034</v>
      </c>
      <c r="G125" s="375">
        <v>19659000</v>
      </c>
      <c r="H125" s="376">
        <v>86.794701986754959</v>
      </c>
    </row>
    <row r="126" spans="3:8" ht="17.100000000000001" customHeight="1" x14ac:dyDescent="0.3">
      <c r="C126" s="387" t="s">
        <v>4711</v>
      </c>
      <c r="D126" s="375">
        <v>1000000</v>
      </c>
      <c r="E126" s="375">
        <v>702895</v>
      </c>
      <c r="F126" s="376">
        <v>70.289500000000004</v>
      </c>
      <c r="G126" s="375">
        <v>297105</v>
      </c>
      <c r="H126" s="376">
        <v>29.7105</v>
      </c>
    </row>
    <row r="127" spans="3:8" ht="17.100000000000001" customHeight="1" x14ac:dyDescent="0.3">
      <c r="C127" s="387" t="s">
        <v>4716</v>
      </c>
      <c r="D127" s="375">
        <v>15000000</v>
      </c>
      <c r="E127" s="375">
        <v>4849000</v>
      </c>
      <c r="F127" s="376">
        <v>32.326666666666668</v>
      </c>
      <c r="G127" s="375">
        <v>10151000</v>
      </c>
      <c r="H127" s="376">
        <v>67.673333333333332</v>
      </c>
    </row>
    <row r="128" spans="3:8" ht="17.100000000000001" customHeight="1" x14ac:dyDescent="0.3">
      <c r="C128" s="387" t="s">
        <v>4702</v>
      </c>
      <c r="D128" s="375">
        <v>62400000</v>
      </c>
      <c r="E128" s="375">
        <v>5163500</v>
      </c>
      <c r="F128" s="376">
        <v>8.2748397435897427</v>
      </c>
      <c r="G128" s="375">
        <v>57236500</v>
      </c>
      <c r="H128" s="376">
        <v>91.725160256410248</v>
      </c>
    </row>
    <row r="129" spans="3:8" x14ac:dyDescent="0.3">
      <c r="C129" s="383" t="s">
        <v>4783</v>
      </c>
      <c r="D129" s="381">
        <v>345988000</v>
      </c>
      <c r="E129" s="381">
        <v>20151000</v>
      </c>
      <c r="F129" s="382">
        <v>5.8241904343503244</v>
      </c>
      <c r="G129" s="381">
        <v>325837000</v>
      </c>
      <c r="H129" s="382">
        <v>94.175809565649672</v>
      </c>
    </row>
    <row r="130" spans="3:8" ht="17.100000000000001" customHeight="1" x14ac:dyDescent="0.3">
      <c r="C130" s="387" t="s">
        <v>4698</v>
      </c>
      <c r="D130" s="375">
        <v>49300000</v>
      </c>
      <c r="E130" s="375">
        <v>5939000</v>
      </c>
      <c r="F130" s="376">
        <v>12.046653144016227</v>
      </c>
      <c r="G130" s="375">
        <v>43361000</v>
      </c>
      <c r="H130" s="376">
        <v>87.953346855983767</v>
      </c>
    </row>
    <row r="131" spans="3:8" ht="17.100000000000001" customHeight="1" x14ac:dyDescent="0.3">
      <c r="C131" s="387" t="s">
        <v>4711</v>
      </c>
      <c r="D131" s="375">
        <v>1000000</v>
      </c>
      <c r="E131" s="375">
        <v>0</v>
      </c>
      <c r="F131" s="376">
        <v>0</v>
      </c>
      <c r="G131" s="375">
        <v>1000000</v>
      </c>
      <c r="H131" s="376">
        <v>100</v>
      </c>
    </row>
    <row r="132" spans="3:8" ht="17.100000000000001" customHeight="1" x14ac:dyDescent="0.3">
      <c r="C132" s="387" t="s">
        <v>4716</v>
      </c>
      <c r="D132" s="375">
        <v>25000000</v>
      </c>
      <c r="E132" s="375">
        <v>9783000</v>
      </c>
      <c r="F132" s="376">
        <v>39.131999999999998</v>
      </c>
      <c r="G132" s="375">
        <v>15217000</v>
      </c>
      <c r="H132" s="376">
        <v>60.868000000000002</v>
      </c>
    </row>
    <row r="133" spans="3:8" ht="17.100000000000001" customHeight="1" x14ac:dyDescent="0.3">
      <c r="C133" s="387" t="s">
        <v>4701</v>
      </c>
      <c r="D133" s="375">
        <v>12000000</v>
      </c>
      <c r="E133" s="375">
        <v>0</v>
      </c>
      <c r="F133" s="376">
        <v>0</v>
      </c>
      <c r="G133" s="375">
        <v>12000000</v>
      </c>
      <c r="H133" s="376">
        <v>100</v>
      </c>
    </row>
    <row r="134" spans="3:8" ht="17.100000000000001" customHeight="1" x14ac:dyDescent="0.3">
      <c r="C134" s="387" t="s">
        <v>4702</v>
      </c>
      <c r="D134" s="375">
        <v>258688000</v>
      </c>
      <c r="E134" s="375">
        <v>4429000</v>
      </c>
      <c r="F134" s="376">
        <v>1.7121010638297871</v>
      </c>
      <c r="G134" s="375">
        <v>254259000</v>
      </c>
      <c r="H134" s="376">
        <v>98.287898936170208</v>
      </c>
    </row>
    <row r="135" spans="3:8" x14ac:dyDescent="0.3">
      <c r="C135" s="383" t="s">
        <v>4784</v>
      </c>
      <c r="D135" s="381">
        <v>168100000</v>
      </c>
      <c r="E135" s="381">
        <v>68122050</v>
      </c>
      <c r="F135" s="382">
        <v>40.524717430101134</v>
      </c>
      <c r="G135" s="381">
        <v>99977950</v>
      </c>
      <c r="H135" s="382">
        <v>59.475282569898866</v>
      </c>
    </row>
    <row r="136" spans="3:8" ht="17.100000000000001" customHeight="1" x14ac:dyDescent="0.3">
      <c r="C136" s="387" t="s">
        <v>4698</v>
      </c>
      <c r="D136" s="375">
        <v>39500000</v>
      </c>
      <c r="E136" s="375">
        <v>16388500</v>
      </c>
      <c r="F136" s="376">
        <v>41.489873417721519</v>
      </c>
      <c r="G136" s="375">
        <v>23111500</v>
      </c>
      <c r="H136" s="376">
        <v>58.510126582278474</v>
      </c>
    </row>
    <row r="137" spans="3:8" ht="17.100000000000001" customHeight="1" x14ac:dyDescent="0.3">
      <c r="C137" s="387" t="s">
        <v>4716</v>
      </c>
      <c r="D137" s="375">
        <v>25000000</v>
      </c>
      <c r="E137" s="375">
        <v>9825750</v>
      </c>
      <c r="F137" s="376">
        <v>39.302999999999997</v>
      </c>
      <c r="G137" s="375">
        <v>15174250</v>
      </c>
      <c r="H137" s="376">
        <v>60.697000000000003</v>
      </c>
    </row>
    <row r="138" spans="3:8" ht="17.100000000000001" customHeight="1" x14ac:dyDescent="0.3">
      <c r="C138" s="387" t="s">
        <v>4701</v>
      </c>
      <c r="D138" s="375">
        <v>10000000</v>
      </c>
      <c r="E138" s="375">
        <v>0</v>
      </c>
      <c r="F138" s="376">
        <v>0</v>
      </c>
      <c r="G138" s="375">
        <v>10000000</v>
      </c>
      <c r="H138" s="376">
        <v>100</v>
      </c>
    </row>
    <row r="139" spans="3:8" ht="17.100000000000001" customHeight="1" x14ac:dyDescent="0.3">
      <c r="C139" s="387" t="s">
        <v>4702</v>
      </c>
      <c r="D139" s="375">
        <v>93600000</v>
      </c>
      <c r="E139" s="375">
        <v>41907800</v>
      </c>
      <c r="F139" s="376">
        <v>44.7732905982906</v>
      </c>
      <c r="G139" s="375">
        <v>51692200</v>
      </c>
      <c r="H139" s="376">
        <v>55.226709401709407</v>
      </c>
    </row>
    <row r="140" spans="3:8" ht="17.100000000000001" customHeight="1" x14ac:dyDescent="0.3">
      <c r="C140" s="378" t="s">
        <v>576</v>
      </c>
      <c r="D140" s="379">
        <v>4328014000</v>
      </c>
      <c r="E140" s="379">
        <v>1844517380</v>
      </c>
      <c r="F140" s="380">
        <v>42.618101050504919</v>
      </c>
      <c r="G140" s="379">
        <v>2483496620</v>
      </c>
      <c r="H140" s="380">
        <v>57.381898949495081</v>
      </c>
    </row>
    <row r="141" spans="3:8" x14ac:dyDescent="0.3">
      <c r="C141" s="226" t="s">
        <v>546</v>
      </c>
      <c r="D141" s="299">
        <v>289920000</v>
      </c>
      <c r="E141" s="299">
        <v>136548520</v>
      </c>
      <c r="F141" s="300">
        <v>47.098689293598234</v>
      </c>
      <c r="G141" s="299">
        <v>153371480</v>
      </c>
      <c r="H141" s="300">
        <v>52.901310706401759</v>
      </c>
    </row>
    <row r="142" spans="3:8" x14ac:dyDescent="0.3">
      <c r="C142" s="377" t="s">
        <v>4789</v>
      </c>
      <c r="D142" s="375">
        <v>289920000</v>
      </c>
      <c r="E142" s="375">
        <v>136548520</v>
      </c>
      <c r="F142" s="376">
        <v>47.098689293598234</v>
      </c>
      <c r="G142" s="375">
        <v>153371480</v>
      </c>
      <c r="H142" s="376">
        <v>52.901310706401759</v>
      </c>
    </row>
    <row r="143" spans="3:8" x14ac:dyDescent="0.3">
      <c r="C143" s="401" t="s">
        <v>4790</v>
      </c>
      <c r="D143" s="232">
        <v>289920000</v>
      </c>
      <c r="E143" s="232">
        <v>136548520</v>
      </c>
      <c r="F143" s="231">
        <v>47.098689293598234</v>
      </c>
      <c r="G143" s="232">
        <v>153371480</v>
      </c>
      <c r="H143" s="231">
        <v>52.901310706401759</v>
      </c>
    </row>
    <row r="144" spans="3:8" x14ac:dyDescent="0.3">
      <c r="C144" s="383" t="s">
        <v>4791</v>
      </c>
      <c r="D144" s="381">
        <v>38900000</v>
      </c>
      <c r="E144" s="381">
        <v>22532552</v>
      </c>
      <c r="F144" s="382">
        <v>57.924298200514137</v>
      </c>
      <c r="G144" s="381">
        <v>16367448</v>
      </c>
      <c r="H144" s="382">
        <v>42.075701799485863</v>
      </c>
    </row>
    <row r="145" spans="3:8" ht="17.100000000000001" customHeight="1" x14ac:dyDescent="0.3">
      <c r="C145" s="387" t="s">
        <v>4698</v>
      </c>
      <c r="D145" s="375">
        <v>23900000</v>
      </c>
      <c r="E145" s="375">
        <v>13831000</v>
      </c>
      <c r="F145" s="376">
        <v>57.870292887029287</v>
      </c>
      <c r="G145" s="375">
        <v>10069000</v>
      </c>
      <c r="H145" s="376">
        <v>42.129707112970713</v>
      </c>
    </row>
    <row r="146" spans="3:8" ht="17.100000000000001" customHeight="1" x14ac:dyDescent="0.3">
      <c r="C146" s="387" t="s">
        <v>4702</v>
      </c>
      <c r="D146" s="375">
        <v>15000000</v>
      </c>
      <c r="E146" s="375">
        <v>8701552</v>
      </c>
      <c r="F146" s="376">
        <v>58.010346666666671</v>
      </c>
      <c r="G146" s="375">
        <v>6298448</v>
      </c>
      <c r="H146" s="376">
        <v>41.989653333333329</v>
      </c>
    </row>
    <row r="147" spans="3:8" x14ac:dyDescent="0.3">
      <c r="C147" s="383" t="s">
        <v>4792</v>
      </c>
      <c r="D147" s="381">
        <v>29400000</v>
      </c>
      <c r="E147" s="381">
        <v>7794000</v>
      </c>
      <c r="F147" s="382">
        <v>26.510204081632654</v>
      </c>
      <c r="G147" s="381">
        <v>21606000</v>
      </c>
      <c r="H147" s="382">
        <v>73.489795918367349</v>
      </c>
    </row>
    <row r="148" spans="3:8" ht="17.100000000000001" customHeight="1" x14ac:dyDescent="0.3">
      <c r="C148" s="387" t="s">
        <v>4698</v>
      </c>
      <c r="D148" s="375">
        <v>11400000</v>
      </c>
      <c r="E148" s="375">
        <v>4944000</v>
      </c>
      <c r="F148" s="376">
        <v>43.368421052631575</v>
      </c>
      <c r="G148" s="375">
        <v>6456000</v>
      </c>
      <c r="H148" s="376">
        <v>56.631578947368425</v>
      </c>
    </row>
    <row r="149" spans="3:8" ht="17.100000000000001" customHeight="1" x14ac:dyDescent="0.3">
      <c r="C149" s="387" t="s">
        <v>4702</v>
      </c>
      <c r="D149" s="375">
        <v>18000000</v>
      </c>
      <c r="E149" s="375">
        <v>2850000</v>
      </c>
      <c r="F149" s="376">
        <v>15.833333333333332</v>
      </c>
      <c r="G149" s="375">
        <v>15150000</v>
      </c>
      <c r="H149" s="376">
        <v>84.166666666666671</v>
      </c>
    </row>
    <row r="150" spans="3:8" x14ac:dyDescent="0.3">
      <c r="C150" s="383" t="s">
        <v>4793</v>
      </c>
      <c r="D150" s="381">
        <v>25000000</v>
      </c>
      <c r="E150" s="381">
        <v>4968500</v>
      </c>
      <c r="F150" s="382">
        <v>19.873999999999999</v>
      </c>
      <c r="G150" s="381">
        <v>20031500</v>
      </c>
      <c r="H150" s="382">
        <v>80.125999999999991</v>
      </c>
    </row>
    <row r="151" spans="3:8" ht="17.100000000000001" customHeight="1" x14ac:dyDescent="0.3">
      <c r="C151" s="387" t="s">
        <v>4698</v>
      </c>
      <c r="D151" s="375">
        <v>10000000</v>
      </c>
      <c r="E151" s="375">
        <v>4968500</v>
      </c>
      <c r="F151" s="376">
        <v>49.685000000000002</v>
      </c>
      <c r="G151" s="375">
        <v>5031500</v>
      </c>
      <c r="H151" s="376">
        <v>50.314999999999998</v>
      </c>
    </row>
    <row r="152" spans="3:8" ht="17.100000000000001" customHeight="1" x14ac:dyDescent="0.3">
      <c r="C152" s="387" t="s">
        <v>4702</v>
      </c>
      <c r="D152" s="375">
        <v>15000000</v>
      </c>
      <c r="E152" s="375">
        <v>0</v>
      </c>
      <c r="F152" s="376">
        <v>0</v>
      </c>
      <c r="G152" s="375">
        <v>15000000</v>
      </c>
      <c r="H152" s="376">
        <v>100</v>
      </c>
    </row>
    <row r="153" spans="3:8" x14ac:dyDescent="0.3">
      <c r="C153" s="383" t="s">
        <v>4794</v>
      </c>
      <c r="D153" s="381">
        <v>80940000</v>
      </c>
      <c r="E153" s="381">
        <v>31619468</v>
      </c>
      <c r="F153" s="382">
        <v>39.065317519149986</v>
      </c>
      <c r="G153" s="381">
        <v>49320532</v>
      </c>
      <c r="H153" s="382">
        <v>60.934682480850014</v>
      </c>
    </row>
    <row r="154" spans="3:8" ht="17.100000000000001" customHeight="1" x14ac:dyDescent="0.3">
      <c r="C154" s="387" t="s">
        <v>4698</v>
      </c>
      <c r="D154" s="375">
        <v>35340000</v>
      </c>
      <c r="E154" s="375">
        <v>10985000</v>
      </c>
      <c r="F154" s="376">
        <v>31.083757781550652</v>
      </c>
      <c r="G154" s="375">
        <v>24355000</v>
      </c>
      <c r="H154" s="376">
        <v>68.916242218449355</v>
      </c>
    </row>
    <row r="155" spans="3:8" ht="17.100000000000001" customHeight="1" x14ac:dyDescent="0.3">
      <c r="C155" s="387" t="s">
        <v>4701</v>
      </c>
      <c r="D155" s="375">
        <v>3600000</v>
      </c>
      <c r="E155" s="375">
        <v>0</v>
      </c>
      <c r="F155" s="376">
        <v>0</v>
      </c>
      <c r="G155" s="375">
        <v>3600000</v>
      </c>
      <c r="H155" s="376">
        <v>100</v>
      </c>
    </row>
    <row r="156" spans="3:8" ht="17.100000000000001" customHeight="1" x14ac:dyDescent="0.3">
      <c r="C156" s="387" t="s">
        <v>4702</v>
      </c>
      <c r="D156" s="375">
        <v>42000000</v>
      </c>
      <c r="E156" s="375">
        <v>20634468</v>
      </c>
      <c r="F156" s="376">
        <v>49.129685714285714</v>
      </c>
      <c r="G156" s="375">
        <v>21365532</v>
      </c>
      <c r="H156" s="376">
        <v>50.870314285714294</v>
      </c>
    </row>
    <row r="157" spans="3:8" x14ac:dyDescent="0.3">
      <c r="C157" s="383" t="s">
        <v>4795</v>
      </c>
      <c r="D157" s="381">
        <v>27000000</v>
      </c>
      <c r="E157" s="381">
        <v>4944000</v>
      </c>
      <c r="F157" s="382">
        <v>18.31111111111111</v>
      </c>
      <c r="G157" s="381">
        <v>22056000</v>
      </c>
      <c r="H157" s="382">
        <v>81.688888888888883</v>
      </c>
    </row>
    <row r="158" spans="3:8" ht="17.100000000000001" customHeight="1" x14ac:dyDescent="0.3">
      <c r="C158" s="387" t="s">
        <v>4698</v>
      </c>
      <c r="D158" s="375">
        <v>15000000</v>
      </c>
      <c r="E158" s="375">
        <v>4944000</v>
      </c>
      <c r="F158" s="376">
        <v>32.96</v>
      </c>
      <c r="G158" s="375">
        <v>10056000</v>
      </c>
      <c r="H158" s="376">
        <v>67.040000000000006</v>
      </c>
    </row>
    <row r="159" spans="3:8" ht="17.100000000000001" customHeight="1" x14ac:dyDescent="0.3">
      <c r="C159" s="387" t="s">
        <v>4702</v>
      </c>
      <c r="D159" s="375">
        <v>12000000</v>
      </c>
      <c r="E159" s="375">
        <v>0</v>
      </c>
      <c r="F159" s="376">
        <v>0</v>
      </c>
      <c r="G159" s="375">
        <v>12000000</v>
      </c>
      <c r="H159" s="376">
        <v>100</v>
      </c>
    </row>
    <row r="160" spans="3:8" x14ac:dyDescent="0.3">
      <c r="C160" s="383" t="s">
        <v>4796</v>
      </c>
      <c r="D160" s="381">
        <v>88680000</v>
      </c>
      <c r="E160" s="381">
        <v>64690000</v>
      </c>
      <c r="F160" s="382">
        <v>72.947677041046461</v>
      </c>
      <c r="G160" s="381">
        <v>23990000</v>
      </c>
      <c r="H160" s="382">
        <v>27.052322958953539</v>
      </c>
    </row>
    <row r="161" spans="3:8" ht="17.100000000000001" customHeight="1" x14ac:dyDescent="0.3">
      <c r="C161" s="387" t="s">
        <v>4698</v>
      </c>
      <c r="D161" s="375">
        <v>4800000</v>
      </c>
      <c r="E161" s="375">
        <v>0</v>
      </c>
      <c r="F161" s="376">
        <v>0</v>
      </c>
      <c r="G161" s="375">
        <v>4800000</v>
      </c>
      <c r="H161" s="376">
        <v>100</v>
      </c>
    </row>
    <row r="162" spans="3:8" ht="17.100000000000001" customHeight="1" x14ac:dyDescent="0.3">
      <c r="C162" s="387" t="s">
        <v>4716</v>
      </c>
      <c r="D162" s="375">
        <v>27500000</v>
      </c>
      <c r="E162" s="375">
        <v>9960000</v>
      </c>
      <c r="F162" s="376">
        <v>36.218181818181819</v>
      </c>
      <c r="G162" s="375">
        <v>17540000</v>
      </c>
      <c r="H162" s="376">
        <v>63.781818181818181</v>
      </c>
    </row>
    <row r="163" spans="3:8" ht="17.100000000000001" customHeight="1" x14ac:dyDescent="0.3">
      <c r="C163" s="387" t="s">
        <v>4702</v>
      </c>
      <c r="D163" s="375">
        <v>56380000</v>
      </c>
      <c r="E163" s="375">
        <v>54730000</v>
      </c>
      <c r="F163" s="376">
        <v>97.073430294430651</v>
      </c>
      <c r="G163" s="375">
        <v>1650000</v>
      </c>
      <c r="H163" s="376">
        <v>2.9265697055693507</v>
      </c>
    </row>
    <row r="164" spans="3:8" x14ac:dyDescent="0.3">
      <c r="C164" s="226" t="s">
        <v>560</v>
      </c>
      <c r="D164" s="299">
        <v>4038094000</v>
      </c>
      <c r="E164" s="299">
        <v>1707968860</v>
      </c>
      <c r="F164" s="300">
        <v>42.296411623899786</v>
      </c>
      <c r="G164" s="299">
        <v>2330125140</v>
      </c>
      <c r="H164" s="300">
        <v>57.703588376100214</v>
      </c>
    </row>
    <row r="165" spans="3:8" ht="28.8" x14ac:dyDescent="0.3">
      <c r="C165" s="377" t="s">
        <v>4745</v>
      </c>
      <c r="D165" s="375">
        <v>115000000</v>
      </c>
      <c r="E165" s="375">
        <v>114200000</v>
      </c>
      <c r="F165" s="376">
        <v>99.304347826086953</v>
      </c>
      <c r="G165" s="375">
        <v>800000</v>
      </c>
      <c r="H165" s="376">
        <v>0.69565217391304346</v>
      </c>
    </row>
    <row r="166" spans="3:8" x14ac:dyDescent="0.3">
      <c r="C166" s="401" t="s">
        <v>4747</v>
      </c>
      <c r="D166" s="232">
        <v>115000000</v>
      </c>
      <c r="E166" s="232">
        <v>114200000</v>
      </c>
      <c r="F166" s="231">
        <v>99.304347826086953</v>
      </c>
      <c r="G166" s="232">
        <v>800000</v>
      </c>
      <c r="H166" s="231">
        <v>0.69565217391304346</v>
      </c>
    </row>
    <row r="167" spans="3:8" x14ac:dyDescent="0.3">
      <c r="C167" s="383" t="s">
        <v>4746</v>
      </c>
      <c r="D167" s="381">
        <v>115000000</v>
      </c>
      <c r="E167" s="381">
        <v>114200000</v>
      </c>
      <c r="F167" s="382">
        <v>99.304347826086953</v>
      </c>
      <c r="G167" s="381">
        <v>800000</v>
      </c>
      <c r="H167" s="382">
        <v>0.69565217391304346</v>
      </c>
    </row>
    <row r="168" spans="3:8" ht="17.100000000000001" customHeight="1" x14ac:dyDescent="0.3">
      <c r="C168" s="387" t="s">
        <v>4705</v>
      </c>
      <c r="D168" s="375">
        <v>115000000</v>
      </c>
      <c r="E168" s="375">
        <v>114200000</v>
      </c>
      <c r="F168" s="376">
        <v>99.304347826086953</v>
      </c>
      <c r="G168" s="375">
        <v>800000</v>
      </c>
      <c r="H168" s="376">
        <v>0.69565217391304346</v>
      </c>
    </row>
    <row r="169" spans="3:8" x14ac:dyDescent="0.3">
      <c r="C169" s="377" t="s">
        <v>4754</v>
      </c>
      <c r="D169" s="375">
        <v>1186502000</v>
      </c>
      <c r="E169" s="375">
        <v>390447219</v>
      </c>
      <c r="F169" s="376">
        <v>32.907421900679481</v>
      </c>
      <c r="G169" s="375">
        <v>796054781</v>
      </c>
      <c r="H169" s="376">
        <v>67.092578099320519</v>
      </c>
    </row>
    <row r="170" spans="3:8" x14ac:dyDescent="0.3">
      <c r="C170" s="401" t="s">
        <v>4753</v>
      </c>
      <c r="D170" s="232">
        <v>1186502000</v>
      </c>
      <c r="E170" s="232">
        <v>390447219</v>
      </c>
      <c r="F170" s="231">
        <v>32.907421900679481</v>
      </c>
      <c r="G170" s="232">
        <v>796054781</v>
      </c>
      <c r="H170" s="231">
        <v>67.092578099320519</v>
      </c>
    </row>
    <row r="171" spans="3:8" x14ac:dyDescent="0.3">
      <c r="C171" s="383" t="s">
        <v>4724</v>
      </c>
      <c r="D171" s="381">
        <v>51100000</v>
      </c>
      <c r="E171" s="381">
        <v>16087300</v>
      </c>
      <c r="F171" s="382">
        <v>31.481996086105674</v>
      </c>
      <c r="G171" s="381">
        <v>35012700</v>
      </c>
      <c r="H171" s="382">
        <v>68.518003913894319</v>
      </c>
    </row>
    <row r="172" spans="3:8" ht="17.100000000000001" customHeight="1" x14ac:dyDescent="0.3">
      <c r="C172" s="387" t="s">
        <v>4698</v>
      </c>
      <c r="D172" s="375">
        <v>22000000</v>
      </c>
      <c r="E172" s="375">
        <v>3998800</v>
      </c>
      <c r="F172" s="376">
        <v>18.176363636363639</v>
      </c>
      <c r="G172" s="375">
        <v>18001200</v>
      </c>
      <c r="H172" s="376">
        <v>81.823636363636368</v>
      </c>
    </row>
    <row r="173" spans="3:8" ht="17.100000000000001" customHeight="1" x14ac:dyDescent="0.3">
      <c r="C173" s="387" t="s">
        <v>4702</v>
      </c>
      <c r="D173" s="375">
        <v>27000000</v>
      </c>
      <c r="E173" s="375">
        <v>11338500</v>
      </c>
      <c r="F173" s="376">
        <v>41.994444444444447</v>
      </c>
      <c r="G173" s="375">
        <v>15661500</v>
      </c>
      <c r="H173" s="376">
        <v>58.005555555555553</v>
      </c>
    </row>
    <row r="174" spans="3:8" ht="17.100000000000001" customHeight="1" x14ac:dyDescent="0.3">
      <c r="C174" s="387" t="s">
        <v>508</v>
      </c>
      <c r="D174" s="375">
        <v>2100000</v>
      </c>
      <c r="E174" s="375">
        <v>750000</v>
      </c>
      <c r="F174" s="376">
        <v>35.714285714285715</v>
      </c>
      <c r="G174" s="375">
        <v>1350000</v>
      </c>
      <c r="H174" s="376">
        <v>64.285714285714292</v>
      </c>
    </row>
    <row r="175" spans="3:8" x14ac:dyDescent="0.3">
      <c r="C175" s="383" t="s">
        <v>4725</v>
      </c>
      <c r="D175" s="381">
        <v>548180000</v>
      </c>
      <c r="E175" s="381">
        <v>167581461</v>
      </c>
      <c r="F175" s="382">
        <v>30.570517165894412</v>
      </c>
      <c r="G175" s="381">
        <v>380598539</v>
      </c>
      <c r="H175" s="382">
        <v>69.429482834105585</v>
      </c>
    </row>
    <row r="176" spans="3:8" ht="17.100000000000001" customHeight="1" x14ac:dyDescent="0.3">
      <c r="C176" s="387" t="s">
        <v>4698</v>
      </c>
      <c r="D176" s="375">
        <v>10000000</v>
      </c>
      <c r="E176" s="375">
        <v>4970000</v>
      </c>
      <c r="F176" s="376">
        <v>49.7</v>
      </c>
      <c r="G176" s="375">
        <v>5030000</v>
      </c>
      <c r="H176" s="376">
        <v>50.3</v>
      </c>
    </row>
    <row r="177" spans="3:8" ht="17.100000000000001" customHeight="1" x14ac:dyDescent="0.3">
      <c r="C177" s="387" t="s">
        <v>4703</v>
      </c>
      <c r="D177" s="375">
        <v>23680000</v>
      </c>
      <c r="E177" s="375">
        <v>2031000</v>
      </c>
      <c r="F177" s="376">
        <v>8.5768581081081088</v>
      </c>
      <c r="G177" s="375">
        <v>21649000</v>
      </c>
      <c r="H177" s="376">
        <v>91.423141891891888</v>
      </c>
    </row>
    <row r="178" spans="3:8" ht="17.100000000000001" customHeight="1" x14ac:dyDescent="0.3">
      <c r="C178" s="387" t="s">
        <v>4702</v>
      </c>
      <c r="D178" s="375">
        <v>514500000</v>
      </c>
      <c r="E178" s="375">
        <v>160580461</v>
      </c>
      <c r="F178" s="376">
        <v>31.210973955296407</v>
      </c>
      <c r="G178" s="375">
        <v>353919539</v>
      </c>
      <c r="H178" s="376">
        <v>68.78902604470359</v>
      </c>
    </row>
    <row r="179" spans="3:8" x14ac:dyDescent="0.3">
      <c r="C179" s="383" t="s">
        <v>4755</v>
      </c>
      <c r="D179" s="381">
        <v>74500000</v>
      </c>
      <c r="E179" s="381">
        <v>42281740</v>
      </c>
      <c r="F179" s="382">
        <v>56.754013422818794</v>
      </c>
      <c r="G179" s="381">
        <v>32218260</v>
      </c>
      <c r="H179" s="382">
        <v>43.245986577181206</v>
      </c>
    </row>
    <row r="180" spans="3:8" ht="17.100000000000001" customHeight="1" x14ac:dyDescent="0.3">
      <c r="C180" s="387" t="s">
        <v>4698</v>
      </c>
      <c r="D180" s="375">
        <v>46000000</v>
      </c>
      <c r="E180" s="375">
        <v>33371740</v>
      </c>
      <c r="F180" s="376">
        <v>72.547260869565221</v>
      </c>
      <c r="G180" s="375">
        <v>12628260</v>
      </c>
      <c r="H180" s="376">
        <v>27.452739130434782</v>
      </c>
    </row>
    <row r="181" spans="3:8" ht="17.100000000000001" customHeight="1" x14ac:dyDescent="0.3">
      <c r="C181" s="387" t="s">
        <v>4704</v>
      </c>
      <c r="D181" s="375">
        <v>6000000</v>
      </c>
      <c r="E181" s="375">
        <v>0</v>
      </c>
      <c r="F181" s="376">
        <v>0</v>
      </c>
      <c r="G181" s="375">
        <v>6000000</v>
      </c>
      <c r="H181" s="376">
        <v>100</v>
      </c>
    </row>
    <row r="182" spans="3:8" ht="17.100000000000001" customHeight="1" x14ac:dyDescent="0.3">
      <c r="C182" s="387" t="s">
        <v>4702</v>
      </c>
      <c r="D182" s="375">
        <v>18000000</v>
      </c>
      <c r="E182" s="375">
        <v>8310000</v>
      </c>
      <c r="F182" s="376">
        <v>46.166666666666664</v>
      </c>
      <c r="G182" s="375">
        <v>9690000</v>
      </c>
      <c r="H182" s="376">
        <v>53.833333333333336</v>
      </c>
    </row>
    <row r="183" spans="3:8" ht="17.100000000000001" customHeight="1" x14ac:dyDescent="0.3">
      <c r="C183" s="387" t="s">
        <v>508</v>
      </c>
      <c r="D183" s="375">
        <v>4500000</v>
      </c>
      <c r="E183" s="375">
        <v>600000</v>
      </c>
      <c r="F183" s="376">
        <v>13.333333333333334</v>
      </c>
      <c r="G183" s="375">
        <v>3900000</v>
      </c>
      <c r="H183" s="376">
        <v>86.666666666666671</v>
      </c>
    </row>
    <row r="184" spans="3:8" x14ac:dyDescent="0.3">
      <c r="C184" s="383" t="s">
        <v>4726</v>
      </c>
      <c r="D184" s="381">
        <v>101050000</v>
      </c>
      <c r="E184" s="381">
        <v>33140738</v>
      </c>
      <c r="F184" s="382">
        <v>32.796376051459674</v>
      </c>
      <c r="G184" s="381">
        <v>67909262</v>
      </c>
      <c r="H184" s="382">
        <v>67.203623948540326</v>
      </c>
    </row>
    <row r="185" spans="3:8" ht="17.100000000000001" customHeight="1" x14ac:dyDescent="0.3">
      <c r="C185" s="387" t="s">
        <v>4698</v>
      </c>
      <c r="D185" s="375">
        <v>28000000</v>
      </c>
      <c r="E185" s="375">
        <v>5459000</v>
      </c>
      <c r="F185" s="376">
        <v>19.49642857142857</v>
      </c>
      <c r="G185" s="375">
        <v>22541000</v>
      </c>
      <c r="H185" s="376">
        <v>80.503571428571433</v>
      </c>
    </row>
    <row r="186" spans="3:8" ht="17.100000000000001" customHeight="1" x14ac:dyDescent="0.3">
      <c r="C186" s="387" t="s">
        <v>4702</v>
      </c>
      <c r="D186" s="375">
        <v>71250000</v>
      </c>
      <c r="E186" s="375">
        <v>27681738</v>
      </c>
      <c r="F186" s="376">
        <v>38.851562105263163</v>
      </c>
      <c r="G186" s="375">
        <v>43568262</v>
      </c>
      <c r="H186" s="376">
        <v>61.148437894736837</v>
      </c>
    </row>
    <row r="187" spans="3:8" ht="17.100000000000001" customHeight="1" x14ac:dyDescent="0.3">
      <c r="C187" s="387" t="s">
        <v>508</v>
      </c>
      <c r="D187" s="375">
        <v>1800000</v>
      </c>
      <c r="E187" s="375">
        <v>0</v>
      </c>
      <c r="F187" s="376">
        <v>0</v>
      </c>
      <c r="G187" s="375">
        <v>1800000</v>
      </c>
      <c r="H187" s="376">
        <v>100</v>
      </c>
    </row>
    <row r="188" spans="3:8" x14ac:dyDescent="0.3">
      <c r="C188" s="383" t="s">
        <v>4756</v>
      </c>
      <c r="D188" s="381">
        <v>411672000</v>
      </c>
      <c r="E188" s="381">
        <v>131355980</v>
      </c>
      <c r="F188" s="382">
        <v>31.907921840688701</v>
      </c>
      <c r="G188" s="381">
        <v>280316020</v>
      </c>
      <c r="H188" s="382">
        <v>68.092078159311299</v>
      </c>
    </row>
    <row r="189" spans="3:8" ht="17.100000000000001" customHeight="1" x14ac:dyDescent="0.3">
      <c r="C189" s="387" t="s">
        <v>4698</v>
      </c>
      <c r="D189" s="375">
        <v>57600000</v>
      </c>
      <c r="E189" s="375">
        <v>38095000</v>
      </c>
      <c r="F189" s="376">
        <v>66.137152777777771</v>
      </c>
      <c r="G189" s="375">
        <v>19505000</v>
      </c>
      <c r="H189" s="376">
        <v>33.862847222222221</v>
      </c>
    </row>
    <row r="190" spans="3:8" ht="17.100000000000001" customHeight="1" x14ac:dyDescent="0.3">
      <c r="C190" s="387" t="s">
        <v>4757</v>
      </c>
      <c r="D190" s="375">
        <v>226200000</v>
      </c>
      <c r="E190" s="375">
        <v>67164280</v>
      </c>
      <c r="F190" s="376">
        <v>29.692431476569407</v>
      </c>
      <c r="G190" s="375">
        <v>159035720</v>
      </c>
      <c r="H190" s="376">
        <v>70.307568523430604</v>
      </c>
    </row>
    <row r="191" spans="3:8" ht="17.100000000000001" customHeight="1" x14ac:dyDescent="0.3">
      <c r="C191" s="387" t="s">
        <v>4802</v>
      </c>
      <c r="D191" s="375">
        <v>35000000</v>
      </c>
      <c r="E191" s="375">
        <v>0</v>
      </c>
      <c r="F191" s="376">
        <v>0</v>
      </c>
      <c r="G191" s="375">
        <v>35000000</v>
      </c>
      <c r="H191" s="376">
        <v>100</v>
      </c>
    </row>
    <row r="192" spans="3:8" ht="17.100000000000001" customHeight="1" x14ac:dyDescent="0.3">
      <c r="C192" s="387" t="s">
        <v>4703</v>
      </c>
      <c r="D192" s="375">
        <v>48000000</v>
      </c>
      <c r="E192" s="375">
        <v>4246000</v>
      </c>
      <c r="F192" s="376">
        <v>8.8458333333333332</v>
      </c>
      <c r="G192" s="375">
        <v>43754000</v>
      </c>
      <c r="H192" s="376">
        <v>91.154166666666669</v>
      </c>
    </row>
    <row r="193" spans="3:8" ht="17.100000000000001" customHeight="1" x14ac:dyDescent="0.3">
      <c r="C193" s="387" t="s">
        <v>4702</v>
      </c>
      <c r="D193" s="375">
        <v>42772000</v>
      </c>
      <c r="E193" s="375">
        <v>21850700</v>
      </c>
      <c r="F193" s="376">
        <v>51.08645843074909</v>
      </c>
      <c r="G193" s="375">
        <v>20921300</v>
      </c>
      <c r="H193" s="376">
        <v>48.91354156925091</v>
      </c>
    </row>
    <row r="194" spans="3:8" ht="17.100000000000001" customHeight="1" x14ac:dyDescent="0.3">
      <c r="C194" s="387" t="s">
        <v>508</v>
      </c>
      <c r="D194" s="375">
        <v>2100000</v>
      </c>
      <c r="E194" s="375">
        <v>0</v>
      </c>
      <c r="F194" s="376">
        <v>0</v>
      </c>
      <c r="G194" s="375">
        <v>2100000</v>
      </c>
      <c r="H194" s="376">
        <v>100</v>
      </c>
    </row>
    <row r="195" spans="3:8" x14ac:dyDescent="0.3">
      <c r="C195" s="377" t="s">
        <v>4762</v>
      </c>
      <c r="D195" s="375">
        <v>2195658000</v>
      </c>
      <c r="E195" s="375">
        <v>663321641</v>
      </c>
      <c r="F195" s="376">
        <v>30.210608437197411</v>
      </c>
      <c r="G195" s="375">
        <v>1532336359</v>
      </c>
      <c r="H195" s="376">
        <v>69.789391562802578</v>
      </c>
    </row>
    <row r="196" spans="3:8" x14ac:dyDescent="0.3">
      <c r="C196" s="402" t="s">
        <v>4654</v>
      </c>
      <c r="D196" s="232">
        <v>2195658000</v>
      </c>
      <c r="E196" s="232">
        <v>663321641</v>
      </c>
      <c r="F196" s="231">
        <v>30.210608437197411</v>
      </c>
      <c r="G196" s="232">
        <v>1532336359</v>
      </c>
      <c r="H196" s="231">
        <v>69.789391562802578</v>
      </c>
    </row>
    <row r="197" spans="3:8" x14ac:dyDescent="0.3">
      <c r="C197" s="390" t="s">
        <v>4763</v>
      </c>
      <c r="D197" s="392">
        <v>1254380000</v>
      </c>
      <c r="E197" s="392">
        <v>487766151</v>
      </c>
      <c r="F197" s="393">
        <v>38.885038903681505</v>
      </c>
      <c r="G197" s="392">
        <v>766613849</v>
      </c>
      <c r="H197" s="393">
        <v>61.114961096318495</v>
      </c>
    </row>
    <row r="198" spans="3:8" ht="17.100000000000001" customHeight="1" x14ac:dyDescent="0.3">
      <c r="C198" s="387" t="s">
        <v>4764</v>
      </c>
      <c r="D198" s="375">
        <v>1076220000</v>
      </c>
      <c r="E198" s="375">
        <v>423058151</v>
      </c>
      <c r="F198" s="376">
        <v>39.309634740108898</v>
      </c>
      <c r="G198" s="375">
        <v>653161849</v>
      </c>
      <c r="H198" s="376">
        <v>60.690365259891102</v>
      </c>
    </row>
    <row r="199" spans="3:8" ht="17.100000000000001" customHeight="1" x14ac:dyDescent="0.3">
      <c r="C199" s="387" t="s">
        <v>4716</v>
      </c>
      <c r="D199" s="375">
        <v>178160000</v>
      </c>
      <c r="E199" s="375">
        <v>64708000</v>
      </c>
      <c r="F199" s="376">
        <v>36.320161652447233</v>
      </c>
      <c r="G199" s="375">
        <v>113452000</v>
      </c>
      <c r="H199" s="376">
        <v>63.679838347552767</v>
      </c>
    </row>
    <row r="200" spans="3:8" x14ac:dyDescent="0.3">
      <c r="C200" s="390" t="s">
        <v>4765</v>
      </c>
      <c r="D200" s="392">
        <v>148852000</v>
      </c>
      <c r="E200" s="392">
        <v>22086050</v>
      </c>
      <c r="F200" s="393">
        <v>14.837590358208153</v>
      </c>
      <c r="G200" s="392">
        <v>126765950</v>
      </c>
      <c r="H200" s="393">
        <v>85.162409641791854</v>
      </c>
    </row>
    <row r="201" spans="3:8" ht="17.100000000000001" customHeight="1" x14ac:dyDescent="0.3">
      <c r="C201" s="387" t="s">
        <v>4766</v>
      </c>
      <c r="D201" s="375">
        <v>30000000</v>
      </c>
      <c r="E201" s="375">
        <v>2286050</v>
      </c>
      <c r="F201" s="376">
        <v>7.620166666666667</v>
      </c>
      <c r="G201" s="375">
        <v>27713950</v>
      </c>
      <c r="H201" s="376">
        <v>92.379833333333337</v>
      </c>
    </row>
    <row r="202" spans="3:8" ht="17.100000000000001" customHeight="1" x14ac:dyDescent="0.3">
      <c r="C202" s="387" t="s">
        <v>4704</v>
      </c>
      <c r="D202" s="375">
        <v>118852000</v>
      </c>
      <c r="E202" s="375">
        <v>19800000</v>
      </c>
      <c r="F202" s="376">
        <v>16.659374684481541</v>
      </c>
      <c r="G202" s="375">
        <v>99052000</v>
      </c>
      <c r="H202" s="376">
        <v>83.340625315518452</v>
      </c>
    </row>
    <row r="203" spans="3:8" x14ac:dyDescent="0.3">
      <c r="C203" s="390" t="s">
        <v>4767</v>
      </c>
      <c r="D203" s="392">
        <v>533050000</v>
      </c>
      <c r="E203" s="392">
        <v>94875440</v>
      </c>
      <c r="F203" s="393">
        <v>17.798600506519087</v>
      </c>
      <c r="G203" s="392">
        <v>438174560</v>
      </c>
      <c r="H203" s="393">
        <v>82.201399493480906</v>
      </c>
    </row>
    <row r="204" spans="3:8" ht="17.100000000000001" customHeight="1" x14ac:dyDescent="0.3">
      <c r="C204" s="387" t="s">
        <v>4768</v>
      </c>
      <c r="D204" s="375">
        <v>497050000</v>
      </c>
      <c r="E204" s="375">
        <v>85875440</v>
      </c>
      <c r="F204" s="376">
        <v>17.277022432350869</v>
      </c>
      <c r="G204" s="375">
        <v>411174560</v>
      </c>
      <c r="H204" s="376">
        <v>82.722977567649124</v>
      </c>
    </row>
    <row r="205" spans="3:8" ht="17.100000000000001" customHeight="1" x14ac:dyDescent="0.3">
      <c r="C205" s="387" t="s">
        <v>4769</v>
      </c>
      <c r="D205" s="375">
        <v>36000000</v>
      </c>
      <c r="E205" s="375">
        <v>9000000</v>
      </c>
      <c r="F205" s="376">
        <v>25</v>
      </c>
      <c r="G205" s="375">
        <v>27000000</v>
      </c>
      <c r="H205" s="376">
        <v>75</v>
      </c>
    </row>
    <row r="206" spans="3:8" x14ac:dyDescent="0.3">
      <c r="C206" s="390" t="s">
        <v>4770</v>
      </c>
      <c r="D206" s="392">
        <v>159376000</v>
      </c>
      <c r="E206" s="392">
        <v>58594000</v>
      </c>
      <c r="F206" s="393">
        <v>36.764632065053711</v>
      </c>
      <c r="G206" s="392">
        <v>100782000</v>
      </c>
      <c r="H206" s="393">
        <v>63.235367934946296</v>
      </c>
    </row>
    <row r="207" spans="3:8" ht="17.100000000000001" customHeight="1" x14ac:dyDescent="0.3">
      <c r="C207" s="387" t="s">
        <v>4764</v>
      </c>
      <c r="D207" s="375">
        <v>101040000</v>
      </c>
      <c r="E207" s="375">
        <v>44410000</v>
      </c>
      <c r="F207" s="376">
        <v>43.952889944576405</v>
      </c>
      <c r="G207" s="375">
        <v>56630000</v>
      </c>
      <c r="H207" s="376">
        <v>56.047110055423602</v>
      </c>
    </row>
    <row r="208" spans="3:8" ht="17.100000000000001" customHeight="1" x14ac:dyDescent="0.3">
      <c r="C208" s="387" t="s">
        <v>4771</v>
      </c>
      <c r="D208" s="375">
        <v>58336000</v>
      </c>
      <c r="E208" s="375">
        <v>14184000</v>
      </c>
      <c r="F208" s="376">
        <v>24.314317059791552</v>
      </c>
      <c r="G208" s="375">
        <v>44152000</v>
      </c>
      <c r="H208" s="376">
        <v>75.685682940208437</v>
      </c>
    </row>
    <row r="209" spans="3:8" x14ac:dyDescent="0.3">
      <c r="C209" s="390" t="s">
        <v>4772</v>
      </c>
      <c r="D209" s="392">
        <v>100000000</v>
      </c>
      <c r="E209" s="392">
        <v>0</v>
      </c>
      <c r="F209" s="393">
        <v>0</v>
      </c>
      <c r="G209" s="392">
        <v>100000000</v>
      </c>
      <c r="H209" s="393">
        <v>100</v>
      </c>
    </row>
    <row r="210" spans="3:8" ht="17.100000000000001" customHeight="1" x14ac:dyDescent="0.3">
      <c r="C210" s="387" t="s">
        <v>4764</v>
      </c>
      <c r="D210" s="375">
        <v>45000000</v>
      </c>
      <c r="E210" s="375">
        <v>0</v>
      </c>
      <c r="F210" s="376">
        <v>0</v>
      </c>
      <c r="G210" s="375">
        <v>45000000</v>
      </c>
      <c r="H210" s="376">
        <v>100</v>
      </c>
    </row>
    <row r="211" spans="3:8" ht="17.100000000000001" customHeight="1" x14ac:dyDescent="0.3">
      <c r="C211" s="387" t="s">
        <v>4716</v>
      </c>
      <c r="D211" s="375">
        <v>26000000</v>
      </c>
      <c r="E211" s="375">
        <v>0</v>
      </c>
      <c r="F211" s="376">
        <v>0</v>
      </c>
      <c r="G211" s="375">
        <v>26000000</v>
      </c>
      <c r="H211" s="376">
        <v>100</v>
      </c>
    </row>
    <row r="212" spans="3:8" ht="17.100000000000001" customHeight="1" x14ac:dyDescent="0.3">
      <c r="C212" s="387" t="s">
        <v>4768</v>
      </c>
      <c r="D212" s="375">
        <v>29000000</v>
      </c>
      <c r="E212" s="375">
        <v>0</v>
      </c>
      <c r="F212" s="376">
        <v>0</v>
      </c>
      <c r="G212" s="375">
        <v>29000000</v>
      </c>
      <c r="H212" s="376">
        <v>100</v>
      </c>
    </row>
    <row r="213" spans="3:8" x14ac:dyDescent="0.3">
      <c r="C213" s="377" t="s">
        <v>4775</v>
      </c>
      <c r="D213" s="375">
        <v>540934000</v>
      </c>
      <c r="E213" s="375">
        <v>540000000</v>
      </c>
      <c r="F213" s="376">
        <v>99.827335682356804</v>
      </c>
      <c r="G213" s="375">
        <v>934000</v>
      </c>
      <c r="H213" s="376">
        <v>0.17266431764318754</v>
      </c>
    </row>
    <row r="214" spans="3:8" x14ac:dyDescent="0.3">
      <c r="C214" s="401" t="s">
        <v>4776</v>
      </c>
      <c r="D214" s="232">
        <v>540934000</v>
      </c>
      <c r="E214" s="232">
        <v>540000000</v>
      </c>
      <c r="F214" s="231">
        <v>99.827335682356804</v>
      </c>
      <c r="G214" s="232">
        <v>934000</v>
      </c>
      <c r="H214" s="231">
        <v>0.17266431764318754</v>
      </c>
    </row>
    <row r="215" spans="3:8" x14ac:dyDescent="0.3">
      <c r="C215" s="383" t="s">
        <v>4777</v>
      </c>
      <c r="D215" s="381">
        <v>540934000</v>
      </c>
      <c r="E215" s="381">
        <v>540000000</v>
      </c>
      <c r="F215" s="382">
        <v>99.827335682356804</v>
      </c>
      <c r="G215" s="381">
        <v>934000</v>
      </c>
      <c r="H215" s="382">
        <v>0.17266431764318754</v>
      </c>
    </row>
    <row r="216" spans="3:8" ht="17.100000000000001" customHeight="1" x14ac:dyDescent="0.3">
      <c r="C216" s="387" t="s">
        <v>4705</v>
      </c>
      <c r="D216" s="375">
        <v>540934000</v>
      </c>
      <c r="E216" s="375">
        <v>540000000</v>
      </c>
      <c r="F216" s="376">
        <v>99.827335682356804</v>
      </c>
      <c r="G216" s="375">
        <v>934000</v>
      </c>
      <c r="H216" s="376">
        <v>0.17266431764318754</v>
      </c>
    </row>
    <row r="217" spans="3:8" x14ac:dyDescent="0.3">
      <c r="C217" s="377" t="s">
        <v>4729</v>
      </c>
      <c r="D217" s="375">
        <v>8582500000</v>
      </c>
      <c r="E217" s="375">
        <v>3476713912</v>
      </c>
      <c r="F217" s="376">
        <v>40.509337745412175</v>
      </c>
      <c r="G217" s="375">
        <v>5105786088</v>
      </c>
      <c r="H217" s="376">
        <v>59.490662254587825</v>
      </c>
    </row>
    <row r="218" spans="3:8" ht="17.100000000000001" customHeight="1" x14ac:dyDescent="0.3">
      <c r="C218" s="378" t="s">
        <v>542</v>
      </c>
      <c r="D218" s="379">
        <v>8582500000</v>
      </c>
      <c r="E218" s="379">
        <v>3476713912</v>
      </c>
      <c r="F218" s="380">
        <v>40.509337745412175</v>
      </c>
      <c r="G218" s="379">
        <v>5105786088</v>
      </c>
      <c r="H218" s="380">
        <v>59.490662254587825</v>
      </c>
    </row>
    <row r="219" spans="3:8" x14ac:dyDescent="0.3">
      <c r="C219" s="226" t="s">
        <v>543</v>
      </c>
      <c r="D219" s="299">
        <v>8582500000</v>
      </c>
      <c r="E219" s="299">
        <v>3476713912</v>
      </c>
      <c r="F219" s="300">
        <v>40.509337745412175</v>
      </c>
      <c r="G219" s="299">
        <v>5105786088</v>
      </c>
      <c r="H219" s="300">
        <v>59.490662254587825</v>
      </c>
    </row>
    <row r="220" spans="3:8" x14ac:dyDescent="0.3">
      <c r="C220" s="377" t="s">
        <v>4799</v>
      </c>
      <c r="D220" s="375">
        <v>8582500000</v>
      </c>
      <c r="E220" s="375">
        <v>3476713912</v>
      </c>
      <c r="F220" s="376">
        <v>40.509337745412175</v>
      </c>
      <c r="G220" s="375">
        <v>5105786088</v>
      </c>
      <c r="H220" s="376">
        <v>59.490662254587825</v>
      </c>
    </row>
    <row r="221" spans="3:8" x14ac:dyDescent="0.3">
      <c r="C221" s="401" t="s">
        <v>4800</v>
      </c>
      <c r="D221" s="232">
        <v>8473300000</v>
      </c>
      <c r="E221" s="232">
        <v>3468907912</v>
      </c>
      <c r="F221" s="231">
        <v>40.939278816989841</v>
      </c>
      <c r="G221" s="232">
        <v>5004392088</v>
      </c>
      <c r="H221" s="231">
        <v>59.060721183010159</v>
      </c>
    </row>
    <row r="222" spans="3:8" x14ac:dyDescent="0.3">
      <c r="C222" s="383" t="s">
        <v>4801</v>
      </c>
      <c r="D222" s="381">
        <v>1713564000</v>
      </c>
      <c r="E222" s="381">
        <v>25390000</v>
      </c>
      <c r="F222" s="382">
        <v>1.4817071320359203</v>
      </c>
      <c r="G222" s="381">
        <v>1688174000</v>
      </c>
      <c r="H222" s="382">
        <v>98.518292867964078</v>
      </c>
    </row>
    <row r="223" spans="3:8" ht="17.100000000000001" customHeight="1" x14ac:dyDescent="0.3">
      <c r="C223" s="387" t="s">
        <v>4698</v>
      </c>
      <c r="D223" s="375">
        <v>99100000</v>
      </c>
      <c r="E223" s="375">
        <v>0</v>
      </c>
      <c r="F223" s="376">
        <v>0</v>
      </c>
      <c r="G223" s="375">
        <v>99100000</v>
      </c>
      <c r="H223" s="376">
        <v>100</v>
      </c>
    </row>
    <row r="224" spans="3:8" ht="17.100000000000001" customHeight="1" x14ac:dyDescent="0.3">
      <c r="C224" s="387" t="s">
        <v>4711</v>
      </c>
      <c r="D224" s="375">
        <v>1333864000</v>
      </c>
      <c r="E224" s="375">
        <v>0</v>
      </c>
      <c r="F224" s="376">
        <v>0</v>
      </c>
      <c r="G224" s="375">
        <v>1333864000</v>
      </c>
      <c r="H224" s="376">
        <v>100</v>
      </c>
    </row>
    <row r="225" spans="3:8" ht="17.100000000000001" customHeight="1" x14ac:dyDescent="0.3">
      <c r="C225" s="387" t="s">
        <v>4716</v>
      </c>
      <c r="D225" s="375">
        <v>25000000</v>
      </c>
      <c r="E225" s="375">
        <v>4855000</v>
      </c>
      <c r="F225" s="376">
        <v>19.420000000000002</v>
      </c>
      <c r="G225" s="375">
        <v>20145000</v>
      </c>
      <c r="H225" s="376">
        <v>80.58</v>
      </c>
    </row>
    <row r="226" spans="3:8" ht="17.100000000000001" customHeight="1" x14ac:dyDescent="0.3">
      <c r="C226" s="387" t="s">
        <v>4701</v>
      </c>
      <c r="D226" s="375">
        <v>15000000</v>
      </c>
      <c r="E226" s="375">
        <v>0</v>
      </c>
      <c r="F226" s="376">
        <v>0</v>
      </c>
      <c r="G226" s="375">
        <v>15000000</v>
      </c>
      <c r="H226" s="376">
        <v>100</v>
      </c>
    </row>
    <row r="227" spans="3:8" ht="17.100000000000001" customHeight="1" x14ac:dyDescent="0.3">
      <c r="C227" s="387" t="s">
        <v>4802</v>
      </c>
      <c r="D227" s="375">
        <v>102600000</v>
      </c>
      <c r="E227" s="375">
        <v>0</v>
      </c>
      <c r="F227" s="376">
        <v>0</v>
      </c>
      <c r="G227" s="375">
        <v>102600000</v>
      </c>
      <c r="H227" s="376">
        <v>100</v>
      </c>
    </row>
    <row r="228" spans="3:8" ht="17.100000000000001" customHeight="1" x14ac:dyDescent="0.3">
      <c r="C228" s="387" t="s">
        <v>4702</v>
      </c>
      <c r="D228" s="375">
        <v>138000000</v>
      </c>
      <c r="E228" s="375">
        <v>20535000</v>
      </c>
      <c r="F228" s="376">
        <v>14.880434782608695</v>
      </c>
      <c r="G228" s="375">
        <v>117465000</v>
      </c>
      <c r="H228" s="376">
        <v>85.119565217391298</v>
      </c>
    </row>
    <row r="229" spans="3:8" x14ac:dyDescent="0.3">
      <c r="C229" s="383" t="s">
        <v>4803</v>
      </c>
      <c r="D229" s="381">
        <v>6555695000</v>
      </c>
      <c r="E229" s="381">
        <v>3443517912</v>
      </c>
      <c r="F229" s="382">
        <v>52.527122021387505</v>
      </c>
      <c r="G229" s="381">
        <v>3112177088</v>
      </c>
      <c r="H229" s="382">
        <v>47.472877978612487</v>
      </c>
    </row>
    <row r="230" spans="3:8" ht="17.100000000000001" customHeight="1" x14ac:dyDescent="0.3">
      <c r="C230" s="387" t="s">
        <v>4698</v>
      </c>
      <c r="D230" s="375">
        <v>25000000</v>
      </c>
      <c r="E230" s="375">
        <v>2917500</v>
      </c>
      <c r="F230" s="376">
        <v>11.67</v>
      </c>
      <c r="G230" s="375">
        <v>22082500</v>
      </c>
      <c r="H230" s="376">
        <v>88.33</v>
      </c>
    </row>
    <row r="231" spans="3:8" ht="17.100000000000001" customHeight="1" x14ac:dyDescent="0.3">
      <c r="C231" s="387" t="s">
        <v>4711</v>
      </c>
      <c r="D231" s="375">
        <v>6308695000</v>
      </c>
      <c r="E231" s="375">
        <v>3393066206</v>
      </c>
      <c r="F231" s="376">
        <v>53.78396333948622</v>
      </c>
      <c r="G231" s="375">
        <v>2915628794</v>
      </c>
      <c r="H231" s="376">
        <v>46.21603666051378</v>
      </c>
    </row>
    <row r="232" spans="3:8" ht="17.100000000000001" customHeight="1" x14ac:dyDescent="0.3">
      <c r="C232" s="387" t="s">
        <v>4716</v>
      </c>
      <c r="D232" s="375">
        <v>30000000</v>
      </c>
      <c r="E232" s="375">
        <v>4811000</v>
      </c>
      <c r="F232" s="376">
        <v>16.036666666666665</v>
      </c>
      <c r="G232" s="375">
        <v>25189000</v>
      </c>
      <c r="H232" s="376">
        <v>83.963333333333338</v>
      </c>
    </row>
    <row r="233" spans="3:8" ht="17.100000000000001" customHeight="1" x14ac:dyDescent="0.3">
      <c r="C233" s="387" t="s">
        <v>4701</v>
      </c>
      <c r="D233" s="375">
        <v>6000000</v>
      </c>
      <c r="E233" s="375">
        <v>0</v>
      </c>
      <c r="F233" s="376">
        <v>0</v>
      </c>
      <c r="G233" s="375">
        <v>6000000</v>
      </c>
      <c r="H233" s="376">
        <v>100</v>
      </c>
    </row>
    <row r="234" spans="3:8" ht="17.100000000000001" customHeight="1" x14ac:dyDescent="0.3">
      <c r="C234" s="387" t="s">
        <v>4702</v>
      </c>
      <c r="D234" s="375">
        <v>186000000</v>
      </c>
      <c r="E234" s="375">
        <v>42723206</v>
      </c>
      <c r="F234" s="376">
        <v>22.969465591397849</v>
      </c>
      <c r="G234" s="375">
        <v>143276794</v>
      </c>
      <c r="H234" s="376">
        <v>77.030534408602151</v>
      </c>
    </row>
    <row r="235" spans="3:8" x14ac:dyDescent="0.3">
      <c r="C235" s="383" t="s">
        <v>4804</v>
      </c>
      <c r="D235" s="381">
        <v>174041000</v>
      </c>
      <c r="E235" s="381">
        <v>0</v>
      </c>
      <c r="F235" s="382">
        <v>0</v>
      </c>
      <c r="G235" s="381">
        <v>174041000</v>
      </c>
      <c r="H235" s="382">
        <v>100</v>
      </c>
    </row>
    <row r="236" spans="3:8" ht="17.100000000000001" customHeight="1" x14ac:dyDescent="0.3">
      <c r="C236" s="387" t="s">
        <v>4698</v>
      </c>
      <c r="D236" s="375">
        <v>12000000</v>
      </c>
      <c r="E236" s="375">
        <v>0</v>
      </c>
      <c r="F236" s="376">
        <v>0</v>
      </c>
      <c r="G236" s="375">
        <v>12000000</v>
      </c>
      <c r="H236" s="376">
        <v>100</v>
      </c>
    </row>
    <row r="237" spans="3:8" ht="17.100000000000001" customHeight="1" x14ac:dyDescent="0.3">
      <c r="C237" s="387" t="s">
        <v>4711</v>
      </c>
      <c r="D237" s="375">
        <v>20000000</v>
      </c>
      <c r="E237" s="375">
        <v>0</v>
      </c>
      <c r="F237" s="376">
        <v>0</v>
      </c>
      <c r="G237" s="375">
        <v>20000000</v>
      </c>
      <c r="H237" s="376">
        <v>100</v>
      </c>
    </row>
    <row r="238" spans="3:8" ht="17.100000000000001" customHeight="1" x14ac:dyDescent="0.3">
      <c r="C238" s="387" t="s">
        <v>4806</v>
      </c>
      <c r="D238" s="375">
        <v>142041000</v>
      </c>
      <c r="E238" s="375">
        <v>0</v>
      </c>
      <c r="F238" s="376">
        <v>0</v>
      </c>
      <c r="G238" s="375">
        <v>142041000</v>
      </c>
      <c r="H238" s="376">
        <v>100</v>
      </c>
    </row>
    <row r="239" spans="3:8" x14ac:dyDescent="0.3">
      <c r="C239" s="383" t="s">
        <v>4805</v>
      </c>
      <c r="D239" s="381">
        <v>30000000</v>
      </c>
      <c r="E239" s="381">
        <v>0</v>
      </c>
      <c r="F239" s="382">
        <v>0</v>
      </c>
      <c r="G239" s="381">
        <v>30000000</v>
      </c>
      <c r="H239" s="382">
        <v>100</v>
      </c>
    </row>
    <row r="240" spans="3:8" ht="17.100000000000001" customHeight="1" x14ac:dyDescent="0.3">
      <c r="C240" s="387" t="s">
        <v>4703</v>
      </c>
      <c r="D240" s="375">
        <v>30000000</v>
      </c>
      <c r="E240" s="375">
        <v>0</v>
      </c>
      <c r="F240" s="376">
        <v>0</v>
      </c>
      <c r="G240" s="375">
        <v>30000000</v>
      </c>
      <c r="H240" s="376">
        <v>100</v>
      </c>
    </row>
    <row r="241" spans="3:10" x14ac:dyDescent="0.3">
      <c r="C241" s="401" t="s">
        <v>4820</v>
      </c>
      <c r="D241" s="232">
        <v>109200000</v>
      </c>
      <c r="E241" s="232">
        <v>7806000</v>
      </c>
      <c r="F241" s="231">
        <v>7.1483516483516487</v>
      </c>
      <c r="G241" s="232">
        <v>101394000</v>
      </c>
      <c r="H241" s="231">
        <v>92.85164835164835</v>
      </c>
    </row>
    <row r="242" spans="3:10" x14ac:dyDescent="0.3">
      <c r="C242" s="383" t="s">
        <v>4821</v>
      </c>
      <c r="D242" s="381">
        <v>109200000</v>
      </c>
      <c r="E242" s="381">
        <v>7806000</v>
      </c>
      <c r="F242" s="382">
        <v>7.1483516483516487</v>
      </c>
      <c r="G242" s="381">
        <v>101394000</v>
      </c>
      <c r="H242" s="382">
        <v>92.85164835164835</v>
      </c>
    </row>
    <row r="243" spans="3:10" ht="17.100000000000001" customHeight="1" x14ac:dyDescent="0.3">
      <c r="C243" s="387" t="s">
        <v>4698</v>
      </c>
      <c r="D243" s="375">
        <v>25000000</v>
      </c>
      <c r="E243" s="375">
        <v>2961000</v>
      </c>
      <c r="F243" s="376">
        <v>11.844000000000001</v>
      </c>
      <c r="G243" s="375">
        <v>22039000</v>
      </c>
      <c r="H243" s="376">
        <v>88.156000000000006</v>
      </c>
    </row>
    <row r="244" spans="3:10" ht="17.100000000000001" customHeight="1" x14ac:dyDescent="0.3">
      <c r="C244" s="387" t="s">
        <v>4716</v>
      </c>
      <c r="D244" s="375">
        <v>30000000</v>
      </c>
      <c r="E244" s="375">
        <v>4845000</v>
      </c>
      <c r="F244" s="376">
        <v>16.150000000000002</v>
      </c>
      <c r="G244" s="375">
        <v>25155000</v>
      </c>
      <c r="H244" s="376">
        <v>83.850000000000009</v>
      </c>
    </row>
    <row r="245" spans="3:10" ht="17.100000000000001" customHeight="1" x14ac:dyDescent="0.3">
      <c r="C245" s="387" t="s">
        <v>4702</v>
      </c>
      <c r="D245" s="375">
        <v>54200000</v>
      </c>
      <c r="E245" s="375">
        <v>0</v>
      </c>
      <c r="F245" s="376">
        <v>0</v>
      </c>
      <c r="G245" s="375">
        <v>54200000</v>
      </c>
      <c r="H245" s="376">
        <v>100</v>
      </c>
    </row>
    <row r="246" spans="3:10" x14ac:dyDescent="0.3">
      <c r="C246" s="377" t="s">
        <v>4842</v>
      </c>
      <c r="D246" s="375">
        <v>16863164000</v>
      </c>
      <c r="E246" s="375">
        <v>6067322932</v>
      </c>
      <c r="F246" s="376">
        <v>35.97974218835801</v>
      </c>
      <c r="G246" s="375">
        <v>10795841068</v>
      </c>
      <c r="H246" s="376">
        <v>64.020257811641983</v>
      </c>
      <c r="J246" s="276">
        <f>SUM('SP2D ON'!F129:F138)</f>
        <v>761479826</v>
      </c>
    </row>
    <row r="247" spans="3:10" x14ac:dyDescent="0.3">
      <c r="C247"/>
      <c r="J247" s="276">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361" t="s">
        <v>4868</v>
      </c>
      <c r="C5" s="362" t="s">
        <v>4851</v>
      </c>
      <c r="D5" s="362" t="s">
        <v>4852</v>
      </c>
      <c r="E5" s="362" t="s">
        <v>4853</v>
      </c>
      <c r="F5" s="362" t="s">
        <v>4862</v>
      </c>
      <c r="G5" s="362" t="s">
        <v>5186</v>
      </c>
      <c r="H5" s="362" t="s">
        <v>5222</v>
      </c>
      <c r="I5" s="362" t="s">
        <v>5259</v>
      </c>
      <c r="J5" s="362" t="s">
        <v>5399</v>
      </c>
    </row>
    <row r="6" spans="2:10" x14ac:dyDescent="0.3">
      <c r="B6" s="361" t="s">
        <v>4866</v>
      </c>
      <c r="C6" s="363" t="s">
        <v>5191</v>
      </c>
      <c r="D6" s="363" t="s">
        <v>5192</v>
      </c>
      <c r="E6" s="363" t="s">
        <v>5190</v>
      </c>
      <c r="F6" s="363" t="s">
        <v>5189</v>
      </c>
      <c r="G6" s="364" t="s">
        <v>5188</v>
      </c>
      <c r="H6" s="364" t="s">
        <v>5258</v>
      </c>
      <c r="I6" s="364" t="s">
        <v>5258</v>
      </c>
      <c r="J6" s="364" t="s">
        <v>5400</v>
      </c>
    </row>
    <row r="7" spans="2:10" hidden="1" x14ac:dyDescent="0.3">
      <c r="B7" s="317" t="s">
        <v>4859</v>
      </c>
      <c r="C7" s="220" t="s">
        <v>4856</v>
      </c>
      <c r="D7" s="220" t="s">
        <v>4857</v>
      </c>
      <c r="E7" s="220" t="s">
        <v>4858</v>
      </c>
      <c r="F7" s="220" t="s">
        <v>4863</v>
      </c>
      <c r="G7" s="220" t="s">
        <v>5187</v>
      </c>
      <c r="H7" s="220" t="s">
        <v>5256</v>
      </c>
      <c r="I7" s="220" t="s">
        <v>5257</v>
      </c>
      <c r="J7" s="220" t="s">
        <v>5398</v>
      </c>
    </row>
    <row r="8" spans="2:10" x14ac:dyDescent="0.3">
      <c r="B8" s="388" t="s">
        <v>576</v>
      </c>
      <c r="C8" s="386">
        <v>99961115</v>
      </c>
      <c r="D8" s="386">
        <v>249311050</v>
      </c>
      <c r="E8" s="386">
        <v>39291922</v>
      </c>
      <c r="F8" s="386">
        <v>95254996</v>
      </c>
      <c r="G8" s="386">
        <v>90588412</v>
      </c>
      <c r="H8" s="386">
        <v>75905247</v>
      </c>
      <c r="I8" s="386">
        <v>103091640</v>
      </c>
      <c r="J8" s="386">
        <v>2030000</v>
      </c>
    </row>
    <row r="9" spans="2:10" x14ac:dyDescent="0.3">
      <c r="B9" s="331" t="s">
        <v>546</v>
      </c>
      <c r="C9" s="225">
        <v>0</v>
      </c>
      <c r="D9" s="225">
        <v>50674500</v>
      </c>
      <c r="E9" s="225">
        <v>18269500</v>
      </c>
      <c r="F9" s="225">
        <v>19929200</v>
      </c>
      <c r="G9" s="225">
        <v>10000000</v>
      </c>
      <c r="H9" s="225">
        <v>9882500</v>
      </c>
      <c r="I9" s="225">
        <v>25762820</v>
      </c>
      <c r="J9" s="225">
        <v>2030000</v>
      </c>
    </row>
    <row r="10" spans="2:10" x14ac:dyDescent="0.3">
      <c r="B10" s="331" t="s">
        <v>560</v>
      </c>
      <c r="C10" s="225">
        <v>99961115</v>
      </c>
      <c r="D10" s="225">
        <v>198636550</v>
      </c>
      <c r="E10" s="225">
        <v>21022422</v>
      </c>
      <c r="F10" s="225">
        <v>75325796</v>
      </c>
      <c r="G10" s="225">
        <v>80588412</v>
      </c>
      <c r="H10" s="225">
        <v>66022747</v>
      </c>
      <c r="I10" s="225">
        <v>77328820</v>
      </c>
      <c r="J10" s="225">
        <v>0</v>
      </c>
    </row>
    <row r="11" spans="2:10" x14ac:dyDescent="0.3">
      <c r="B11" s="388" t="s">
        <v>542</v>
      </c>
      <c r="C11" s="386">
        <v>0</v>
      </c>
      <c r="D11" s="386">
        <v>46363943</v>
      </c>
      <c r="E11" s="386">
        <v>13965000</v>
      </c>
      <c r="F11" s="386">
        <v>0</v>
      </c>
      <c r="G11" s="386">
        <v>0</v>
      </c>
      <c r="H11" s="386">
        <v>300383</v>
      </c>
      <c r="I11" s="386">
        <v>99280968</v>
      </c>
      <c r="J11" s="386">
        <v>5529500</v>
      </c>
    </row>
    <row r="12" spans="2:10" x14ac:dyDescent="0.3">
      <c r="B12" s="331" t="s">
        <v>591</v>
      </c>
      <c r="C12" s="225">
        <v>0</v>
      </c>
      <c r="D12" s="225">
        <v>5496528</v>
      </c>
      <c r="E12" s="225">
        <v>4230000</v>
      </c>
      <c r="F12" s="225">
        <v>0</v>
      </c>
      <c r="G12" s="225">
        <v>0</v>
      </c>
      <c r="H12" s="225">
        <v>300383</v>
      </c>
      <c r="I12" s="225">
        <v>36489355</v>
      </c>
      <c r="J12" s="225">
        <v>2640000</v>
      </c>
    </row>
    <row r="13" spans="2:10" x14ac:dyDescent="0.3">
      <c r="B13" s="331" t="s">
        <v>543</v>
      </c>
      <c r="C13" s="225">
        <v>0</v>
      </c>
      <c r="D13" s="225">
        <v>40867415</v>
      </c>
      <c r="E13" s="225">
        <v>9735000</v>
      </c>
      <c r="F13" s="225">
        <v>0</v>
      </c>
      <c r="G13" s="225">
        <v>0</v>
      </c>
      <c r="H13" s="225">
        <v>0</v>
      </c>
      <c r="I13" s="225">
        <v>62791613</v>
      </c>
      <c r="J13" s="225">
        <v>2889500</v>
      </c>
    </row>
    <row r="14" spans="2:10" x14ac:dyDescent="0.3">
      <c r="B14" s="388" t="s">
        <v>531</v>
      </c>
      <c r="C14" s="386">
        <v>0</v>
      </c>
      <c r="D14" s="386">
        <v>53677994</v>
      </c>
      <c r="E14" s="386">
        <v>21269213</v>
      </c>
      <c r="F14" s="386">
        <v>0</v>
      </c>
      <c r="G14" s="386">
        <v>0</v>
      </c>
      <c r="H14" s="386">
        <v>16306833</v>
      </c>
      <c r="I14" s="386">
        <v>45801723</v>
      </c>
      <c r="J14" s="386">
        <v>0</v>
      </c>
    </row>
    <row r="15" spans="2:10" x14ac:dyDescent="0.3">
      <c r="B15" s="331" t="s">
        <v>532</v>
      </c>
      <c r="C15" s="225">
        <v>0</v>
      </c>
      <c r="D15" s="225">
        <v>31461994</v>
      </c>
      <c r="E15" s="225">
        <v>9369213</v>
      </c>
      <c r="F15" s="225">
        <v>0</v>
      </c>
      <c r="G15" s="225">
        <v>0</v>
      </c>
      <c r="H15" s="225">
        <v>11498833</v>
      </c>
      <c r="I15" s="225">
        <v>15810223</v>
      </c>
      <c r="J15" s="225">
        <v>0</v>
      </c>
    </row>
    <row r="16" spans="2:10" x14ac:dyDescent="0.3">
      <c r="B16" s="331" t="s">
        <v>534</v>
      </c>
      <c r="C16" s="225">
        <v>0</v>
      </c>
      <c r="D16" s="225">
        <v>22216000</v>
      </c>
      <c r="E16" s="225">
        <v>11900000</v>
      </c>
      <c r="F16" s="225">
        <v>0</v>
      </c>
      <c r="G16" s="225">
        <v>0</v>
      </c>
      <c r="H16" s="225">
        <v>4808000</v>
      </c>
      <c r="I16" s="225">
        <v>29991500</v>
      </c>
      <c r="J16" s="225">
        <v>0</v>
      </c>
    </row>
    <row r="17" spans="2:10" x14ac:dyDescent="0.3">
      <c r="B17" s="388" t="s">
        <v>535</v>
      </c>
      <c r="C17" s="386">
        <v>0</v>
      </c>
      <c r="D17" s="386">
        <v>61147200</v>
      </c>
      <c r="E17" s="386">
        <v>23650240</v>
      </c>
      <c r="F17" s="386">
        <v>0</v>
      </c>
      <c r="G17" s="386">
        <v>4851204</v>
      </c>
      <c r="H17" s="386">
        <v>1326114</v>
      </c>
      <c r="I17" s="386">
        <v>63914400</v>
      </c>
      <c r="J17" s="386">
        <v>0</v>
      </c>
    </row>
    <row r="18" spans="2:10" x14ac:dyDescent="0.3">
      <c r="B18" s="331" t="s">
        <v>536</v>
      </c>
      <c r="C18" s="225">
        <v>0</v>
      </c>
      <c r="D18" s="225">
        <v>35690450</v>
      </c>
      <c r="E18" s="225">
        <v>7572800</v>
      </c>
      <c r="F18" s="225">
        <v>0</v>
      </c>
      <c r="G18" s="225">
        <v>0</v>
      </c>
      <c r="H18" s="225">
        <v>1074100</v>
      </c>
      <c r="I18" s="225">
        <v>63914400</v>
      </c>
      <c r="J18" s="225">
        <v>0</v>
      </c>
    </row>
    <row r="19" spans="2:10" x14ac:dyDescent="0.3">
      <c r="B19" s="331" t="s">
        <v>538</v>
      </c>
      <c r="C19" s="225">
        <v>0</v>
      </c>
      <c r="D19" s="225">
        <v>25456750</v>
      </c>
      <c r="E19" s="225">
        <v>16077440</v>
      </c>
      <c r="F19" s="225">
        <v>0</v>
      </c>
      <c r="G19" s="225">
        <v>4851204</v>
      </c>
      <c r="H19" s="225">
        <v>252014</v>
      </c>
      <c r="I19" s="225">
        <v>0</v>
      </c>
      <c r="J19" s="225">
        <v>0</v>
      </c>
    </row>
    <row r="20" spans="2:10" x14ac:dyDescent="0.3">
      <c r="B20" s="318" t="s">
        <v>4842</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X147"/>
  <sheetViews>
    <sheetView showGridLines="0" topLeftCell="N1" zoomScale="85" zoomScaleNormal="85" workbookViewId="0">
      <pane ySplit="3" topLeftCell="A46" activePane="bottomLeft" state="frozen"/>
      <selection activeCell="N1" sqref="N1"/>
      <selection pane="bottomLeft" activeCell="W132" sqref="W132"/>
    </sheetView>
  </sheetViews>
  <sheetFormatPr defaultRowHeight="14.4" x14ac:dyDescent="0.3"/>
  <cols>
    <col min="1" max="1" width="7.5546875" bestFit="1" customWidth="1"/>
    <col min="2" max="2" width="7" bestFit="1" customWidth="1"/>
    <col min="3" max="3" width="10.88671875" bestFit="1" customWidth="1"/>
    <col min="4" max="4" width="44.109375" bestFit="1" customWidth="1"/>
    <col min="5" max="5" width="6.88671875" bestFit="1" customWidth="1"/>
    <col min="6" max="6" width="105.109375" bestFit="1" customWidth="1"/>
    <col min="7" max="7" width="10.109375" style="275" customWidth="1"/>
    <col min="8" max="8" width="59.88671875" style="275" bestFit="1" customWidth="1"/>
    <col min="9" max="9" width="10.44140625" style="275" bestFit="1" customWidth="1"/>
    <col min="10" max="10" width="115.44140625" style="275" bestFit="1" customWidth="1"/>
    <col min="11" max="11" width="10.6640625" style="275" bestFit="1" customWidth="1"/>
    <col min="12" max="12" width="86.88671875" style="275" bestFit="1" customWidth="1"/>
    <col min="13" max="13" width="11.6640625" style="275" bestFit="1" customWidth="1"/>
    <col min="14" max="14" width="79" style="275" bestFit="1" customWidth="1"/>
    <col min="15" max="15" width="7.88671875" customWidth="1"/>
    <col min="16" max="16" width="49.88671875" style="275" customWidth="1"/>
    <col min="17" max="17" width="15.33203125" customWidth="1"/>
    <col min="18" max="18" width="10.6640625" customWidth="1"/>
    <col min="19" max="19" width="11.5546875" customWidth="1"/>
    <col min="20" max="20" width="13.88671875" customWidth="1"/>
    <col min="21" max="22" width="14.33203125" customWidth="1"/>
    <col min="23" max="23" width="14.33203125" bestFit="1" customWidth="1"/>
    <col min="24" max="25" width="11.5546875" customWidth="1"/>
    <col min="26" max="29" width="10.6640625" customWidth="1"/>
    <col min="30" max="30" width="20" style="275" customWidth="1"/>
    <col min="31" max="31" width="29.88671875" style="275" customWidth="1"/>
    <col min="32" max="32" width="35.109375" style="275" customWidth="1"/>
    <col min="33" max="33" width="12.109375" style="275" customWidth="1"/>
    <col min="34" max="34" width="77.88671875" style="275" customWidth="1"/>
    <col min="35" max="35" width="14.33203125" style="275" customWidth="1"/>
    <col min="36" max="36" width="9.88671875" style="275" customWidth="1"/>
    <col min="37" max="37" width="15.33203125" style="275" customWidth="1"/>
    <col min="38" max="38" width="9" style="275" customWidth="1"/>
    <col min="39" max="39" width="29.44140625" style="275" customWidth="1"/>
    <col min="40" max="40" width="12.33203125" style="275" customWidth="1"/>
    <col min="41" max="41" width="22.109375" style="275" customWidth="1"/>
    <col min="42" max="42" width="32.109375" style="275" customWidth="1"/>
    <col min="43" max="43" width="13.6640625" style="275" customWidth="1"/>
    <col min="44" max="44" width="12.5546875" style="275" customWidth="1"/>
    <col min="45" max="45" width="11.5546875" style="275" customWidth="1"/>
    <col min="46" max="46" width="13.5546875" style="275" customWidth="1"/>
    <col min="47" max="48" width="11.5546875" bestFit="1" customWidth="1"/>
    <col min="49" max="49" width="12.5546875" bestFit="1" customWidth="1"/>
    <col min="50" max="50" width="11.33203125" customWidth="1"/>
  </cols>
  <sheetData>
    <row r="1" spans="1:50" x14ac:dyDescent="0.3">
      <c r="V1" t="s">
        <v>4644</v>
      </c>
    </row>
    <row r="2" spans="1:50" x14ac:dyDescent="0.3">
      <c r="AA2" t="s">
        <v>4644</v>
      </c>
    </row>
    <row r="3" spans="1:50" s="275" customFormat="1" x14ac:dyDescent="0.3">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275" t="s">
        <v>4650</v>
      </c>
      <c r="R3" s="275" t="s">
        <v>4673</v>
      </c>
      <c r="S3" s="275" t="s">
        <v>4674</v>
      </c>
      <c r="T3" s="275" t="s">
        <v>4675</v>
      </c>
      <c r="U3" s="275" t="s">
        <v>4676</v>
      </c>
      <c r="V3" s="275" t="s">
        <v>4677</v>
      </c>
      <c r="W3" s="275" t="s">
        <v>4678</v>
      </c>
      <c r="X3" s="275" t="s">
        <v>4679</v>
      </c>
      <c r="Y3" s="275" t="s">
        <v>4680</v>
      </c>
      <c r="Z3" s="275" t="s">
        <v>4681</v>
      </c>
      <c r="AA3" s="275" t="s">
        <v>4682</v>
      </c>
      <c r="AB3" s="275" t="s">
        <v>4683</v>
      </c>
      <c r="AC3" s="275" t="s">
        <v>4684</v>
      </c>
      <c r="AD3" s="275" t="s">
        <v>4685</v>
      </c>
      <c r="AE3" s="275" t="s">
        <v>4686</v>
      </c>
      <c r="AF3" s="275" t="s">
        <v>500</v>
      </c>
      <c r="AG3" s="275" t="s">
        <v>4687</v>
      </c>
      <c r="AH3" s="275" t="s">
        <v>4688</v>
      </c>
      <c r="AI3" s="275" t="s">
        <v>4651</v>
      </c>
      <c r="AJ3" s="275" t="s">
        <v>4843</v>
      </c>
      <c r="AK3" s="275" t="s">
        <v>4652</v>
      </c>
      <c r="AL3" s="275" t="s">
        <v>4843</v>
      </c>
      <c r="AM3" s="275" t="s">
        <v>4689</v>
      </c>
      <c r="AN3" s="275" t="s">
        <v>4690</v>
      </c>
      <c r="AO3" s="275" t="s">
        <v>4691</v>
      </c>
      <c r="AP3" s="275" t="s">
        <v>4692</v>
      </c>
      <c r="AQ3" s="275" t="s">
        <v>4851</v>
      </c>
      <c r="AR3" s="275" t="s">
        <v>4852</v>
      </c>
      <c r="AS3" s="275" t="s">
        <v>4853</v>
      </c>
      <c r="AT3" s="275" t="s">
        <v>4862</v>
      </c>
      <c r="AU3" s="275" t="s">
        <v>5186</v>
      </c>
      <c r="AV3" s="275" t="s">
        <v>5222</v>
      </c>
      <c r="AW3" s="275" t="s">
        <v>5223</v>
      </c>
      <c r="AX3" s="275" t="s">
        <v>5379</v>
      </c>
    </row>
    <row r="4" spans="1:50" s="278" customFormat="1" x14ac:dyDescent="0.3">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309">
        <v>19875000</v>
      </c>
      <c r="R4" s="292">
        <f>SUM('PER BULAN'!G21:I21)</f>
        <v>0</v>
      </c>
      <c r="S4" s="292">
        <f>SUM('PER BULAN'!J21:M21)</f>
        <v>0</v>
      </c>
      <c r="T4" s="292">
        <f>SUM('PER BULAN'!M21:O21)</f>
        <v>2490000</v>
      </c>
      <c r="U4" s="292">
        <f>SUM('PER BULAN'!P21:R21)</f>
        <v>0</v>
      </c>
      <c r="V4" s="292">
        <f>SUM('PER BULAN'!S21:U21)</f>
        <v>3091000</v>
      </c>
      <c r="W4" s="292">
        <f>SUM('PER BULAN'!V21:X21)</f>
        <v>0</v>
      </c>
      <c r="X4" s="292">
        <f>SUM('PER BULAN'!Y21:AA21)</f>
        <v>0</v>
      </c>
      <c r="Y4" s="292">
        <f>SUM('PER BULAN'!AB21:AD21)</f>
        <v>0</v>
      </c>
      <c r="Z4" s="292">
        <f>SUM('PER BULAN'!AE21:AG21)</f>
        <v>0</v>
      </c>
      <c r="AA4" s="292">
        <f>SUM('PER BULAN'!AH21:AJ21)</f>
        <v>0</v>
      </c>
      <c r="AB4" s="292">
        <f>SUM('PER BULAN'!AK21:AM21)</f>
        <v>0</v>
      </c>
      <c r="AC4" s="292">
        <f>SUM('PER BULAN'!AN21:AP21)</f>
        <v>0</v>
      </c>
      <c r="AD4" s="277" t="s">
        <v>530</v>
      </c>
      <c r="AE4" s="277" t="s">
        <v>531</v>
      </c>
      <c r="AF4" s="277" t="s">
        <v>532</v>
      </c>
      <c r="AG4" s="277" t="s">
        <v>4699</v>
      </c>
      <c r="AH4" s="277" t="s">
        <v>4700</v>
      </c>
      <c r="AI4" s="277">
        <f>SUM(R4:AC4)</f>
        <v>5581000</v>
      </c>
      <c r="AJ4" s="291">
        <f>AI4/Q4*100</f>
        <v>28.080503144654088</v>
      </c>
      <c r="AK4" s="277">
        <f>Q4-AI4</f>
        <v>14294000</v>
      </c>
      <c r="AL4" s="291">
        <f>AK4/Q4*100</f>
        <v>71.919496855345912</v>
      </c>
      <c r="AM4" s="277" t="s">
        <v>424</v>
      </c>
      <c r="AN4" s="277" t="s">
        <v>4730</v>
      </c>
      <c r="AO4" s="277" t="s">
        <v>4731</v>
      </c>
      <c r="AP4" s="277" t="s">
        <v>4732</v>
      </c>
      <c r="AQ4" s="292">
        <f>SUM('PER BULAN'!AX21)</f>
        <v>0</v>
      </c>
      <c r="AR4" s="292">
        <f>SUM('PER BULAN'!AY21)</f>
        <v>990000</v>
      </c>
      <c r="AS4" s="292">
        <f>SUM('PER BULAN'!AZ21)</f>
        <v>1500000</v>
      </c>
      <c r="AT4" s="292">
        <f>SUM('PER BULAN'!BA21)</f>
        <v>0</v>
      </c>
      <c r="AU4" s="292">
        <f>SUM('PER BULAN'!BB21)</f>
        <v>0</v>
      </c>
      <c r="AV4" s="292">
        <f>SUM('PER BULAN'!BC21)</f>
        <v>1606000</v>
      </c>
      <c r="AW4" s="292">
        <f>SUM('PER BULAN'!BD21)</f>
        <v>1485000</v>
      </c>
      <c r="AX4" s="292">
        <f>SUM('PER BULAN'!BE21)</f>
        <v>0</v>
      </c>
    </row>
    <row r="5" spans="1:50" s="278" customFormat="1" x14ac:dyDescent="0.3">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278">
        <f>'PER BULAN'!F22</f>
        <v>20000000</v>
      </c>
      <c r="R5" s="292">
        <f>SUM('PER BULAN'!G22:I22)</f>
        <v>0</v>
      </c>
      <c r="S5" s="292">
        <f>SUM('PER BULAN'!J22:L22)</f>
        <v>0</v>
      </c>
      <c r="T5" s="292">
        <f>SUM('PER BULAN'!M22:O22)</f>
        <v>900000</v>
      </c>
      <c r="U5" s="292">
        <f>SUM('PER BULAN'!P22:R22)</f>
        <v>0</v>
      </c>
      <c r="V5" s="292">
        <f>SUM('PER BULAN'!S22:U22)</f>
        <v>0</v>
      </c>
      <c r="W5" s="292">
        <f>SUM('PER BULAN'!V22:X22)</f>
        <v>1200000</v>
      </c>
      <c r="X5" s="292">
        <f>SUM('PER BULAN'!Y22:AA22)</f>
        <v>0</v>
      </c>
      <c r="Y5" s="292">
        <f>SUM('PER BULAN'!AB22:AD22)</f>
        <v>0</v>
      </c>
      <c r="Z5" s="292">
        <f>SUM('PER BULAN'!AE22:AG22)</f>
        <v>0</v>
      </c>
      <c r="AA5" s="292">
        <f>SUM('PER BULAN'!AH22:AJ22)</f>
        <v>0</v>
      </c>
      <c r="AB5" s="292">
        <f>SUM('PER BULAN'!AK22:AM22)</f>
        <v>0</v>
      </c>
      <c r="AC5" s="292">
        <f>SUM('PER BULAN'!AN22:AP22)</f>
        <v>0</v>
      </c>
      <c r="AD5" s="277" t="s">
        <v>530</v>
      </c>
      <c r="AE5" s="277" t="s">
        <v>531</v>
      </c>
      <c r="AF5" s="277" t="s">
        <v>532</v>
      </c>
      <c r="AG5" s="277" t="s">
        <v>4699</v>
      </c>
      <c r="AH5" s="277" t="s">
        <v>4700</v>
      </c>
      <c r="AI5" s="277">
        <f t="shared" ref="AI5:AI68" si="0">SUM(R5:AC5)</f>
        <v>2100000</v>
      </c>
      <c r="AJ5" s="291">
        <f t="shared" ref="AJ5:AJ68" si="1">AI5/Q5*100</f>
        <v>10.5</v>
      </c>
      <c r="AK5" s="277">
        <f t="shared" ref="AK5:AK68" si="2">Q5-AI5</f>
        <v>17900000</v>
      </c>
      <c r="AL5" s="291">
        <f t="shared" ref="AL5:AL68" si="3">AK5/Q5*100</f>
        <v>89.5</v>
      </c>
      <c r="AM5" s="277" t="s">
        <v>772</v>
      </c>
      <c r="AN5" s="277" t="s">
        <v>4730</v>
      </c>
      <c r="AO5" s="277" t="s">
        <v>4735</v>
      </c>
      <c r="AP5" s="277" t="s">
        <v>4732</v>
      </c>
      <c r="AQ5" s="292">
        <f>SUM('PER BULAN'!AX22)</f>
        <v>0</v>
      </c>
      <c r="AR5" s="292">
        <f>SUM('PER BULAN'!AY22)</f>
        <v>900000</v>
      </c>
      <c r="AS5" s="292">
        <f>SUM('PER BULAN'!AZ22)</f>
        <v>0</v>
      </c>
      <c r="AT5" s="292">
        <f>SUM('PER BULAN'!BA22)</f>
        <v>0</v>
      </c>
      <c r="AU5" s="292">
        <f>SUM('PER BULAN'!BB22)</f>
        <v>0</v>
      </c>
      <c r="AV5" s="292">
        <f>SUM('PER BULAN'!BC22)</f>
        <v>0</v>
      </c>
      <c r="AW5" s="292">
        <f>SUM('PER BULAN'!BD22)</f>
        <v>0</v>
      </c>
      <c r="AX5" s="292">
        <f>SUM('PER BULAN'!BE22)</f>
        <v>0</v>
      </c>
    </row>
    <row r="6" spans="1:50" s="278" customFormat="1" x14ac:dyDescent="0.3">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278">
        <f>'PER BULAN'!F23</f>
        <v>43260000</v>
      </c>
      <c r="R6" s="292">
        <f>SUM('PER BULAN'!G23:I23)</f>
        <v>0</v>
      </c>
      <c r="S6" s="292">
        <f>SUM('PER BULAN'!J23:L23)</f>
        <v>0</v>
      </c>
      <c r="T6" s="292">
        <f>SUM('PER BULAN'!M23:O23)</f>
        <v>10950000</v>
      </c>
      <c r="U6" s="292">
        <f>SUM('PER BULAN'!P23:R23)</f>
        <v>11716000</v>
      </c>
      <c r="V6" s="292">
        <f>SUM('PER BULAN'!S23:U23)</f>
        <v>1800000</v>
      </c>
      <c r="W6" s="292">
        <f>SUM('PER BULAN'!V23:X23)</f>
        <v>1810000</v>
      </c>
      <c r="X6" s="292">
        <f>SUM('PER BULAN'!Y23:AA23)</f>
        <v>0</v>
      </c>
      <c r="Y6" s="292">
        <f>SUM('PER BULAN'!AB23:AD23)</f>
        <v>0</v>
      </c>
      <c r="Z6" s="292">
        <f>SUM('PER BULAN'!AE23:AG23)</f>
        <v>0</v>
      </c>
      <c r="AA6" s="292">
        <f>SUM('PER BULAN'!AH23:AJ23)</f>
        <v>0</v>
      </c>
      <c r="AB6" s="292">
        <f>SUM('PER BULAN'!AK23:AM23)</f>
        <v>0</v>
      </c>
      <c r="AC6" s="292">
        <f>SUM('PER BULAN'!AN23:AP23)</f>
        <v>0</v>
      </c>
      <c r="AD6" s="277" t="s">
        <v>530</v>
      </c>
      <c r="AE6" s="277" t="s">
        <v>531</v>
      </c>
      <c r="AF6" s="277" t="s">
        <v>532</v>
      </c>
      <c r="AG6" s="277" t="s">
        <v>4699</v>
      </c>
      <c r="AH6" s="277" t="s">
        <v>4700</v>
      </c>
      <c r="AI6" s="277">
        <f t="shared" si="0"/>
        <v>26276000</v>
      </c>
      <c r="AJ6" s="291">
        <f t="shared" si="1"/>
        <v>60.739713361072589</v>
      </c>
      <c r="AK6" s="277">
        <f t="shared" si="2"/>
        <v>16984000</v>
      </c>
      <c r="AL6" s="291">
        <f t="shared" si="3"/>
        <v>39.260286638927418</v>
      </c>
      <c r="AM6" s="277" t="s">
        <v>429</v>
      </c>
      <c r="AN6" s="277" t="s">
        <v>4730</v>
      </c>
      <c r="AO6" s="277" t="s">
        <v>4736</v>
      </c>
      <c r="AP6" s="277" t="s">
        <v>4732</v>
      </c>
      <c r="AQ6" s="292">
        <f>SUM('PER BULAN'!AX23)</f>
        <v>0</v>
      </c>
      <c r="AR6" s="292">
        <f>SUM('PER BULAN'!AY23)</f>
        <v>10950000</v>
      </c>
      <c r="AS6" s="292">
        <f>SUM('PER BULAN'!AZ23)</f>
        <v>0</v>
      </c>
      <c r="AT6" s="292">
        <f>SUM('PER BULAN'!BA23)</f>
        <v>0</v>
      </c>
      <c r="AU6" s="292">
        <f>SUM('PER BULAN'!BB23)</f>
        <v>0</v>
      </c>
      <c r="AV6" s="292">
        <f>SUM('PER BULAN'!BC23)</f>
        <v>1800000</v>
      </c>
      <c r="AW6" s="292">
        <f>SUM('PER BULAN'!BD23)</f>
        <v>0</v>
      </c>
      <c r="AX6" s="292">
        <f>SUM('PER BULAN'!BE23)</f>
        <v>0</v>
      </c>
    </row>
    <row r="7" spans="1:50" s="278" customFormat="1" x14ac:dyDescent="0.3">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278">
        <f>'PER BULAN'!F25</f>
        <v>19500000</v>
      </c>
      <c r="R7" s="292">
        <f>SUM('PER BULAN'!G25:I25)</f>
        <v>0</v>
      </c>
      <c r="S7" s="292">
        <f>SUM('PER BULAN'!J25:L25)</f>
        <v>0</v>
      </c>
      <c r="T7" s="292">
        <f>SUM('PER BULAN'!M25:O25)</f>
        <v>2561000</v>
      </c>
      <c r="U7" s="292">
        <f>SUM('PER BULAN'!P25:R25)</f>
        <v>0</v>
      </c>
      <c r="V7" s="292">
        <f>SUM('PER BULAN'!S25:U25)</f>
        <v>1480000</v>
      </c>
      <c r="W7" s="292">
        <f>SUM('PER BULAN'!V25:X25)</f>
        <v>0</v>
      </c>
      <c r="X7" s="292">
        <f>SUM('PER BULAN'!Y25:AA25)</f>
        <v>0</v>
      </c>
      <c r="Y7" s="292">
        <f>SUM('PER BULAN'!AB25:AD25)</f>
        <v>0</v>
      </c>
      <c r="Z7" s="292">
        <f>SUM('PER BULAN'!AE25:AG25)</f>
        <v>0</v>
      </c>
      <c r="AA7" s="292">
        <f>SUM('PER BULAN'!AH25:AJ25)</f>
        <v>0</v>
      </c>
      <c r="AB7" s="292">
        <f>SUM('PER BULAN'!AK25:AM25)</f>
        <v>0</v>
      </c>
      <c r="AC7" s="292">
        <f>SUM('PER BULAN'!AN25:AP25)</f>
        <v>0</v>
      </c>
      <c r="AD7" s="277" t="s">
        <v>530</v>
      </c>
      <c r="AE7" s="277" t="s">
        <v>531</v>
      </c>
      <c r="AF7" s="277" t="s">
        <v>532</v>
      </c>
      <c r="AG7" s="277" t="s">
        <v>4699</v>
      </c>
      <c r="AH7" s="277" t="s">
        <v>4700</v>
      </c>
      <c r="AI7" s="277">
        <f t="shared" si="0"/>
        <v>4041000</v>
      </c>
      <c r="AJ7" s="291">
        <f t="shared" si="1"/>
        <v>20.723076923076921</v>
      </c>
      <c r="AK7" s="277">
        <f t="shared" si="2"/>
        <v>15459000</v>
      </c>
      <c r="AL7" s="291">
        <f t="shared" si="3"/>
        <v>79.276923076923083</v>
      </c>
      <c r="AM7" s="277" t="s">
        <v>432</v>
      </c>
      <c r="AN7" s="277" t="s">
        <v>4730</v>
      </c>
      <c r="AO7" s="277" t="s">
        <v>4731</v>
      </c>
      <c r="AP7" s="277" t="s">
        <v>4732</v>
      </c>
      <c r="AQ7" s="292">
        <f>SUM('PER BULAN'!AX25)</f>
        <v>0</v>
      </c>
      <c r="AR7" s="292">
        <f>SUM('PER BULAN'!AY25)</f>
        <v>1525000</v>
      </c>
      <c r="AS7" s="292">
        <f>SUM('PER BULAN'!AZ25)</f>
        <v>1036000</v>
      </c>
      <c r="AT7" s="292">
        <f>SUM('PER BULAN'!BA25)</f>
        <v>0</v>
      </c>
      <c r="AU7" s="292">
        <f>SUM('PER BULAN'!BB25)</f>
        <v>0</v>
      </c>
      <c r="AV7" s="292">
        <f>SUM('PER BULAN'!BC25)</f>
        <v>0</v>
      </c>
      <c r="AW7" s="292">
        <f>SUM('PER BULAN'!BD25)</f>
        <v>1480000</v>
      </c>
      <c r="AX7" s="292">
        <f>SUM('PER BULAN'!BE25)</f>
        <v>0</v>
      </c>
    </row>
    <row r="8" spans="1:50" s="278" customFormat="1" x14ac:dyDescent="0.3">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278">
        <f>'PER BULAN'!F26</f>
        <v>4000000</v>
      </c>
      <c r="R8" s="292">
        <f>SUM('PER BULAN'!G26:I26)</f>
        <v>0</v>
      </c>
      <c r="S8" s="292">
        <f>SUM('PER BULAN'!J26:L26)</f>
        <v>0</v>
      </c>
      <c r="T8" s="292">
        <f>SUM('PER BULAN'!M26:O26)</f>
        <v>900000</v>
      </c>
      <c r="U8" s="292">
        <f>SUM('PER BULAN'!P26:R26)</f>
        <v>0</v>
      </c>
      <c r="V8" s="292">
        <f>SUM('PER BULAN'!S26:U26)</f>
        <v>0</v>
      </c>
      <c r="W8" s="292">
        <f>SUM('PER BULAN'!V26:X26)</f>
        <v>0</v>
      </c>
      <c r="X8" s="292">
        <f>SUM('PER BULAN'!Y26:AA26)</f>
        <v>0</v>
      </c>
      <c r="Y8" s="292">
        <f>SUM('PER BULAN'!AB26:AD26)</f>
        <v>0</v>
      </c>
      <c r="Z8" s="292">
        <f>SUM('PER BULAN'!AE26:AG26)</f>
        <v>0</v>
      </c>
      <c r="AA8" s="292">
        <f>SUM('PER BULAN'!AH26:AJ26)</f>
        <v>0</v>
      </c>
      <c r="AB8" s="292">
        <f>SUM('PER BULAN'!AK26:AM26)</f>
        <v>0</v>
      </c>
      <c r="AC8" s="292">
        <f>SUM('PER BULAN'!AN26:AP26)</f>
        <v>0</v>
      </c>
      <c r="AD8" s="277" t="s">
        <v>530</v>
      </c>
      <c r="AE8" s="277" t="s">
        <v>531</v>
      </c>
      <c r="AF8" s="277" t="s">
        <v>532</v>
      </c>
      <c r="AG8" s="277" t="s">
        <v>4699</v>
      </c>
      <c r="AH8" s="277" t="s">
        <v>4700</v>
      </c>
      <c r="AI8" s="277">
        <f t="shared" si="0"/>
        <v>900000</v>
      </c>
      <c r="AJ8" s="291">
        <f>AI8/Q8*100</f>
        <v>22.5</v>
      </c>
      <c r="AK8" s="277">
        <f t="shared" si="2"/>
        <v>3100000</v>
      </c>
      <c r="AL8" s="291">
        <f t="shared" si="3"/>
        <v>77.5</v>
      </c>
      <c r="AM8" s="277" t="s">
        <v>777</v>
      </c>
      <c r="AN8" s="277" t="s">
        <v>4730</v>
      </c>
      <c r="AO8" s="277" t="s">
        <v>4735</v>
      </c>
      <c r="AP8" s="277" t="s">
        <v>4732</v>
      </c>
      <c r="AQ8" s="292">
        <f>SUM('PER BULAN'!AX26)</f>
        <v>0</v>
      </c>
      <c r="AR8" s="292">
        <f>SUM('PER BULAN'!AY26)</f>
        <v>900000</v>
      </c>
      <c r="AS8" s="292">
        <f>SUM('PER BULAN'!AZ26)</f>
        <v>0</v>
      </c>
      <c r="AT8" s="292">
        <f>SUM('PER BULAN'!BA26)</f>
        <v>0</v>
      </c>
      <c r="AU8" s="292">
        <f>SUM('PER BULAN'!BB26)</f>
        <v>0</v>
      </c>
      <c r="AV8" s="292">
        <f>SUM('PER BULAN'!BC26)</f>
        <v>0</v>
      </c>
      <c r="AW8" s="292">
        <f>SUM('PER BULAN'!BD26)</f>
        <v>0</v>
      </c>
      <c r="AX8" s="292">
        <f>SUM('PER BULAN'!BE26)</f>
        <v>0</v>
      </c>
    </row>
    <row r="9" spans="1:50" s="278" customFormat="1" x14ac:dyDescent="0.3">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278">
        <f>'PER BULAN'!F27</f>
        <v>17465000</v>
      </c>
      <c r="R9" s="292">
        <f>SUM('PER BULAN'!G27:I27)</f>
        <v>0</v>
      </c>
      <c r="S9" s="292">
        <f>SUM('PER BULAN'!J27:L27)</f>
        <v>0</v>
      </c>
      <c r="T9" s="292">
        <f>SUM('PER BULAN'!M27:O27)</f>
        <v>16620000</v>
      </c>
      <c r="U9" s="292">
        <f>SUM('PER BULAN'!P27:R27)</f>
        <v>0</v>
      </c>
      <c r="V9" s="292">
        <f>SUM('PER BULAN'!S27:U27)</f>
        <v>0</v>
      </c>
      <c r="W9" s="292">
        <f>SUM('PER BULAN'!V27:X27)</f>
        <v>0</v>
      </c>
      <c r="X9" s="292">
        <f>SUM('PER BULAN'!Y27:AA27)</f>
        <v>0</v>
      </c>
      <c r="Y9" s="292">
        <f>SUM('PER BULAN'!AB27:AD27)</f>
        <v>0</v>
      </c>
      <c r="Z9" s="292">
        <f>SUM('PER BULAN'!AE27:AG27)</f>
        <v>0</v>
      </c>
      <c r="AA9" s="292">
        <f>SUM('PER BULAN'!AH27:AJ27)</f>
        <v>0</v>
      </c>
      <c r="AB9" s="292">
        <f>SUM('PER BULAN'!AK27:AM27)</f>
        <v>0</v>
      </c>
      <c r="AC9" s="292">
        <f>SUM('PER BULAN'!AN27:AP27)</f>
        <v>0</v>
      </c>
      <c r="AD9" s="277" t="s">
        <v>530</v>
      </c>
      <c r="AE9" s="277" t="s">
        <v>531</v>
      </c>
      <c r="AF9" s="277" t="s">
        <v>532</v>
      </c>
      <c r="AG9" s="277" t="s">
        <v>4699</v>
      </c>
      <c r="AH9" s="277" t="s">
        <v>4700</v>
      </c>
      <c r="AI9" s="277">
        <f t="shared" si="0"/>
        <v>16620000</v>
      </c>
      <c r="AJ9" s="291">
        <f t="shared" si="1"/>
        <v>95.161752075579727</v>
      </c>
      <c r="AK9" s="277">
        <f t="shared" si="2"/>
        <v>845000</v>
      </c>
      <c r="AL9" s="291">
        <f t="shared" si="3"/>
        <v>4.8382479244202692</v>
      </c>
      <c r="AM9" s="277" t="s">
        <v>437</v>
      </c>
      <c r="AN9" s="277" t="s">
        <v>4730</v>
      </c>
      <c r="AO9" s="277" t="s">
        <v>4736</v>
      </c>
      <c r="AP9" s="277" t="s">
        <v>4732</v>
      </c>
      <c r="AQ9" s="292">
        <f>SUM('PER BULAN'!AX27)</f>
        <v>0</v>
      </c>
      <c r="AR9" s="292">
        <f>SUM('PER BULAN'!AY27)</f>
        <v>12960000</v>
      </c>
      <c r="AS9" s="292">
        <f>SUM('PER BULAN'!AZ27)</f>
        <v>3660000</v>
      </c>
      <c r="AT9" s="292">
        <f>SUM('PER BULAN'!BA27)</f>
        <v>0</v>
      </c>
      <c r="AU9" s="292">
        <f>SUM('PER BULAN'!BB27)</f>
        <v>0</v>
      </c>
      <c r="AV9" s="292">
        <f>SUM('PER BULAN'!BC27)</f>
        <v>0</v>
      </c>
      <c r="AW9" s="292">
        <f>SUM('PER BULAN'!BD27)</f>
        <v>0</v>
      </c>
      <c r="AX9" s="292">
        <f>SUM('PER BULAN'!BE27)</f>
        <v>0</v>
      </c>
    </row>
    <row r="10" spans="1:50" s="278" customFormat="1" x14ac:dyDescent="0.3">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4741</v>
      </c>
      <c r="O10" s="277" t="s">
        <v>503</v>
      </c>
      <c r="P10" s="277" t="s">
        <v>4698</v>
      </c>
      <c r="Q10" s="278">
        <v>21250000</v>
      </c>
      <c r="R10" s="292">
        <f>SUM('PER BULAN'!G30:I30)</f>
        <v>0</v>
      </c>
      <c r="S10" s="292">
        <f>SUM('PER BULAN'!J30:L30)</f>
        <v>0</v>
      </c>
      <c r="T10" s="292">
        <f>SUM('PER BULAN'!M30:O30)</f>
        <v>2460000</v>
      </c>
      <c r="U10" s="292">
        <f>SUM('PER BULAN'!P30:R30)</f>
        <v>0</v>
      </c>
      <c r="V10" s="292">
        <f>SUM('PER BULAN'!S30:U30)</f>
        <v>660000</v>
      </c>
      <c r="W10" s="292">
        <f>SUM('PER BULAN'!V30:X30)</f>
        <v>0</v>
      </c>
      <c r="X10" s="292">
        <f>SUM('PER BULAN'!Y30:AA30)</f>
        <v>0</v>
      </c>
      <c r="Y10" s="292">
        <f>SUM('PER BULAN'!AB30:AD30)</f>
        <v>0</v>
      </c>
      <c r="Z10" s="292">
        <f>SUM('PER BULAN'!AE30:AG30)</f>
        <v>0</v>
      </c>
      <c r="AA10" s="292">
        <f>SUM('PER BULAN'!AH30:AJ30)</f>
        <v>0</v>
      </c>
      <c r="AB10" s="292">
        <f>SUM('PER BULAN'!AK30:AM30)</f>
        <v>0</v>
      </c>
      <c r="AC10" s="292">
        <f>SUM('PER BULAN'!AN30:AP30)</f>
        <v>0</v>
      </c>
      <c r="AD10" s="277" t="s">
        <v>530</v>
      </c>
      <c r="AE10" s="277" t="s">
        <v>531</v>
      </c>
      <c r="AF10" s="277" t="s">
        <v>534</v>
      </c>
      <c r="AG10" s="277" t="s">
        <v>4699</v>
      </c>
      <c r="AH10" s="277" t="s">
        <v>4700</v>
      </c>
      <c r="AI10" s="277">
        <f t="shared" si="0"/>
        <v>3120000</v>
      </c>
      <c r="AJ10" s="291">
        <f t="shared" si="1"/>
        <v>14.682352941176472</v>
      </c>
      <c r="AK10" s="277">
        <f t="shared" si="2"/>
        <v>18130000</v>
      </c>
      <c r="AL10" s="291">
        <f t="shared" si="3"/>
        <v>85.317647058823525</v>
      </c>
      <c r="AM10" s="277" t="s">
        <v>441</v>
      </c>
      <c r="AN10" s="277" t="s">
        <v>4730</v>
      </c>
      <c r="AO10" s="277" t="s">
        <v>4731</v>
      </c>
      <c r="AP10" s="277" t="s">
        <v>4732</v>
      </c>
      <c r="AQ10" s="292">
        <f>SUM('PER BULAN'!AX30)</f>
        <v>0</v>
      </c>
      <c r="AR10" s="292">
        <f>SUM('PER BULAN'!AY30)</f>
        <v>2460000</v>
      </c>
      <c r="AS10" s="292">
        <f>SUM('PER BULAN'!AZ30)</f>
        <v>0</v>
      </c>
      <c r="AT10" s="292">
        <f>SUM('PER BULAN'!BA30)</f>
        <v>0</v>
      </c>
      <c r="AU10" s="292">
        <f>SUM('PER BULAN'!BB30)</f>
        <v>0</v>
      </c>
      <c r="AV10" s="292">
        <f>SUM('PER BULAN'!BC30)</f>
        <v>660000</v>
      </c>
      <c r="AW10" s="292">
        <f>SUM('PER BULAN'!BD30)</f>
        <v>0</v>
      </c>
      <c r="AX10" s="292">
        <f>SUM('PER BULAN'!BE30)</f>
        <v>0</v>
      </c>
    </row>
    <row r="11" spans="1:50" s="278" customFormat="1" x14ac:dyDescent="0.3">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4741</v>
      </c>
      <c r="O11" s="277" t="s">
        <v>513</v>
      </c>
      <c r="P11" s="277" t="s">
        <v>4702</v>
      </c>
      <c r="Q11" s="278">
        <v>33250000</v>
      </c>
      <c r="R11" s="292">
        <f>SUM('PER BULAN'!G31:I31)</f>
        <v>0</v>
      </c>
      <c r="S11" s="292">
        <f>SUM('PER BULAN'!J31:L31)</f>
        <v>0</v>
      </c>
      <c r="T11" s="292">
        <f>SUM('PER BULAN'!M31:O31)</f>
        <v>3780000</v>
      </c>
      <c r="U11" s="292">
        <f>SUM('PER BULAN'!P31:R31)</f>
        <v>2840000</v>
      </c>
      <c r="V11" s="292">
        <f>SUM('PER BULAN'!S31:U31)</f>
        <v>14114500</v>
      </c>
      <c r="W11" s="292">
        <f>SUM('PER BULAN'!V31:X31)</f>
        <v>360000</v>
      </c>
      <c r="X11" s="292">
        <f>SUM('PER BULAN'!Y31:AA31)</f>
        <v>0</v>
      </c>
      <c r="Y11" s="292">
        <f>SUM('PER BULAN'!AB31:AD31)</f>
        <v>0</v>
      </c>
      <c r="Z11" s="292">
        <f>SUM('PER BULAN'!AE31:AG31)</f>
        <v>0</v>
      </c>
      <c r="AA11" s="292">
        <f>SUM('PER BULAN'!AH31:AJ31)</f>
        <v>0</v>
      </c>
      <c r="AB11" s="292">
        <f>SUM('PER BULAN'!AK31:AM31)</f>
        <v>0</v>
      </c>
      <c r="AC11" s="292">
        <f>SUM('PER BULAN'!AN31:AP31)</f>
        <v>0</v>
      </c>
      <c r="AD11" s="277" t="s">
        <v>530</v>
      </c>
      <c r="AE11" s="277" t="s">
        <v>531</v>
      </c>
      <c r="AF11" s="277" t="s">
        <v>534</v>
      </c>
      <c r="AG11" s="277" t="s">
        <v>4699</v>
      </c>
      <c r="AH11" s="277" t="s">
        <v>4700</v>
      </c>
      <c r="AI11" s="277">
        <f t="shared" si="0"/>
        <v>21094500</v>
      </c>
      <c r="AJ11" s="291">
        <f t="shared" si="1"/>
        <v>63.442105263157899</v>
      </c>
      <c r="AK11" s="277">
        <f t="shared" si="2"/>
        <v>12155500</v>
      </c>
      <c r="AL11" s="291">
        <f t="shared" si="3"/>
        <v>36.557894736842108</v>
      </c>
      <c r="AM11" s="277" t="s">
        <v>448</v>
      </c>
      <c r="AN11" s="277" t="s">
        <v>4730</v>
      </c>
      <c r="AO11" s="277" t="s">
        <v>4736</v>
      </c>
      <c r="AP11" s="277" t="s">
        <v>4732</v>
      </c>
      <c r="AQ11" s="292">
        <f>SUM('PER BULAN'!AX31)</f>
        <v>0</v>
      </c>
      <c r="AR11" s="292">
        <f>SUM('PER BULAN'!AY31)</f>
        <v>1080000</v>
      </c>
      <c r="AS11" s="292">
        <f>SUM('PER BULAN'!AZ31)</f>
        <v>2700000</v>
      </c>
      <c r="AT11" s="292">
        <f>SUM('PER BULAN'!BA31)</f>
        <v>0</v>
      </c>
      <c r="AU11" s="292">
        <f>SUM('PER BULAN'!BB31)</f>
        <v>0</v>
      </c>
      <c r="AV11" s="292">
        <f>SUM('PER BULAN'!BC31)</f>
        <v>3620000</v>
      </c>
      <c r="AW11" s="292">
        <f>SUM('PER BULAN'!BD31)</f>
        <v>9244500</v>
      </c>
      <c r="AX11" s="292">
        <f>SUM('PER BULAN'!BE31)</f>
        <v>0</v>
      </c>
    </row>
    <row r="12" spans="1:50" s="278" customFormat="1" x14ac:dyDescent="0.3">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278">
        <v>64900000</v>
      </c>
      <c r="R12" s="292">
        <f>SUM('PER BULAN'!G34:I34)</f>
        <v>0</v>
      </c>
      <c r="S12" s="292">
        <f>SUM('PER BULAN'!J34:L34)</f>
        <v>0</v>
      </c>
      <c r="T12" s="292">
        <f>SUM('PER BULAN'!M34:O34)</f>
        <v>4332500</v>
      </c>
      <c r="U12" s="292">
        <f>SUM('PER BULAN'!P34:R34)</f>
        <v>0</v>
      </c>
      <c r="V12" s="292">
        <f>SUM('PER BULAN'!S34:U34)</f>
        <v>1862500</v>
      </c>
      <c r="W12" s="292">
        <f>SUM('PER BULAN'!V34:X34)</f>
        <v>0</v>
      </c>
      <c r="X12" s="292">
        <f>SUM('PER BULAN'!Y34:AA34)</f>
        <v>0</v>
      </c>
      <c r="Y12" s="292">
        <f>SUM('PER BULAN'!AB34:AD34)</f>
        <v>0</v>
      </c>
      <c r="Z12" s="292">
        <f>SUM('PER BULAN'!AE34:AG34)</f>
        <v>0</v>
      </c>
      <c r="AA12" s="292">
        <f>SUM('PER BULAN'!AH34:AJ34)</f>
        <v>0</v>
      </c>
      <c r="AB12" s="292">
        <f>SUM('PER BULAN'!AK34:AM34)</f>
        <v>0</v>
      </c>
      <c r="AC12" s="292">
        <f>SUM('PER BULAN'!AN34:AP34)</f>
        <v>0</v>
      </c>
      <c r="AD12" s="277" t="s">
        <v>530</v>
      </c>
      <c r="AE12" s="277" t="s">
        <v>535</v>
      </c>
      <c r="AF12" s="277" t="s">
        <v>536</v>
      </c>
      <c r="AG12" s="277" t="s">
        <v>4699</v>
      </c>
      <c r="AH12" s="277" t="s">
        <v>4700</v>
      </c>
      <c r="AI12" s="277">
        <f t="shared" si="0"/>
        <v>6195000</v>
      </c>
      <c r="AJ12" s="291">
        <f t="shared" si="1"/>
        <v>9.5454545454545467</v>
      </c>
      <c r="AK12" s="277">
        <f t="shared" si="2"/>
        <v>58705000</v>
      </c>
      <c r="AL12" s="291">
        <f t="shared" si="3"/>
        <v>90.454545454545453</v>
      </c>
      <c r="AM12" s="277" t="s">
        <v>452</v>
      </c>
      <c r="AN12" s="277" t="s">
        <v>4730</v>
      </c>
      <c r="AO12" s="277" t="s">
        <v>4731</v>
      </c>
      <c r="AP12" s="277" t="s">
        <v>4732</v>
      </c>
      <c r="AQ12" s="292">
        <f>SUM('PER BULAN'!AX34)</f>
        <v>0</v>
      </c>
      <c r="AR12" s="292">
        <f>SUM('PER BULAN'!AY34)</f>
        <v>2871000</v>
      </c>
      <c r="AS12" s="292">
        <f>SUM('PER BULAN'!AZ34)</f>
        <v>1461500</v>
      </c>
      <c r="AT12" s="292">
        <f>SUM('PER BULAN'!BA34)</f>
        <v>0</v>
      </c>
      <c r="AU12" s="292">
        <f>SUM('PER BULAN'!BB34)</f>
        <v>0</v>
      </c>
      <c r="AV12" s="292">
        <f>SUM('PER BULAN'!BC34)</f>
        <v>440000</v>
      </c>
      <c r="AW12" s="292">
        <f>SUM('PER BULAN'!BD34)</f>
        <v>1422500</v>
      </c>
      <c r="AX12" s="292">
        <f>SUM('PER BULAN'!BE34)</f>
        <v>0</v>
      </c>
    </row>
    <row r="13" spans="1:50" s="278" customFormat="1" x14ac:dyDescent="0.3">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278">
        <v>6000000</v>
      </c>
      <c r="R13" s="292">
        <f>SUM('PER BULAN'!G35:I35)</f>
        <v>0</v>
      </c>
      <c r="S13" s="292">
        <f>SUM('PER BULAN'!J35:L35)</f>
        <v>0</v>
      </c>
      <c r="T13" s="292">
        <f>SUM('PER BULAN'!M35:O35)</f>
        <v>631750</v>
      </c>
      <c r="U13" s="292">
        <f>SUM('PER BULAN'!P35:R35)</f>
        <v>0</v>
      </c>
      <c r="V13" s="292">
        <f>SUM('PER BULAN'!S35:U35)</f>
        <v>331250</v>
      </c>
      <c r="W13" s="292">
        <f>SUM('PER BULAN'!V35:X35)</f>
        <v>0</v>
      </c>
      <c r="X13" s="292">
        <f>SUM('PER BULAN'!Y35:AA35)</f>
        <v>0</v>
      </c>
      <c r="Y13" s="292">
        <f>SUM('PER BULAN'!AB35:AD35)</f>
        <v>0</v>
      </c>
      <c r="Z13" s="292">
        <f>SUM('PER BULAN'!AE35:AG35)</f>
        <v>0</v>
      </c>
      <c r="AA13" s="292">
        <f>SUM('PER BULAN'!AH35:AJ35)</f>
        <v>0</v>
      </c>
      <c r="AB13" s="292">
        <f>SUM('PER BULAN'!AK35:AM35)</f>
        <v>0</v>
      </c>
      <c r="AC13" s="292">
        <f>SUM('PER BULAN'!AN35:AP35)</f>
        <v>0</v>
      </c>
      <c r="AD13" s="277" t="s">
        <v>530</v>
      </c>
      <c r="AE13" s="277" t="s">
        <v>535</v>
      </c>
      <c r="AF13" s="277" t="s">
        <v>536</v>
      </c>
      <c r="AG13" s="277" t="s">
        <v>4699</v>
      </c>
      <c r="AH13" s="277" t="s">
        <v>4700</v>
      </c>
      <c r="AI13" s="277">
        <f t="shared" si="0"/>
        <v>963000</v>
      </c>
      <c r="AJ13" s="291">
        <f t="shared" si="1"/>
        <v>16.05</v>
      </c>
      <c r="AK13" s="277">
        <f t="shared" si="2"/>
        <v>5037000</v>
      </c>
      <c r="AL13" s="291">
        <f t="shared" si="3"/>
        <v>83.95</v>
      </c>
      <c r="AM13" s="277" t="s">
        <v>455</v>
      </c>
      <c r="AN13" s="277" t="s">
        <v>4730</v>
      </c>
      <c r="AO13" s="277" t="s">
        <v>4733</v>
      </c>
      <c r="AP13" s="277" t="s">
        <v>4732</v>
      </c>
      <c r="AQ13" s="292">
        <f>SUM('PER BULAN'!AX35)</f>
        <v>0</v>
      </c>
      <c r="AR13" s="292">
        <f>SUM('PER BULAN'!AY35)</f>
        <v>300450</v>
      </c>
      <c r="AS13" s="292">
        <f>SUM('PER BULAN'!AZ35)</f>
        <v>331300</v>
      </c>
      <c r="AT13" s="292">
        <f>SUM('PER BULAN'!BA35)</f>
        <v>0</v>
      </c>
      <c r="AU13" s="292">
        <f>SUM('PER BULAN'!BB35)</f>
        <v>0</v>
      </c>
      <c r="AV13" s="292">
        <f>SUM('PER BULAN'!BC35)</f>
        <v>331250</v>
      </c>
      <c r="AW13" s="292">
        <f>SUM('PER BULAN'!BD35)</f>
        <v>0</v>
      </c>
      <c r="AX13" s="292">
        <f>SUM('PER BULAN'!BE35)</f>
        <v>0</v>
      </c>
    </row>
    <row r="14" spans="1:50" s="278" customFormat="1" x14ac:dyDescent="0.3">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278">
        <v>30000000</v>
      </c>
      <c r="R14" s="292">
        <f>SUM('PER BULAN'!G36:I36)</f>
        <v>0</v>
      </c>
      <c r="S14" s="292">
        <f>SUM('PER BULAN'!J36:L36)</f>
        <v>0</v>
      </c>
      <c r="T14" s="292">
        <f>SUM('PER BULAN'!M36:O36)</f>
        <v>7146000</v>
      </c>
      <c r="U14" s="292">
        <f>SUM('PER BULAN'!P36:R36)</f>
        <v>0</v>
      </c>
      <c r="V14" s="292">
        <f>SUM('PER BULAN'!S36:U36)</f>
        <v>2391000</v>
      </c>
      <c r="W14" s="292">
        <f>SUM('PER BULAN'!V36:X36)</f>
        <v>0</v>
      </c>
      <c r="X14" s="292">
        <f>SUM('PER BULAN'!Y36:AA36)</f>
        <v>0</v>
      </c>
      <c r="Y14" s="292">
        <f>SUM('PER BULAN'!AB36:AD36)</f>
        <v>0</v>
      </c>
      <c r="Z14" s="292">
        <f>SUM('PER BULAN'!AE36:AG36)</f>
        <v>0</v>
      </c>
      <c r="AA14" s="292">
        <f>SUM('PER BULAN'!AH36:AJ36)</f>
        <v>0</v>
      </c>
      <c r="AB14" s="292">
        <f>SUM('PER BULAN'!AK36:AM36)</f>
        <v>0</v>
      </c>
      <c r="AC14" s="292">
        <f>SUM('PER BULAN'!AN36:AP36)</f>
        <v>0</v>
      </c>
      <c r="AD14" s="277" t="s">
        <v>530</v>
      </c>
      <c r="AE14" s="277" t="s">
        <v>535</v>
      </c>
      <c r="AF14" s="277" t="s">
        <v>536</v>
      </c>
      <c r="AG14" s="277" t="s">
        <v>4699</v>
      </c>
      <c r="AH14" s="277" t="s">
        <v>4700</v>
      </c>
      <c r="AI14" s="277">
        <f t="shared" si="0"/>
        <v>9537000</v>
      </c>
      <c r="AJ14" s="291">
        <f t="shared" si="1"/>
        <v>31.790000000000003</v>
      </c>
      <c r="AK14" s="277">
        <f t="shared" si="2"/>
        <v>20463000</v>
      </c>
      <c r="AL14" s="291">
        <f t="shared" si="3"/>
        <v>68.210000000000008</v>
      </c>
      <c r="AM14" s="277" t="s">
        <v>458</v>
      </c>
      <c r="AN14" s="277" t="s">
        <v>4730</v>
      </c>
      <c r="AO14" s="277" t="s">
        <v>4737</v>
      </c>
      <c r="AP14" s="277" t="s">
        <v>4732</v>
      </c>
      <c r="AQ14" s="292">
        <f>SUM('PER BULAN'!AX36)</f>
        <v>0</v>
      </c>
      <c r="AR14" s="292">
        <f>SUM('PER BULAN'!AY36)</f>
        <v>4846000</v>
      </c>
      <c r="AS14" s="292">
        <f>SUM('PER BULAN'!AZ36)</f>
        <v>2300000</v>
      </c>
      <c r="AT14" s="292">
        <f>SUM('PER BULAN'!BA36)</f>
        <v>0</v>
      </c>
      <c r="AU14" s="292">
        <f>SUM('PER BULAN'!BB36)</f>
        <v>0</v>
      </c>
      <c r="AV14" s="292">
        <f>SUM('PER BULAN'!BC36)</f>
        <v>0</v>
      </c>
      <c r="AW14" s="292">
        <f>SUM('PER BULAN'!BD36)</f>
        <v>2391000</v>
      </c>
      <c r="AX14" s="292">
        <f>SUM('PER BULAN'!BE36)</f>
        <v>0</v>
      </c>
    </row>
    <row r="15" spans="1:50" s="278" customFormat="1" x14ac:dyDescent="0.3">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278">
        <v>25200000</v>
      </c>
      <c r="R15" s="292">
        <f>SUM('PER BULAN'!G37:I37)</f>
        <v>0</v>
      </c>
      <c r="S15" s="292">
        <f>SUM('PER BULAN'!J37:L37)</f>
        <v>0</v>
      </c>
      <c r="T15" s="292">
        <f>SUM('PER BULAN'!M37:O37)</f>
        <v>1800000</v>
      </c>
      <c r="U15" s="292">
        <f>SUM('PER BULAN'!P37:R37)</f>
        <v>0</v>
      </c>
      <c r="V15" s="292">
        <f>SUM('PER BULAN'!S37:U37)</f>
        <v>0</v>
      </c>
      <c r="W15" s="292">
        <f>SUM('PER BULAN'!V37:X37)</f>
        <v>7200000</v>
      </c>
      <c r="X15" s="292">
        <f>SUM('PER BULAN'!Y37:AA37)</f>
        <v>0</v>
      </c>
      <c r="Y15" s="292">
        <f>SUM('PER BULAN'!AB37:AD37)</f>
        <v>0</v>
      </c>
      <c r="Z15" s="292">
        <f>SUM('PER BULAN'!AE37:AG37)</f>
        <v>0</v>
      </c>
      <c r="AA15" s="292">
        <f>SUM('PER BULAN'!AH37:AJ37)</f>
        <v>0</v>
      </c>
      <c r="AB15" s="292">
        <f>SUM('PER BULAN'!AK37:AM37)</f>
        <v>0</v>
      </c>
      <c r="AC15" s="292">
        <f>SUM('PER BULAN'!AN37:AP37)</f>
        <v>0</v>
      </c>
      <c r="AD15" s="277" t="s">
        <v>530</v>
      </c>
      <c r="AE15" s="277" t="s">
        <v>535</v>
      </c>
      <c r="AF15" s="277" t="s">
        <v>536</v>
      </c>
      <c r="AG15" s="277" t="s">
        <v>4699</v>
      </c>
      <c r="AH15" s="277" t="s">
        <v>4700</v>
      </c>
      <c r="AI15" s="277">
        <f t="shared" si="0"/>
        <v>9000000</v>
      </c>
      <c r="AJ15" s="291">
        <f t="shared" si="1"/>
        <v>35.714285714285715</v>
      </c>
      <c r="AK15" s="277">
        <f t="shared" si="2"/>
        <v>16200000</v>
      </c>
      <c r="AL15" s="291">
        <f t="shared" si="3"/>
        <v>64.285714285714292</v>
      </c>
      <c r="AM15" s="277" t="s">
        <v>461</v>
      </c>
      <c r="AN15" s="277" t="s">
        <v>4730</v>
      </c>
      <c r="AO15" s="277" t="s">
        <v>4735</v>
      </c>
      <c r="AP15" s="277" t="s">
        <v>4732</v>
      </c>
      <c r="AQ15" s="292">
        <f>SUM('PER BULAN'!AX37)</f>
        <v>0</v>
      </c>
      <c r="AR15" s="292">
        <f>SUM('PER BULAN'!AY37)</f>
        <v>1800000</v>
      </c>
      <c r="AS15" s="292">
        <f>SUM('PER BULAN'!AZ37)</f>
        <v>0</v>
      </c>
      <c r="AT15" s="292">
        <f>SUM('PER BULAN'!BA37)</f>
        <v>0</v>
      </c>
      <c r="AU15" s="292">
        <f>SUM('PER BULAN'!BB37)</f>
        <v>0</v>
      </c>
      <c r="AV15" s="292">
        <f>SUM('PER BULAN'!BC37)</f>
        <v>0</v>
      </c>
      <c r="AW15" s="292">
        <f>SUM('PER BULAN'!BD37)</f>
        <v>0</v>
      </c>
      <c r="AX15" s="292">
        <f>SUM('PER BULAN'!BE37)</f>
        <v>0</v>
      </c>
    </row>
    <row r="16" spans="1:50" s="278" customFormat="1" x14ac:dyDescent="0.3">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278">
        <v>6000000</v>
      </c>
      <c r="R16" s="292">
        <f>SUM('PER BULAN'!G38:I38)</f>
        <v>0</v>
      </c>
      <c r="S16" s="292">
        <f>SUM('PER BULAN'!J38:L38)</f>
        <v>0</v>
      </c>
      <c r="T16" s="292">
        <f>SUM('PER BULAN'!M38:O38)</f>
        <v>0</v>
      </c>
      <c r="U16" s="292">
        <f>SUM('PER BULAN'!P38:R38)</f>
        <v>0</v>
      </c>
      <c r="V16" s="292">
        <f>SUM('PER BULAN'!S38:U38)</f>
        <v>0</v>
      </c>
      <c r="W16" s="292">
        <f>SUM('PER BULAN'!V38:X38)</f>
        <v>0</v>
      </c>
      <c r="X16" s="292">
        <f>SUM('PER BULAN'!Y38:AA38)</f>
        <v>0</v>
      </c>
      <c r="Y16" s="292">
        <f>SUM('PER BULAN'!AB38:AD38)</f>
        <v>0</v>
      </c>
      <c r="Z16" s="292">
        <f>SUM('PER BULAN'!AE38:AG38)</f>
        <v>0</v>
      </c>
      <c r="AA16" s="292">
        <f>SUM('PER BULAN'!AH38:AJ38)</f>
        <v>0</v>
      </c>
      <c r="AB16" s="292">
        <f>SUM('PER BULAN'!AK38:AM38)</f>
        <v>0</v>
      </c>
      <c r="AC16" s="292">
        <f>SUM('PER BULAN'!AN38:AP38)</f>
        <v>0</v>
      </c>
      <c r="AD16" s="277" t="s">
        <v>530</v>
      </c>
      <c r="AE16" s="277" t="s">
        <v>535</v>
      </c>
      <c r="AF16" s="277" t="s">
        <v>536</v>
      </c>
      <c r="AG16" s="277" t="s">
        <v>4699</v>
      </c>
      <c r="AH16" s="277" t="s">
        <v>4700</v>
      </c>
      <c r="AI16" s="277">
        <f t="shared" si="0"/>
        <v>0</v>
      </c>
      <c r="AJ16" s="291">
        <f t="shared" si="1"/>
        <v>0</v>
      </c>
      <c r="AK16" s="277">
        <f t="shared" si="2"/>
        <v>6000000</v>
      </c>
      <c r="AL16" s="291">
        <f t="shared" si="3"/>
        <v>100</v>
      </c>
      <c r="AM16" s="277" t="s">
        <v>463</v>
      </c>
      <c r="AN16" s="277" t="s">
        <v>4734</v>
      </c>
      <c r="AO16" s="277" t="s">
        <v>4735</v>
      </c>
      <c r="AP16" s="277" t="s">
        <v>4732</v>
      </c>
      <c r="AQ16" s="292">
        <f>SUM('PER BULAN'!AX38)</f>
        <v>0</v>
      </c>
      <c r="AR16" s="292">
        <f>SUM('PER BULAN'!AY38)</f>
        <v>0</v>
      </c>
      <c r="AS16" s="292">
        <f>SUM('PER BULAN'!AZ38)</f>
        <v>0</v>
      </c>
      <c r="AT16" s="292">
        <f>SUM('PER BULAN'!BA38)</f>
        <v>0</v>
      </c>
      <c r="AU16" s="292">
        <f>SUM('PER BULAN'!BB38)</f>
        <v>0</v>
      </c>
      <c r="AV16" s="292">
        <f>SUM('PER BULAN'!BC38)</f>
        <v>0</v>
      </c>
      <c r="AW16" s="292">
        <f>SUM('PER BULAN'!BD38)</f>
        <v>0</v>
      </c>
      <c r="AX16" s="292">
        <f>SUM('PER BULAN'!BE38)</f>
        <v>0</v>
      </c>
    </row>
    <row r="17" spans="1:50" s="278" customFormat="1" x14ac:dyDescent="0.3">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278">
        <v>253324000</v>
      </c>
      <c r="R17" s="292">
        <f>SUM('PER BULAN'!G39:I39)</f>
        <v>0</v>
      </c>
      <c r="S17" s="292">
        <f>SUM('PER BULAN'!J39:L39)</f>
        <v>0</v>
      </c>
      <c r="T17" s="292">
        <f>SUM('PER BULAN'!M39:O39)</f>
        <v>10610000</v>
      </c>
      <c r="U17" s="292">
        <f>SUM('PER BULAN'!P39:R39)</f>
        <v>6180000</v>
      </c>
      <c r="V17" s="292">
        <f>SUM('PER BULAN'!S39:U39)</f>
        <v>930000</v>
      </c>
      <c r="W17" s="292">
        <f>SUM('PER BULAN'!V39:X39)</f>
        <v>15508650</v>
      </c>
      <c r="X17" s="292">
        <f>SUM('PER BULAN'!Y39:AA39)</f>
        <v>0</v>
      </c>
      <c r="Y17" s="292">
        <f>SUM('PER BULAN'!AB39:AD39)</f>
        <v>0</v>
      </c>
      <c r="Z17" s="292">
        <f>SUM('PER BULAN'!AE39:AG39)</f>
        <v>0</v>
      </c>
      <c r="AA17" s="292">
        <f>SUM('PER BULAN'!AH39:AJ39)</f>
        <v>0</v>
      </c>
      <c r="AB17" s="292">
        <f>SUM('PER BULAN'!AK39:AM39)</f>
        <v>0</v>
      </c>
      <c r="AC17" s="292">
        <f>SUM('PER BULAN'!AN39:AP39)</f>
        <v>0</v>
      </c>
      <c r="AD17" s="277" t="s">
        <v>530</v>
      </c>
      <c r="AE17" s="277" t="s">
        <v>535</v>
      </c>
      <c r="AF17" s="277" t="s">
        <v>536</v>
      </c>
      <c r="AG17" s="277" t="s">
        <v>4699</v>
      </c>
      <c r="AH17" s="277" t="s">
        <v>4700</v>
      </c>
      <c r="AI17" s="277">
        <f t="shared" si="0"/>
        <v>33228650</v>
      </c>
      <c r="AJ17" s="291">
        <f t="shared" si="1"/>
        <v>13.117055628365257</v>
      </c>
      <c r="AK17" s="277">
        <f t="shared" si="2"/>
        <v>220095350</v>
      </c>
      <c r="AL17" s="291">
        <f t="shared" si="3"/>
        <v>86.882944371634736</v>
      </c>
      <c r="AM17" s="277" t="s">
        <v>465</v>
      </c>
      <c r="AN17" s="277" t="s">
        <v>4730</v>
      </c>
      <c r="AO17" s="277" t="s">
        <v>4736</v>
      </c>
      <c r="AP17" s="277" t="s">
        <v>4732</v>
      </c>
      <c r="AQ17" s="292">
        <f>SUM('PER BULAN'!AX39)</f>
        <v>0</v>
      </c>
      <c r="AR17" s="292">
        <f>SUM('PER BULAN'!AY39)</f>
        <v>7130000</v>
      </c>
      <c r="AS17" s="292">
        <f>SUM('PER BULAN'!AZ39)</f>
        <v>3480000</v>
      </c>
      <c r="AT17" s="292">
        <f>SUM('PER BULAN'!BA39)</f>
        <v>0</v>
      </c>
      <c r="AU17" s="292">
        <f>SUM('PER BULAN'!BB39)</f>
        <v>0</v>
      </c>
      <c r="AV17" s="292">
        <f>SUM('PER BULAN'!BC39)</f>
        <v>0</v>
      </c>
      <c r="AW17" s="292">
        <f>SUM('PER BULAN'!BD39)</f>
        <v>0</v>
      </c>
      <c r="AX17" s="292">
        <f>SUM('PER BULAN'!BE39)</f>
        <v>0</v>
      </c>
    </row>
    <row r="18" spans="1:50" s="278" customFormat="1" x14ac:dyDescent="0.3">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278">
        <v>1500000</v>
      </c>
      <c r="R18" s="292">
        <f>SUM('PER BULAN'!G40:I40)</f>
        <v>0</v>
      </c>
      <c r="S18" s="292">
        <f>SUM('PER BULAN'!J40:L40)</f>
        <v>0</v>
      </c>
      <c r="T18" s="292">
        <f>SUM('PER BULAN'!M40:O40)</f>
        <v>0</v>
      </c>
      <c r="U18" s="292">
        <f>SUM('PER BULAN'!P40:R40)</f>
        <v>0</v>
      </c>
      <c r="V18" s="292">
        <f>SUM('PER BULAN'!S40:U40)</f>
        <v>0</v>
      </c>
      <c r="W18" s="292">
        <f>SUM('PER BULAN'!V40:X40)</f>
        <v>0</v>
      </c>
      <c r="X18" s="292">
        <f>SUM('PER BULAN'!Y40:AA40)</f>
        <v>0</v>
      </c>
      <c r="Y18" s="292">
        <f>SUM('PER BULAN'!AB40:AD40)</f>
        <v>0</v>
      </c>
      <c r="Z18" s="292">
        <f>SUM('PER BULAN'!AE40:AG40)</f>
        <v>0</v>
      </c>
      <c r="AA18" s="292">
        <f>SUM('PER BULAN'!AH40:AJ40)</f>
        <v>0</v>
      </c>
      <c r="AB18" s="292">
        <f>SUM('PER BULAN'!AK40:AM40)</f>
        <v>0</v>
      </c>
      <c r="AC18" s="292">
        <f>SUM('PER BULAN'!AN40:AP40)</f>
        <v>0</v>
      </c>
      <c r="AD18" s="277" t="s">
        <v>530</v>
      </c>
      <c r="AE18" s="277" t="s">
        <v>535</v>
      </c>
      <c r="AF18" s="277" t="s">
        <v>536</v>
      </c>
      <c r="AG18" s="277" t="s">
        <v>4699</v>
      </c>
      <c r="AH18" s="277" t="s">
        <v>4700</v>
      </c>
      <c r="AI18" s="277">
        <f t="shared" si="0"/>
        <v>0</v>
      </c>
      <c r="AJ18" s="291">
        <f t="shared" si="1"/>
        <v>0</v>
      </c>
      <c r="AK18" s="277">
        <f t="shared" si="2"/>
        <v>1500000</v>
      </c>
      <c r="AL18" s="291">
        <f t="shared" si="3"/>
        <v>100</v>
      </c>
      <c r="AM18" s="277" t="s">
        <v>467</v>
      </c>
      <c r="AN18" s="277" t="s">
        <v>4730</v>
      </c>
      <c r="AO18" s="277" t="s">
        <v>4738</v>
      </c>
      <c r="AP18" s="277" t="s">
        <v>4732</v>
      </c>
      <c r="AQ18" s="292">
        <f>SUM('PER BULAN'!AX40)</f>
        <v>0</v>
      </c>
      <c r="AR18" s="292">
        <f>SUM('PER BULAN'!AY40)</f>
        <v>0</v>
      </c>
      <c r="AS18" s="292">
        <f>SUM('PER BULAN'!AZ40)</f>
        <v>0</v>
      </c>
      <c r="AT18" s="292">
        <f>SUM('PER BULAN'!BA40)</f>
        <v>0</v>
      </c>
      <c r="AU18" s="292">
        <f>SUM('PER BULAN'!BB40)</f>
        <v>0</v>
      </c>
      <c r="AV18" s="292">
        <f>SUM('PER BULAN'!BC40)</f>
        <v>0</v>
      </c>
      <c r="AW18" s="292">
        <f>SUM('PER BULAN'!BD40)</f>
        <v>0</v>
      </c>
      <c r="AX18" s="292">
        <f>SUM('PER BULAN'!BE40)</f>
        <v>0</v>
      </c>
    </row>
    <row r="19" spans="1:50" s="278" customFormat="1" x14ac:dyDescent="0.3">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278">
        <v>71456000</v>
      </c>
      <c r="R19" s="292">
        <f>SUM('PER BULAN'!G42:I42)</f>
        <v>0</v>
      </c>
      <c r="S19" s="292">
        <f>SUM('PER BULAN'!J42:L42)</f>
        <v>0</v>
      </c>
      <c r="T19" s="292">
        <f>SUM('PER BULAN'!M42:O42)</f>
        <v>0</v>
      </c>
      <c r="U19" s="292">
        <f>SUM('PER BULAN'!P42:R42)</f>
        <v>0</v>
      </c>
      <c r="V19" s="292">
        <f>SUM('PER BULAN'!S42:U42)</f>
        <v>10438550</v>
      </c>
      <c r="W19" s="292">
        <f>SUM('PER BULAN'!V42:X42)</f>
        <v>0</v>
      </c>
      <c r="X19" s="292">
        <f>SUM('PER BULAN'!Y42:AA42)</f>
        <v>0</v>
      </c>
      <c r="Y19" s="292">
        <f>SUM('PER BULAN'!AB42:AD42)</f>
        <v>0</v>
      </c>
      <c r="Z19" s="292">
        <f>SUM('PER BULAN'!AE42:AG42)</f>
        <v>0</v>
      </c>
      <c r="AA19" s="292">
        <f>SUM('PER BULAN'!AH42:AJ42)</f>
        <v>0</v>
      </c>
      <c r="AB19" s="292">
        <f>SUM('PER BULAN'!AK42:AM42)</f>
        <v>0</v>
      </c>
      <c r="AC19" s="292">
        <f>SUM('PER BULAN'!AN42:AP42)</f>
        <v>0</v>
      </c>
      <c r="AD19" s="277" t="s">
        <v>530</v>
      </c>
      <c r="AE19" s="277" t="s">
        <v>535</v>
      </c>
      <c r="AF19" s="277" t="s">
        <v>536</v>
      </c>
      <c r="AG19" s="277" t="s">
        <v>4699</v>
      </c>
      <c r="AH19" s="277" t="s">
        <v>4700</v>
      </c>
      <c r="AI19" s="277">
        <f t="shared" si="0"/>
        <v>10438550</v>
      </c>
      <c r="AJ19" s="291">
        <f t="shared" si="1"/>
        <v>14.60836038961039</v>
      </c>
      <c r="AK19" s="277">
        <f t="shared" si="2"/>
        <v>61017450</v>
      </c>
      <c r="AL19" s="291">
        <f t="shared" si="3"/>
        <v>85.391639610389618</v>
      </c>
      <c r="AM19" s="277" t="s">
        <v>470</v>
      </c>
      <c r="AN19" s="277" t="s">
        <v>4730</v>
      </c>
      <c r="AO19" s="277" t="s">
        <v>4731</v>
      </c>
      <c r="AP19" s="277" t="s">
        <v>4732</v>
      </c>
      <c r="AQ19" s="292">
        <f>SUM('PER BULAN'!AX42)</f>
        <v>0</v>
      </c>
      <c r="AR19" s="292">
        <f>SUM('PER BULAN'!AY42)</f>
        <v>0</v>
      </c>
      <c r="AS19" s="292">
        <f>SUM('PER BULAN'!AZ42)</f>
        <v>0</v>
      </c>
      <c r="AT19" s="292">
        <f>SUM('PER BULAN'!BA42)</f>
        <v>0</v>
      </c>
      <c r="AU19" s="292">
        <f>SUM('PER BULAN'!BB42)</f>
        <v>0</v>
      </c>
      <c r="AV19" s="292">
        <f>SUM('PER BULAN'!BC42)</f>
        <v>0</v>
      </c>
      <c r="AW19" s="292">
        <f>SUM('PER BULAN'!BD42)</f>
        <v>10438550</v>
      </c>
      <c r="AX19" s="292">
        <f>SUM('PER BULAN'!BE42)</f>
        <v>0</v>
      </c>
    </row>
    <row r="20" spans="1:50" s="278" customFormat="1" x14ac:dyDescent="0.3">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278">
        <v>5000000</v>
      </c>
      <c r="R20" s="292">
        <f>SUM('PER BULAN'!G43:I43)</f>
        <v>0</v>
      </c>
      <c r="S20" s="292">
        <f>SUM('PER BULAN'!J43:L43)</f>
        <v>0</v>
      </c>
      <c r="T20" s="292">
        <f>SUM('PER BULAN'!M43:O43)</f>
        <v>0</v>
      </c>
      <c r="U20" s="292">
        <f>SUM('PER BULAN'!P43:R43)</f>
        <v>0</v>
      </c>
      <c r="V20" s="292">
        <f>SUM('PER BULAN'!S43:U43)</f>
        <v>4262850</v>
      </c>
      <c r="W20" s="292">
        <f>SUM('PER BULAN'!V43:X43)</f>
        <v>0</v>
      </c>
      <c r="X20" s="292">
        <f>SUM('PER BULAN'!Y43:AA43)</f>
        <v>0</v>
      </c>
      <c r="Y20" s="292">
        <f>SUM('PER BULAN'!AB43:AD43)</f>
        <v>0</v>
      </c>
      <c r="Z20" s="292">
        <f>SUM('PER BULAN'!AE43:AG43)</f>
        <v>0</v>
      </c>
      <c r="AA20" s="292">
        <f>SUM('PER BULAN'!AH43:AJ43)</f>
        <v>0</v>
      </c>
      <c r="AB20" s="292">
        <f>SUM('PER BULAN'!AK43:AM43)</f>
        <v>0</v>
      </c>
      <c r="AC20" s="292">
        <f>SUM('PER BULAN'!AN43:AP43)</f>
        <v>0</v>
      </c>
      <c r="AD20" s="277" t="s">
        <v>530</v>
      </c>
      <c r="AE20" s="277" t="s">
        <v>535</v>
      </c>
      <c r="AF20" s="277" t="s">
        <v>536</v>
      </c>
      <c r="AG20" s="277" t="s">
        <v>4699</v>
      </c>
      <c r="AH20" s="277" t="s">
        <v>4700</v>
      </c>
      <c r="AI20" s="277">
        <f t="shared" si="0"/>
        <v>4262850</v>
      </c>
      <c r="AJ20" s="291">
        <f t="shared" si="1"/>
        <v>85.257000000000005</v>
      </c>
      <c r="AK20" s="277">
        <f t="shared" si="2"/>
        <v>737150</v>
      </c>
      <c r="AL20" s="291">
        <f t="shared" si="3"/>
        <v>14.743</v>
      </c>
      <c r="AM20" s="277" t="s">
        <v>473</v>
      </c>
      <c r="AN20" s="277" t="s">
        <v>4730</v>
      </c>
      <c r="AO20" s="277" t="s">
        <v>4733</v>
      </c>
      <c r="AP20" s="277" t="s">
        <v>4732</v>
      </c>
      <c r="AQ20" s="292">
        <f>SUM('PER BULAN'!AX43)</f>
        <v>0</v>
      </c>
      <c r="AR20" s="292">
        <f>SUM('PER BULAN'!AY43)</f>
        <v>0</v>
      </c>
      <c r="AS20" s="292">
        <f>SUM('PER BULAN'!AZ43)</f>
        <v>0</v>
      </c>
      <c r="AT20" s="292">
        <f>SUM('PER BULAN'!BA43)</f>
        <v>0</v>
      </c>
      <c r="AU20" s="292">
        <f>SUM('PER BULAN'!BB43)</f>
        <v>0</v>
      </c>
      <c r="AV20" s="292">
        <f>SUM('PER BULAN'!BC43)</f>
        <v>302850</v>
      </c>
      <c r="AW20" s="292">
        <f>SUM('PER BULAN'!BD43)</f>
        <v>3960000</v>
      </c>
      <c r="AX20" s="292">
        <f>SUM('PER BULAN'!BE43)</f>
        <v>0</v>
      </c>
    </row>
    <row r="21" spans="1:50" s="278" customFormat="1" x14ac:dyDescent="0.3">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278">
        <v>15000000</v>
      </c>
      <c r="R21" s="292">
        <f>SUM('PER BULAN'!G44:I44)</f>
        <v>0</v>
      </c>
      <c r="S21" s="292">
        <f>SUM('PER BULAN'!J44:L44)</f>
        <v>0</v>
      </c>
      <c r="T21" s="292">
        <f>SUM('PER BULAN'!M44:O44)</f>
        <v>0</v>
      </c>
      <c r="U21" s="292">
        <f>SUM('PER BULAN'!P44:R44)</f>
        <v>0</v>
      </c>
      <c r="V21" s="292">
        <f>SUM('PER BULAN'!S44:U44)</f>
        <v>2453500</v>
      </c>
      <c r="W21" s="292">
        <f>SUM('PER BULAN'!V44:X44)</f>
        <v>0</v>
      </c>
      <c r="X21" s="292">
        <f>SUM('PER BULAN'!Y44:AA44)</f>
        <v>0</v>
      </c>
      <c r="Y21" s="292">
        <f>SUM('PER BULAN'!AB44:AD44)</f>
        <v>0</v>
      </c>
      <c r="Z21" s="292">
        <f>SUM('PER BULAN'!AE44:AG44)</f>
        <v>0</v>
      </c>
      <c r="AA21" s="292">
        <f>SUM('PER BULAN'!AH44:AJ44)</f>
        <v>0</v>
      </c>
      <c r="AB21" s="292">
        <f>SUM('PER BULAN'!AK44:AM44)</f>
        <v>0</v>
      </c>
      <c r="AC21" s="292">
        <f>SUM('PER BULAN'!AN44:AP44)</f>
        <v>0</v>
      </c>
      <c r="AD21" s="277" t="s">
        <v>530</v>
      </c>
      <c r="AE21" s="277" t="s">
        <v>535</v>
      </c>
      <c r="AF21" s="277" t="s">
        <v>536</v>
      </c>
      <c r="AG21" s="277" t="s">
        <v>4699</v>
      </c>
      <c r="AH21" s="277" t="s">
        <v>4700</v>
      </c>
      <c r="AI21" s="277">
        <f t="shared" si="0"/>
        <v>2453500</v>
      </c>
      <c r="AJ21" s="291">
        <f t="shared" si="1"/>
        <v>16.356666666666666</v>
      </c>
      <c r="AK21" s="277">
        <f t="shared" si="2"/>
        <v>12546500</v>
      </c>
      <c r="AL21" s="291">
        <f t="shared" si="3"/>
        <v>83.643333333333331</v>
      </c>
      <c r="AM21" s="277" t="s">
        <v>475</v>
      </c>
      <c r="AN21" s="277" t="s">
        <v>4730</v>
      </c>
      <c r="AO21" s="277" t="s">
        <v>4737</v>
      </c>
      <c r="AP21" s="277" t="s">
        <v>4732</v>
      </c>
      <c r="AQ21" s="292">
        <f>SUM('PER BULAN'!AX44)</f>
        <v>0</v>
      </c>
      <c r="AR21" s="292">
        <f>SUM('PER BULAN'!AY44)</f>
        <v>0</v>
      </c>
      <c r="AS21" s="292">
        <f>SUM('PER BULAN'!AZ44)</f>
        <v>0</v>
      </c>
      <c r="AT21" s="292">
        <f>SUM('PER BULAN'!BA44)</f>
        <v>0</v>
      </c>
      <c r="AU21" s="292">
        <f>SUM('PER BULAN'!BB44)</f>
        <v>0</v>
      </c>
      <c r="AV21" s="292">
        <f>SUM('PER BULAN'!BC44)</f>
        <v>0</v>
      </c>
      <c r="AW21" s="292">
        <f>SUM('PER BULAN'!BD44)</f>
        <v>2453500</v>
      </c>
      <c r="AX21" s="292">
        <f>SUM('PER BULAN'!BE44)</f>
        <v>0</v>
      </c>
    </row>
    <row r="22" spans="1:50" s="278" customFormat="1" x14ac:dyDescent="0.3">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278">
        <v>16200000</v>
      </c>
      <c r="R22" s="292">
        <f>SUM('PER BULAN'!G45:I45)</f>
        <v>0</v>
      </c>
      <c r="S22" s="292">
        <f>SUM('PER BULAN'!J45:L45)</f>
        <v>0</v>
      </c>
      <c r="T22" s="292">
        <f>SUM('PER BULAN'!M45:O45)</f>
        <v>0</v>
      </c>
      <c r="U22" s="292">
        <f>SUM('PER BULAN'!P45:R45)</f>
        <v>0</v>
      </c>
      <c r="V22" s="292">
        <f>SUM('PER BULAN'!S45:U45)</f>
        <v>6300000</v>
      </c>
      <c r="W22" s="292">
        <f>SUM('PER BULAN'!V45:X45)</f>
        <v>0</v>
      </c>
      <c r="X22" s="292">
        <f>SUM('PER BULAN'!Y45:AA45)</f>
        <v>0</v>
      </c>
      <c r="Y22" s="292">
        <f>SUM('PER BULAN'!AB45:AD45)</f>
        <v>0</v>
      </c>
      <c r="Z22" s="292">
        <f>SUM('PER BULAN'!AE45:AG45)</f>
        <v>0</v>
      </c>
      <c r="AA22" s="292">
        <f>SUM('PER BULAN'!AH45:AJ45)</f>
        <v>0</v>
      </c>
      <c r="AB22" s="292">
        <f>SUM('PER BULAN'!AK45:AM45)</f>
        <v>0</v>
      </c>
      <c r="AC22" s="292">
        <f>SUM('PER BULAN'!AN45:AP45)</f>
        <v>0</v>
      </c>
      <c r="AD22" s="277" t="s">
        <v>530</v>
      </c>
      <c r="AE22" s="277" t="s">
        <v>535</v>
      </c>
      <c r="AF22" s="277" t="s">
        <v>536</v>
      </c>
      <c r="AG22" s="277" t="s">
        <v>4699</v>
      </c>
      <c r="AH22" s="277" t="s">
        <v>4700</v>
      </c>
      <c r="AI22" s="277">
        <f t="shared" si="0"/>
        <v>6300000</v>
      </c>
      <c r="AJ22" s="291">
        <f t="shared" si="1"/>
        <v>38.888888888888893</v>
      </c>
      <c r="AK22" s="277">
        <f t="shared" si="2"/>
        <v>9900000</v>
      </c>
      <c r="AL22" s="291">
        <f t="shared" si="3"/>
        <v>61.111111111111114</v>
      </c>
      <c r="AM22" s="277" t="s">
        <v>478</v>
      </c>
      <c r="AN22" s="277" t="s">
        <v>4730</v>
      </c>
      <c r="AO22" s="277" t="s">
        <v>4735</v>
      </c>
      <c r="AP22" s="277" t="s">
        <v>4732</v>
      </c>
      <c r="AQ22" s="292">
        <f>SUM('PER BULAN'!AX45)</f>
        <v>0</v>
      </c>
      <c r="AR22" s="292">
        <f>SUM('PER BULAN'!AY45)</f>
        <v>0</v>
      </c>
      <c r="AS22" s="292">
        <f>SUM('PER BULAN'!AZ45)</f>
        <v>0</v>
      </c>
      <c r="AT22" s="292">
        <f>SUM('PER BULAN'!BA45)</f>
        <v>0</v>
      </c>
      <c r="AU22" s="292">
        <f>SUM('PER BULAN'!BB45)</f>
        <v>0</v>
      </c>
      <c r="AV22" s="292">
        <f>SUM('PER BULAN'!BC45)</f>
        <v>0</v>
      </c>
      <c r="AW22" s="292">
        <f>SUM('PER BULAN'!BD45)</f>
        <v>6300000</v>
      </c>
      <c r="AX22" s="292">
        <f>SUM('PER BULAN'!BE45)</f>
        <v>0</v>
      </c>
    </row>
    <row r="23" spans="1:50" s="278" customFormat="1" x14ac:dyDescent="0.3">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278">
        <v>2000000</v>
      </c>
      <c r="R23" s="292">
        <f>SUM('PER BULAN'!G46:I46)</f>
        <v>0</v>
      </c>
      <c r="S23" s="292">
        <f>SUM('PER BULAN'!J46:L46)</f>
        <v>0</v>
      </c>
      <c r="T23" s="292">
        <f>SUM('PER BULAN'!M46:O46)</f>
        <v>365000</v>
      </c>
      <c r="U23" s="292">
        <f>SUM('PER BULAN'!P46:R46)</f>
        <v>0</v>
      </c>
      <c r="V23" s="292">
        <f>SUM('PER BULAN'!S46:U46)</f>
        <v>0</v>
      </c>
      <c r="W23" s="292">
        <f>SUM('PER BULAN'!V46:X46)</f>
        <v>0</v>
      </c>
      <c r="X23" s="292">
        <f>SUM('PER BULAN'!Y46:AA46)</f>
        <v>0</v>
      </c>
      <c r="Y23" s="292">
        <f>SUM('PER BULAN'!AB46:AD46)</f>
        <v>0</v>
      </c>
      <c r="Z23" s="292">
        <f>SUM('PER BULAN'!AE46:AG46)</f>
        <v>0</v>
      </c>
      <c r="AA23" s="292">
        <f>SUM('PER BULAN'!AH46:AJ46)</f>
        <v>0</v>
      </c>
      <c r="AB23" s="292">
        <f>SUM('PER BULAN'!AK46:AM46)</f>
        <v>0</v>
      </c>
      <c r="AC23" s="292">
        <f>SUM('PER BULAN'!AN46:AP46)</f>
        <v>0</v>
      </c>
      <c r="AD23" s="277" t="s">
        <v>530</v>
      </c>
      <c r="AE23" s="277" t="s">
        <v>535</v>
      </c>
      <c r="AF23" s="277" t="s">
        <v>536</v>
      </c>
      <c r="AG23" s="277" t="s">
        <v>4699</v>
      </c>
      <c r="AH23" s="277" t="s">
        <v>4700</v>
      </c>
      <c r="AI23" s="277">
        <f t="shared" si="0"/>
        <v>365000</v>
      </c>
      <c r="AJ23" s="291">
        <f t="shared" si="1"/>
        <v>18.25</v>
      </c>
      <c r="AK23" s="277">
        <f t="shared" si="2"/>
        <v>1635000</v>
      </c>
      <c r="AL23" s="291">
        <f t="shared" si="3"/>
        <v>81.75</v>
      </c>
      <c r="AM23" s="277" t="s">
        <v>480</v>
      </c>
      <c r="AN23" s="277" t="s">
        <v>4734</v>
      </c>
      <c r="AO23" s="277" t="s">
        <v>4735</v>
      </c>
      <c r="AP23" s="277" t="s">
        <v>4732</v>
      </c>
      <c r="AQ23" s="292">
        <f>SUM('PER BULAN'!AX46)</f>
        <v>0</v>
      </c>
      <c r="AR23" s="292">
        <f>SUM('PER BULAN'!AY46)</f>
        <v>365000</v>
      </c>
      <c r="AS23" s="292">
        <f>SUM('PER BULAN'!AZ46)</f>
        <v>0</v>
      </c>
      <c r="AT23" s="292">
        <f>SUM('PER BULAN'!BA46)</f>
        <v>0</v>
      </c>
      <c r="AU23" s="292">
        <f>SUM('PER BULAN'!BB46)</f>
        <v>0</v>
      </c>
      <c r="AV23" s="292">
        <f>SUM('PER BULAN'!BC46)</f>
        <v>0</v>
      </c>
      <c r="AW23" s="292">
        <f>SUM('PER BULAN'!BD46)</f>
        <v>0</v>
      </c>
      <c r="AX23" s="292">
        <f>SUM('PER BULAN'!BE46)</f>
        <v>0</v>
      </c>
    </row>
    <row r="24" spans="1:50" s="278" customFormat="1" x14ac:dyDescent="0.3">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278">
        <v>138160000</v>
      </c>
      <c r="R24" s="292">
        <f>SUM('PER BULAN'!G47:I47)</f>
        <v>0</v>
      </c>
      <c r="S24" s="292">
        <f>SUM('PER BULAN'!J47:L47)</f>
        <v>0</v>
      </c>
      <c r="T24" s="292">
        <f>SUM('PER BULAN'!M47:O47)</f>
        <v>18378000</v>
      </c>
      <c r="U24" s="292">
        <f>SUM('PER BULAN'!P47:R47)</f>
        <v>0</v>
      </c>
      <c r="V24" s="292">
        <f>SUM('PER BULAN'!S47:U47)</f>
        <v>36948850</v>
      </c>
      <c r="W24" s="292">
        <f>SUM('PER BULAN'!V47:X47)</f>
        <v>76109840</v>
      </c>
      <c r="X24" s="292">
        <f>SUM('PER BULAN'!Y47:AA47)</f>
        <v>0</v>
      </c>
      <c r="Y24" s="292">
        <f>SUM('PER BULAN'!AB47:AD47)</f>
        <v>0</v>
      </c>
      <c r="Z24" s="292">
        <f>SUM('PER BULAN'!AE47:AG47)</f>
        <v>0</v>
      </c>
      <c r="AA24" s="292">
        <f>SUM('PER BULAN'!AH47:AJ47)</f>
        <v>0</v>
      </c>
      <c r="AB24" s="292">
        <f>SUM('PER BULAN'!AK47:AM47)</f>
        <v>0</v>
      </c>
      <c r="AC24" s="292">
        <f>SUM('PER BULAN'!AN47:AP47)</f>
        <v>0</v>
      </c>
      <c r="AD24" s="277" t="s">
        <v>530</v>
      </c>
      <c r="AE24" s="277" t="s">
        <v>535</v>
      </c>
      <c r="AF24" s="277" t="s">
        <v>536</v>
      </c>
      <c r="AG24" s="277" t="s">
        <v>4699</v>
      </c>
      <c r="AH24" s="277" t="s">
        <v>4700</v>
      </c>
      <c r="AI24" s="277">
        <f t="shared" si="0"/>
        <v>131436690</v>
      </c>
      <c r="AJ24" s="291">
        <f t="shared" si="1"/>
        <v>95.133678343949043</v>
      </c>
      <c r="AK24" s="277">
        <f t="shared" si="2"/>
        <v>6723310</v>
      </c>
      <c r="AL24" s="291">
        <f t="shared" si="3"/>
        <v>4.866321656050955</v>
      </c>
      <c r="AM24" s="277" t="s">
        <v>482</v>
      </c>
      <c r="AN24" s="277" t="s">
        <v>4730</v>
      </c>
      <c r="AO24" s="277" t="s">
        <v>4736</v>
      </c>
      <c r="AP24" s="277" t="s">
        <v>4732</v>
      </c>
      <c r="AQ24" s="292">
        <f>SUM('PER BULAN'!AX47)</f>
        <v>0</v>
      </c>
      <c r="AR24" s="292">
        <f>SUM('PER BULAN'!AY47)</f>
        <v>18378000</v>
      </c>
      <c r="AS24" s="292">
        <f>SUM('PER BULAN'!AZ47)</f>
        <v>0</v>
      </c>
      <c r="AT24" s="292">
        <f>SUM('PER BULAN'!BA47)</f>
        <v>0</v>
      </c>
      <c r="AU24" s="292">
        <f>SUM('PER BULAN'!BB47)</f>
        <v>0</v>
      </c>
      <c r="AV24" s="292">
        <f>SUM('PER BULAN'!BC47)</f>
        <v>0</v>
      </c>
      <c r="AW24" s="292">
        <f>SUM('PER BULAN'!BD47)</f>
        <v>36948850</v>
      </c>
      <c r="AX24" s="292">
        <f>SUM('PER BULAN'!BE47)</f>
        <v>0</v>
      </c>
    </row>
    <row r="25" spans="1:50" s="278" customFormat="1" x14ac:dyDescent="0.3">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4742</v>
      </c>
      <c r="O25" s="277">
        <v>521211</v>
      </c>
      <c r="P25" s="277" t="s">
        <v>4698</v>
      </c>
      <c r="Q25" s="278">
        <v>20830000</v>
      </c>
      <c r="R25" s="292">
        <f>SUM('PER BULAN'!G49:I49)</f>
        <v>0</v>
      </c>
      <c r="S25" s="292">
        <f>SUM('PER BULAN'!J49:L49)</f>
        <v>0</v>
      </c>
      <c r="T25" s="292">
        <f>SUM('PER BULAN'!M49:O49)</f>
        <v>0</v>
      </c>
      <c r="U25" s="292">
        <f>SUM('PER BULAN'!P49:R49)</f>
        <v>0</v>
      </c>
      <c r="V25" s="292">
        <f>SUM('PER BULAN'!S49:U49)</f>
        <v>0</v>
      </c>
      <c r="W25" s="292">
        <f>SUM('PER BULAN'!V49:X49)</f>
        <v>0</v>
      </c>
      <c r="X25" s="292">
        <f>SUM('PER BULAN'!Y49:AA49)</f>
        <v>0</v>
      </c>
      <c r="Y25" s="292">
        <f>SUM('PER BULAN'!AB49:AD49)</f>
        <v>0</v>
      </c>
      <c r="Z25" s="292">
        <f>SUM('PER BULAN'!AE49:AG49)</f>
        <v>0</v>
      </c>
      <c r="AA25" s="292">
        <f>SUM('PER BULAN'!AH49:AJ49)</f>
        <v>0</v>
      </c>
      <c r="AB25" s="292">
        <f>SUM('PER BULAN'!AK49:AM49)</f>
        <v>0</v>
      </c>
      <c r="AC25" s="292">
        <f>SUM('PER BULAN'!AN49:AP49)</f>
        <v>0</v>
      </c>
      <c r="AD25" s="277" t="s">
        <v>530</v>
      </c>
      <c r="AE25" s="277" t="s">
        <v>535</v>
      </c>
      <c r="AF25" s="277" t="s">
        <v>536</v>
      </c>
      <c r="AG25" s="277" t="s">
        <v>4699</v>
      </c>
      <c r="AH25" s="277" t="s">
        <v>4700</v>
      </c>
      <c r="AI25" s="277">
        <f t="shared" si="0"/>
        <v>0</v>
      </c>
      <c r="AJ25" s="291">
        <f t="shared" si="1"/>
        <v>0</v>
      </c>
      <c r="AK25" s="277">
        <f t="shared" si="2"/>
        <v>20830000</v>
      </c>
      <c r="AL25" s="291">
        <f t="shared" si="3"/>
        <v>100</v>
      </c>
      <c r="AM25" s="277" t="s">
        <v>796</v>
      </c>
      <c r="AN25" s="277" t="s">
        <v>4730</v>
      </c>
      <c r="AO25" s="277" t="s">
        <v>4731</v>
      </c>
      <c r="AP25" s="277" t="s">
        <v>4732</v>
      </c>
      <c r="AQ25" s="292">
        <f>SUM('PER BULAN'!AX49)</f>
        <v>0</v>
      </c>
      <c r="AR25" s="292">
        <f>SUM('PER BULAN'!AY49)</f>
        <v>0</v>
      </c>
      <c r="AS25" s="292">
        <f>SUM('PER BULAN'!AZ49)</f>
        <v>0</v>
      </c>
      <c r="AT25" s="292">
        <f>SUM('PER BULAN'!BA49)</f>
        <v>0</v>
      </c>
      <c r="AU25" s="292">
        <f>SUM('PER BULAN'!BB49)</f>
        <v>0</v>
      </c>
      <c r="AV25" s="292">
        <f>SUM('PER BULAN'!BC49)</f>
        <v>0</v>
      </c>
      <c r="AW25" s="292">
        <f>SUM('PER BULAN'!BD49)</f>
        <v>0</v>
      </c>
      <c r="AX25" s="292">
        <f>SUM('PER BULAN'!BE49)</f>
        <v>0</v>
      </c>
    </row>
    <row r="26" spans="1:50" s="278" customFormat="1" x14ac:dyDescent="0.3">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4742</v>
      </c>
      <c r="O26" s="277">
        <v>521219</v>
      </c>
      <c r="P26" s="277" t="s">
        <v>4711</v>
      </c>
      <c r="Q26" s="278">
        <v>500000</v>
      </c>
      <c r="R26" s="292">
        <f>SUM('PER BULAN'!G50:I50)</f>
        <v>0</v>
      </c>
      <c r="S26" s="292">
        <f>SUM('PER BULAN'!J50:L50)</f>
        <v>0</v>
      </c>
      <c r="T26" s="292">
        <f>SUM('PER BULAN'!M50:O50)</f>
        <v>0</v>
      </c>
      <c r="U26" s="292">
        <f>SUM('PER BULAN'!P50:R50)</f>
        <v>0</v>
      </c>
      <c r="V26" s="292">
        <f>SUM('PER BULAN'!S50:U50)</f>
        <v>0</v>
      </c>
      <c r="W26" s="292">
        <f>SUM('PER BULAN'!V50:X50)</f>
        <v>0</v>
      </c>
      <c r="X26" s="292">
        <f>SUM('PER BULAN'!Y50:AA50)</f>
        <v>0</v>
      </c>
      <c r="Y26" s="292">
        <f>SUM('PER BULAN'!AB50:AD50)</f>
        <v>0</v>
      </c>
      <c r="Z26" s="292">
        <f>SUM('PER BULAN'!AE50:AG50)</f>
        <v>0</v>
      </c>
      <c r="AA26" s="292">
        <f>SUM('PER BULAN'!AH50:AJ50)</f>
        <v>0</v>
      </c>
      <c r="AB26" s="292">
        <f>SUM('PER BULAN'!AK50:AM50)</f>
        <v>0</v>
      </c>
      <c r="AC26" s="292">
        <f>SUM('PER BULAN'!AN50:AP50)</f>
        <v>0</v>
      </c>
      <c r="AD26" s="277" t="s">
        <v>530</v>
      </c>
      <c r="AE26" s="277" t="s">
        <v>535</v>
      </c>
      <c r="AF26" s="277" t="s">
        <v>536</v>
      </c>
      <c r="AG26" s="277" t="s">
        <v>4699</v>
      </c>
      <c r="AH26" s="277" t="s">
        <v>4700</v>
      </c>
      <c r="AI26" s="277">
        <f t="shared" si="0"/>
        <v>0</v>
      </c>
      <c r="AJ26" s="291">
        <f t="shared" si="1"/>
        <v>0</v>
      </c>
      <c r="AK26" s="277">
        <f t="shared" si="2"/>
        <v>500000</v>
      </c>
      <c r="AL26" s="291">
        <f t="shared" si="3"/>
        <v>100</v>
      </c>
      <c r="AM26" s="277" t="s">
        <v>801</v>
      </c>
      <c r="AN26" s="277" t="s">
        <v>4730</v>
      </c>
      <c r="AO26" s="277" t="s">
        <v>4733</v>
      </c>
      <c r="AP26" s="277" t="s">
        <v>4732</v>
      </c>
      <c r="AQ26" s="292">
        <f>SUM('PER BULAN'!AX50)</f>
        <v>0</v>
      </c>
      <c r="AR26" s="292">
        <f>SUM('PER BULAN'!AY50)</f>
        <v>0</v>
      </c>
      <c r="AS26" s="292">
        <f>SUM('PER BULAN'!AZ50)</f>
        <v>0</v>
      </c>
      <c r="AT26" s="292">
        <f>SUM('PER BULAN'!BA50)</f>
        <v>0</v>
      </c>
      <c r="AU26" s="292">
        <f>SUM('PER BULAN'!BB50)</f>
        <v>0</v>
      </c>
      <c r="AV26" s="292">
        <f>SUM('PER BULAN'!BC50)</f>
        <v>0</v>
      </c>
      <c r="AW26" s="292">
        <f>SUM('PER BULAN'!BD50)</f>
        <v>0</v>
      </c>
      <c r="AX26" s="292">
        <f>SUM('PER BULAN'!BE50)</f>
        <v>0</v>
      </c>
    </row>
    <row r="27" spans="1:50" s="278" customFormat="1" x14ac:dyDescent="0.3">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4742</v>
      </c>
      <c r="O27" s="277">
        <v>522151</v>
      </c>
      <c r="P27" s="277" t="s">
        <v>4701</v>
      </c>
      <c r="Q27" s="278">
        <v>7200000</v>
      </c>
      <c r="R27" s="292">
        <f>SUM('PER BULAN'!G51:I51)</f>
        <v>0</v>
      </c>
      <c r="S27" s="292">
        <f>SUM('PER BULAN'!J51:L51)</f>
        <v>0</v>
      </c>
      <c r="T27" s="292">
        <f>SUM('PER BULAN'!M51:O51)</f>
        <v>0</v>
      </c>
      <c r="U27" s="292">
        <f>SUM('PER BULAN'!P51:R51)</f>
        <v>0</v>
      </c>
      <c r="V27" s="292">
        <f>SUM('PER BULAN'!S51:U51)</f>
        <v>0</v>
      </c>
      <c r="W27" s="292">
        <f>SUM('PER BULAN'!V51:X51)</f>
        <v>0</v>
      </c>
      <c r="X27" s="292">
        <f>SUM('PER BULAN'!Y51:AA51)</f>
        <v>0</v>
      </c>
      <c r="Y27" s="292">
        <f>SUM('PER BULAN'!AB51:AD51)</f>
        <v>0</v>
      </c>
      <c r="Z27" s="292">
        <f>SUM('PER BULAN'!AE51:AG51)</f>
        <v>0</v>
      </c>
      <c r="AA27" s="292">
        <f>SUM('PER BULAN'!AH51:AJ51)</f>
        <v>0</v>
      </c>
      <c r="AB27" s="292">
        <f>SUM('PER BULAN'!AK51:AM51)</f>
        <v>0</v>
      </c>
      <c r="AC27" s="292">
        <f>SUM('PER BULAN'!AN51:AP51)</f>
        <v>0</v>
      </c>
      <c r="AD27" s="277" t="s">
        <v>530</v>
      </c>
      <c r="AE27" s="277" t="s">
        <v>535</v>
      </c>
      <c r="AF27" s="277" t="s">
        <v>536</v>
      </c>
      <c r="AG27" s="277" t="s">
        <v>4699</v>
      </c>
      <c r="AH27" s="277" t="s">
        <v>4700</v>
      </c>
      <c r="AI27" s="277">
        <f t="shared" si="0"/>
        <v>0</v>
      </c>
      <c r="AJ27" s="291">
        <f t="shared" si="1"/>
        <v>0</v>
      </c>
      <c r="AK27" s="277">
        <f t="shared" si="2"/>
        <v>7200000</v>
      </c>
      <c r="AL27" s="291">
        <f t="shared" si="3"/>
        <v>100</v>
      </c>
      <c r="AM27" s="277" t="s">
        <v>803</v>
      </c>
      <c r="AN27" s="277" t="s">
        <v>4730</v>
      </c>
      <c r="AO27" s="277" t="s">
        <v>4735</v>
      </c>
      <c r="AP27" s="277" t="s">
        <v>4732</v>
      </c>
      <c r="AQ27" s="292">
        <f>SUM('PER BULAN'!AX51)</f>
        <v>0</v>
      </c>
      <c r="AR27" s="292">
        <f>SUM('PER BULAN'!AY51)</f>
        <v>0</v>
      </c>
      <c r="AS27" s="292">
        <f>SUM('PER BULAN'!AZ51)</f>
        <v>0</v>
      </c>
      <c r="AT27" s="292">
        <f>SUM('PER BULAN'!BA51)</f>
        <v>0</v>
      </c>
      <c r="AU27" s="292">
        <f>SUM('PER BULAN'!BB51)</f>
        <v>0</v>
      </c>
      <c r="AV27" s="292">
        <f>SUM('PER BULAN'!BC51)</f>
        <v>0</v>
      </c>
      <c r="AW27" s="292">
        <f>SUM('PER BULAN'!BD51)</f>
        <v>0</v>
      </c>
      <c r="AX27" s="292">
        <f>SUM('PER BULAN'!BE51)</f>
        <v>0</v>
      </c>
    </row>
    <row r="28" spans="1:50" s="278" customFormat="1" x14ac:dyDescent="0.3">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4742</v>
      </c>
      <c r="O28" s="277" t="s">
        <v>513</v>
      </c>
      <c r="P28" s="277" t="s">
        <v>4702</v>
      </c>
      <c r="Q28" s="278">
        <v>23030000</v>
      </c>
      <c r="R28" s="292">
        <f>SUM('PER BULAN'!G52:I52)</f>
        <v>0</v>
      </c>
      <c r="S28" s="292">
        <f>SUM('PER BULAN'!J52:L52)</f>
        <v>0</v>
      </c>
      <c r="T28" s="292">
        <f>SUM('PER BULAN'!M52:O52)</f>
        <v>0</v>
      </c>
      <c r="U28" s="292">
        <f>SUM('PER BULAN'!P52:R52)</f>
        <v>0</v>
      </c>
      <c r="V28" s="292">
        <f>SUM('PER BULAN'!S52:U52)</f>
        <v>0</v>
      </c>
      <c r="W28" s="292">
        <f>SUM('PER BULAN'!V52:X52)</f>
        <v>0</v>
      </c>
      <c r="X28" s="292">
        <f>SUM('PER BULAN'!Y52:AA52)</f>
        <v>0</v>
      </c>
      <c r="Y28" s="292">
        <f>SUM('PER BULAN'!AB52:AD52)</f>
        <v>0</v>
      </c>
      <c r="Z28" s="292">
        <f>SUM('PER BULAN'!AE52:AG52)</f>
        <v>0</v>
      </c>
      <c r="AA28" s="292">
        <f>SUM('PER BULAN'!AH52:AJ52)</f>
        <v>0</v>
      </c>
      <c r="AB28" s="292">
        <f>SUM('PER BULAN'!AK52:AM52)</f>
        <v>0</v>
      </c>
      <c r="AC28" s="292">
        <f>SUM('PER BULAN'!AN52:AP52)</f>
        <v>0</v>
      </c>
      <c r="AD28" s="277" t="s">
        <v>530</v>
      </c>
      <c r="AE28" s="277" t="s">
        <v>535</v>
      </c>
      <c r="AF28" s="277" t="s">
        <v>536</v>
      </c>
      <c r="AG28" s="277" t="s">
        <v>4699</v>
      </c>
      <c r="AH28" s="277" t="s">
        <v>4700</v>
      </c>
      <c r="AI28" s="277">
        <f t="shared" si="0"/>
        <v>0</v>
      </c>
      <c r="AJ28" s="291">
        <f t="shared" si="1"/>
        <v>0</v>
      </c>
      <c r="AK28" s="277">
        <f t="shared" si="2"/>
        <v>23030000</v>
      </c>
      <c r="AL28" s="291">
        <f t="shared" si="3"/>
        <v>100</v>
      </c>
      <c r="AM28" s="277" t="s">
        <v>805</v>
      </c>
      <c r="AN28" s="277" t="s">
        <v>4730</v>
      </c>
      <c r="AO28" s="277" t="s">
        <v>4736</v>
      </c>
      <c r="AP28" s="277" t="s">
        <v>4732</v>
      </c>
      <c r="AQ28" s="292">
        <f>SUM('PER BULAN'!AX52)</f>
        <v>0</v>
      </c>
      <c r="AR28" s="292">
        <f>SUM('PER BULAN'!AY52)</f>
        <v>0</v>
      </c>
      <c r="AS28" s="292">
        <f>SUM('PER BULAN'!AZ52)</f>
        <v>0</v>
      </c>
      <c r="AT28" s="292">
        <f>SUM('PER BULAN'!BA52)</f>
        <v>0</v>
      </c>
      <c r="AU28" s="292">
        <f>SUM('PER BULAN'!BB52)</f>
        <v>0</v>
      </c>
      <c r="AV28" s="292">
        <f>SUM('PER BULAN'!BC52)</f>
        <v>0</v>
      </c>
      <c r="AW28" s="292">
        <f>SUM('PER BULAN'!BD52)</f>
        <v>0</v>
      </c>
      <c r="AX28" s="292">
        <f>SUM('PER BULAN'!BE52)</f>
        <v>0</v>
      </c>
    </row>
    <row r="29" spans="1:50" s="278" customFormat="1" x14ac:dyDescent="0.3">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278">
        <v>13900000</v>
      </c>
      <c r="R29" s="292">
        <f>SUM('PER BULAN'!G55:I55)</f>
        <v>0</v>
      </c>
      <c r="S29" s="292">
        <f>SUM('PER BULAN'!J55:L55)</f>
        <v>0</v>
      </c>
      <c r="T29" s="292">
        <f>SUM('PER BULAN'!M55:O55)</f>
        <v>7990750</v>
      </c>
      <c r="U29" s="292">
        <f>SUM('PER BULAN'!P55:R55)</f>
        <v>0</v>
      </c>
      <c r="V29" s="292">
        <f>SUM('PER BULAN'!S55:U55)</f>
        <v>1500000</v>
      </c>
      <c r="W29" s="292">
        <f>SUM('PER BULAN'!V55:X55)</f>
        <v>0</v>
      </c>
      <c r="X29" s="292">
        <f>SUM('PER BULAN'!Y55:AA55)</f>
        <v>0</v>
      </c>
      <c r="Y29" s="292">
        <f>SUM('PER BULAN'!AB55:AD55)</f>
        <v>0</v>
      </c>
      <c r="Z29" s="292">
        <f>SUM('PER BULAN'!AE55:AG55)</f>
        <v>0</v>
      </c>
      <c r="AA29" s="292">
        <f>SUM('PER BULAN'!AH55:AJ55)</f>
        <v>0</v>
      </c>
      <c r="AB29" s="292">
        <f>SUM('PER BULAN'!AK55:AM55)</f>
        <v>0</v>
      </c>
      <c r="AC29" s="292">
        <f>SUM('PER BULAN'!AN55:AP55)</f>
        <v>0</v>
      </c>
      <c r="AD29" s="277" t="s">
        <v>530</v>
      </c>
      <c r="AE29" s="277" t="s">
        <v>535</v>
      </c>
      <c r="AF29" s="277" t="s">
        <v>538</v>
      </c>
      <c r="AG29" s="277" t="s">
        <v>4699</v>
      </c>
      <c r="AH29" s="277" t="s">
        <v>4700</v>
      </c>
      <c r="AI29" s="277">
        <f t="shared" si="0"/>
        <v>9490750</v>
      </c>
      <c r="AJ29" s="291">
        <f t="shared" si="1"/>
        <v>68.27877697841727</v>
      </c>
      <c r="AK29" s="277">
        <f t="shared" si="2"/>
        <v>4409250</v>
      </c>
      <c r="AL29" s="291">
        <f t="shared" si="3"/>
        <v>31.721223021582734</v>
      </c>
      <c r="AM29" s="277" t="s">
        <v>4823</v>
      </c>
      <c r="AN29" s="277" t="s">
        <v>4730</v>
      </c>
      <c r="AO29" s="277" t="s">
        <v>4731</v>
      </c>
      <c r="AP29" s="277" t="s">
        <v>4732</v>
      </c>
      <c r="AQ29" s="292">
        <f>SUM('PER BULAN'!AX55)</f>
        <v>0</v>
      </c>
      <c r="AR29" s="292">
        <f>SUM('PER BULAN'!AY55)</f>
        <v>5497250</v>
      </c>
      <c r="AS29" s="292">
        <f>SUM('PER BULAN'!AZ55)</f>
        <v>2493500</v>
      </c>
      <c r="AT29" s="292">
        <f>SUM('PER BULAN'!BA55)</f>
        <v>0</v>
      </c>
      <c r="AU29" s="292">
        <f>SUM('PER BULAN'!BB55)</f>
        <v>1500000</v>
      </c>
      <c r="AV29" s="292">
        <f>SUM('PER BULAN'!BC55)</f>
        <v>0</v>
      </c>
      <c r="AW29" s="292">
        <f>SUM('PER BULAN'!BD55)</f>
        <v>0</v>
      </c>
      <c r="AX29" s="292">
        <f>SUM('PER BULAN'!BE55)</f>
        <v>0</v>
      </c>
    </row>
    <row r="30" spans="1:50" s="278" customFormat="1" x14ac:dyDescent="0.3">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278">
        <v>8784000</v>
      </c>
      <c r="R30" s="292">
        <f>SUM('PER BULAN'!G56:I56)</f>
        <v>0</v>
      </c>
      <c r="S30" s="292">
        <f>SUM('PER BULAN'!J56:L56)</f>
        <v>0</v>
      </c>
      <c r="T30" s="292">
        <f>SUM('PER BULAN'!M56:O56)</f>
        <v>0</v>
      </c>
      <c r="U30" s="292">
        <f>SUM('PER BULAN'!P56:R56)</f>
        <v>0</v>
      </c>
      <c r="V30" s="292">
        <f>SUM('PER BULAN'!S56:U56)</f>
        <v>0</v>
      </c>
      <c r="W30" s="292">
        <f>SUM('PER BULAN'!V56:X56)</f>
        <v>0</v>
      </c>
      <c r="X30" s="292">
        <f>SUM('PER BULAN'!Y56:AA56)</f>
        <v>0</v>
      </c>
      <c r="Y30" s="292">
        <f>SUM('PER BULAN'!AB56:AD56)</f>
        <v>0</v>
      </c>
      <c r="Z30" s="292">
        <f>SUM('PER BULAN'!AE56:AG56)</f>
        <v>0</v>
      </c>
      <c r="AA30" s="292">
        <f>SUM('PER BULAN'!AH56:AJ56)</f>
        <v>0</v>
      </c>
      <c r="AB30" s="292">
        <f>SUM('PER BULAN'!AK56:AM56)</f>
        <v>0</v>
      </c>
      <c r="AC30" s="292">
        <f>SUM('PER BULAN'!AN56:AP56)</f>
        <v>0</v>
      </c>
      <c r="AD30" s="277" t="s">
        <v>530</v>
      </c>
      <c r="AE30" s="277" t="s">
        <v>535</v>
      </c>
      <c r="AF30" s="277" t="s">
        <v>538</v>
      </c>
      <c r="AG30" s="277" t="s">
        <v>4699</v>
      </c>
      <c r="AH30" s="277" t="s">
        <v>4700</v>
      </c>
      <c r="AI30" s="277">
        <f t="shared" si="0"/>
        <v>0</v>
      </c>
      <c r="AJ30" s="291">
        <f t="shared" si="1"/>
        <v>0</v>
      </c>
      <c r="AK30" s="277">
        <f t="shared" si="2"/>
        <v>8784000</v>
      </c>
      <c r="AL30" s="291">
        <f t="shared" si="3"/>
        <v>100</v>
      </c>
      <c r="AM30" s="277" t="s">
        <v>4824</v>
      </c>
      <c r="AN30" s="277" t="s">
        <v>4730</v>
      </c>
      <c r="AO30" s="277" t="s">
        <v>4736</v>
      </c>
      <c r="AP30" s="277" t="s">
        <v>4732</v>
      </c>
      <c r="AQ30" s="292">
        <f>SUM('PER BULAN'!AX56)</f>
        <v>0</v>
      </c>
      <c r="AR30" s="292">
        <f>SUM('PER BULAN'!AY56)</f>
        <v>0</v>
      </c>
      <c r="AS30" s="292">
        <f>SUM('PER BULAN'!AZ56)</f>
        <v>0</v>
      </c>
      <c r="AT30" s="292">
        <f>SUM('PER BULAN'!BA56)</f>
        <v>0</v>
      </c>
      <c r="AU30" s="292">
        <f>SUM('PER BULAN'!BB56)</f>
        <v>0</v>
      </c>
      <c r="AV30" s="292">
        <f>SUM('PER BULAN'!BC56)</f>
        <v>0</v>
      </c>
      <c r="AW30" s="292">
        <f>SUM('PER BULAN'!BD56)</f>
        <v>0</v>
      </c>
      <c r="AX30" s="292">
        <f>SUM('PER BULAN'!BE56)</f>
        <v>0</v>
      </c>
    </row>
    <row r="31" spans="1:50" s="278" customFormat="1" x14ac:dyDescent="0.3">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278">
        <v>10000000</v>
      </c>
      <c r="R31" s="292">
        <f>SUM('PER BULAN'!G57:I57)</f>
        <v>0</v>
      </c>
      <c r="S31" s="292">
        <f>SUM('PER BULAN'!J57:L57)</f>
        <v>0</v>
      </c>
      <c r="T31" s="292">
        <f>SUM('PER BULAN'!M57:O57)</f>
        <v>0</v>
      </c>
      <c r="U31" s="292">
        <f>SUM('PER BULAN'!P57:R57)</f>
        <v>7200000</v>
      </c>
      <c r="V31" s="292">
        <f>SUM('PER BULAN'!S57:U57)</f>
        <v>0</v>
      </c>
      <c r="W31" s="292">
        <f>SUM('PER BULAN'!V57:X57)</f>
        <v>0</v>
      </c>
      <c r="X31" s="292">
        <f>SUM('PER BULAN'!Y57:AA57)</f>
        <v>0</v>
      </c>
      <c r="Y31" s="292">
        <f>SUM('PER BULAN'!AB57:AD57)</f>
        <v>0</v>
      </c>
      <c r="Z31" s="292">
        <f>SUM('PER BULAN'!AE57:AG57)</f>
        <v>0</v>
      </c>
      <c r="AA31" s="292">
        <f>SUM('PER BULAN'!AH57:AJ57)</f>
        <v>0</v>
      </c>
      <c r="AB31" s="292">
        <f>SUM('PER BULAN'!AK57:AM57)</f>
        <v>0</v>
      </c>
      <c r="AC31" s="292">
        <f>SUM('PER BULAN'!AN57:AP57)</f>
        <v>0</v>
      </c>
      <c r="AD31" s="277" t="s">
        <v>530</v>
      </c>
      <c r="AE31" s="277" t="s">
        <v>535</v>
      </c>
      <c r="AF31" s="277" t="s">
        <v>538</v>
      </c>
      <c r="AG31" s="277" t="s">
        <v>4699</v>
      </c>
      <c r="AH31" s="277" t="s">
        <v>4700</v>
      </c>
      <c r="AI31" s="277">
        <f t="shared" si="0"/>
        <v>7200000</v>
      </c>
      <c r="AJ31" s="291">
        <f t="shared" si="1"/>
        <v>72</v>
      </c>
      <c r="AK31" s="277">
        <f t="shared" si="2"/>
        <v>2800000</v>
      </c>
      <c r="AL31" s="291">
        <f t="shared" si="3"/>
        <v>28.000000000000004</v>
      </c>
      <c r="AM31" s="277" t="s">
        <v>5260</v>
      </c>
      <c r="AN31" s="277" t="s">
        <v>4730</v>
      </c>
      <c r="AO31" s="277" t="s">
        <v>4731</v>
      </c>
      <c r="AP31" s="277" t="s">
        <v>4732</v>
      </c>
      <c r="AQ31" s="292">
        <f>SUM('PER BULAN'!AX57)</f>
        <v>0</v>
      </c>
      <c r="AR31" s="292">
        <f>SUM('PER BULAN'!AY57)</f>
        <v>0</v>
      </c>
      <c r="AS31" s="292">
        <f>SUM('PER BULAN'!AZ57)</f>
        <v>0</v>
      </c>
      <c r="AT31" s="292">
        <f>SUM('PER BULAN'!BA57)</f>
        <v>0</v>
      </c>
      <c r="AU31" s="292">
        <f>SUM('PER BULAN'!BB57)</f>
        <v>0</v>
      </c>
      <c r="AV31" s="292">
        <f>SUM('PER BULAN'!BC57)</f>
        <v>0</v>
      </c>
      <c r="AW31" s="292">
        <f>SUM('PER BULAN'!BD57)</f>
        <v>0</v>
      </c>
      <c r="AX31" s="292">
        <f>SUM('PER BULAN'!BE57)</f>
        <v>0</v>
      </c>
    </row>
    <row r="32" spans="1:50" s="278" customFormat="1" x14ac:dyDescent="0.3">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278">
        <v>5000000</v>
      </c>
      <c r="R32" s="292">
        <f>SUM('PER BULAN'!G58:I58)</f>
        <v>0</v>
      </c>
      <c r="S32" s="292">
        <f>SUM('PER BULAN'!J58:L58)</f>
        <v>0</v>
      </c>
      <c r="T32" s="292">
        <f>SUM('PER BULAN'!M58:O58)</f>
        <v>0</v>
      </c>
      <c r="U32" s="292">
        <f>SUM('PER BULAN'!P58:R58)</f>
        <v>0</v>
      </c>
      <c r="V32" s="292">
        <f>SUM('PER BULAN'!S58:U58)</f>
        <v>0</v>
      </c>
      <c r="W32" s="292">
        <f>SUM('PER BULAN'!V58:X58)</f>
        <v>0</v>
      </c>
      <c r="X32" s="292">
        <f>SUM('PER BULAN'!Y58:AA58)</f>
        <v>0</v>
      </c>
      <c r="Y32" s="292">
        <f>SUM('PER BULAN'!AB58:AD58)</f>
        <v>0</v>
      </c>
      <c r="Z32" s="292">
        <f>SUM('PER BULAN'!AE58:AG58)</f>
        <v>0</v>
      </c>
      <c r="AA32" s="292">
        <f>SUM('PER BULAN'!AH58:AJ58)</f>
        <v>0</v>
      </c>
      <c r="AB32" s="292">
        <f>SUM('PER BULAN'!AK58:AM58)</f>
        <v>0</v>
      </c>
      <c r="AC32" s="292">
        <f>SUM('PER BULAN'!AN58:AP58)</f>
        <v>0</v>
      </c>
      <c r="AD32" s="277" t="s">
        <v>530</v>
      </c>
      <c r="AE32" s="277" t="s">
        <v>535</v>
      </c>
      <c r="AF32" s="277" t="s">
        <v>538</v>
      </c>
      <c r="AG32" s="277" t="s">
        <v>4699</v>
      </c>
      <c r="AH32" s="277" t="s">
        <v>4700</v>
      </c>
      <c r="AI32" s="277">
        <f t="shared" si="0"/>
        <v>0</v>
      </c>
      <c r="AJ32" s="291">
        <f t="shared" si="1"/>
        <v>0</v>
      </c>
      <c r="AK32" s="277">
        <f t="shared" si="2"/>
        <v>5000000</v>
      </c>
      <c r="AL32" s="291">
        <f t="shared" si="3"/>
        <v>100</v>
      </c>
      <c r="AM32" s="277" t="s">
        <v>4822</v>
      </c>
      <c r="AN32" s="277" t="s">
        <v>4734</v>
      </c>
      <c r="AO32" s="277" t="s">
        <v>4735</v>
      </c>
      <c r="AP32" s="277" t="s">
        <v>4732</v>
      </c>
      <c r="AQ32" s="292">
        <f>SUM('PER BULAN'!AX58)</f>
        <v>0</v>
      </c>
      <c r="AR32" s="292">
        <f>SUM('PER BULAN'!AY58)</f>
        <v>0</v>
      </c>
      <c r="AS32" s="292">
        <f>SUM('PER BULAN'!AZ58)</f>
        <v>0</v>
      </c>
      <c r="AT32" s="292">
        <f>SUM('PER BULAN'!BA58)</f>
        <v>0</v>
      </c>
      <c r="AU32" s="292">
        <f>SUM('PER BULAN'!BB58)</f>
        <v>0</v>
      </c>
      <c r="AV32" s="292">
        <f>SUM('PER BULAN'!BC58)</f>
        <v>0</v>
      </c>
      <c r="AW32" s="292">
        <f>SUM('PER BULAN'!BD58)</f>
        <v>0</v>
      </c>
      <c r="AX32" s="292">
        <f>SUM('PER BULAN'!BE58)</f>
        <v>0</v>
      </c>
    </row>
    <row r="33" spans="1:50" s="278" customFormat="1" x14ac:dyDescent="0.3">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278">
        <v>97416000</v>
      </c>
      <c r="R33" s="292">
        <f>SUM('PER BULAN'!G59:I59)</f>
        <v>0</v>
      </c>
      <c r="S33" s="292">
        <f>SUM('PER BULAN'!J59:L59)</f>
        <v>0</v>
      </c>
      <c r="T33" s="292">
        <f>SUM('PER BULAN'!M59:O59)</f>
        <v>28850000</v>
      </c>
      <c r="U33" s="292">
        <f>SUM('PER BULAN'!P59:R59)</f>
        <v>6320000</v>
      </c>
      <c r="V33" s="292">
        <f>SUM('PER BULAN'!S59:U59)</f>
        <v>0</v>
      </c>
      <c r="W33" s="292">
        <f>SUM('PER BULAN'!V59:X59)</f>
        <v>22748610</v>
      </c>
      <c r="X33" s="292">
        <f>SUM('PER BULAN'!Y59:AA59)</f>
        <v>0</v>
      </c>
      <c r="Y33" s="292">
        <f>SUM('PER BULAN'!AB59:AD59)</f>
        <v>0</v>
      </c>
      <c r="Z33" s="292">
        <f>SUM('PER BULAN'!AE59:AG59)</f>
        <v>0</v>
      </c>
      <c r="AA33" s="292">
        <f>SUM('PER BULAN'!AH59:AJ59)</f>
        <v>0</v>
      </c>
      <c r="AB33" s="292">
        <f>SUM('PER BULAN'!AK59:AM59)</f>
        <v>0</v>
      </c>
      <c r="AC33" s="292">
        <f>SUM('PER BULAN'!AN59:AP59)</f>
        <v>0</v>
      </c>
      <c r="AD33" s="277" t="s">
        <v>530</v>
      </c>
      <c r="AE33" s="277" t="s">
        <v>535</v>
      </c>
      <c r="AF33" s="277" t="s">
        <v>538</v>
      </c>
      <c r="AG33" s="277" t="s">
        <v>4699</v>
      </c>
      <c r="AH33" s="277" t="s">
        <v>4700</v>
      </c>
      <c r="AI33" s="277">
        <f t="shared" si="0"/>
        <v>57918610</v>
      </c>
      <c r="AJ33" s="291">
        <f t="shared" si="1"/>
        <v>59.454925268949651</v>
      </c>
      <c r="AK33" s="277">
        <f t="shared" si="2"/>
        <v>39497390</v>
      </c>
      <c r="AL33" s="291">
        <f t="shared" si="3"/>
        <v>40.545074731050342</v>
      </c>
      <c r="AM33" s="277" t="s">
        <v>4825</v>
      </c>
      <c r="AN33" s="277" t="s">
        <v>4730</v>
      </c>
      <c r="AO33" s="277" t="s">
        <v>4736</v>
      </c>
      <c r="AP33" s="277" t="s">
        <v>4732</v>
      </c>
      <c r="AQ33" s="292">
        <f>SUM('PER BULAN'!AX59)</f>
        <v>0</v>
      </c>
      <c r="AR33" s="292">
        <f>SUM('PER BULAN'!AY59)</f>
        <v>17010000</v>
      </c>
      <c r="AS33" s="292">
        <f>SUM('PER BULAN'!AZ59)</f>
        <v>11840000</v>
      </c>
      <c r="AT33" s="292">
        <f>SUM('PER BULAN'!BA59)</f>
        <v>0</v>
      </c>
      <c r="AU33" s="292">
        <f>SUM('PER BULAN'!BB59)</f>
        <v>0</v>
      </c>
      <c r="AV33" s="292">
        <f>SUM('PER BULAN'!BC59)</f>
        <v>0</v>
      </c>
      <c r="AW33" s="292">
        <f>SUM('PER BULAN'!BD59)</f>
        <v>0</v>
      </c>
      <c r="AX33" s="292">
        <f>SUM('PER BULAN'!BE59)</f>
        <v>0</v>
      </c>
    </row>
    <row r="34" spans="1:50" s="278" customFormat="1" x14ac:dyDescent="0.3">
      <c r="A34" s="277" t="s">
        <v>4693</v>
      </c>
      <c r="B34" s="277" t="s">
        <v>4694</v>
      </c>
      <c r="C34" s="277" t="s">
        <v>4720</v>
      </c>
      <c r="D34" s="277" t="s">
        <v>4721</v>
      </c>
      <c r="E34" s="277" t="s">
        <v>197</v>
      </c>
      <c r="F34" s="277" t="s">
        <v>4722</v>
      </c>
      <c r="G34" s="277" t="s">
        <v>4743</v>
      </c>
      <c r="H34" s="277" t="s">
        <v>4744</v>
      </c>
      <c r="I34" s="277" t="s">
        <v>501</v>
      </c>
      <c r="J34" s="277" t="s">
        <v>4745</v>
      </c>
      <c r="K34" s="277">
        <v>301</v>
      </c>
      <c r="L34" s="277" t="s">
        <v>4747</v>
      </c>
      <c r="M34" s="277" t="s">
        <v>8</v>
      </c>
      <c r="N34" s="277" t="s">
        <v>4746</v>
      </c>
      <c r="O34" s="277">
        <v>532111</v>
      </c>
      <c r="P34" s="277" t="s">
        <v>4705</v>
      </c>
      <c r="Q34" s="278">
        <v>115000000</v>
      </c>
      <c r="R34" s="292">
        <f>SUM('PER BULAN'!G66:I66)</f>
        <v>0</v>
      </c>
      <c r="S34" s="292">
        <f>SUM('PER BULAN'!J66:L66)</f>
        <v>0</v>
      </c>
      <c r="T34" s="292">
        <f>SUM('PER BULAN'!M66:O66)</f>
        <v>0</v>
      </c>
      <c r="U34" s="292">
        <f>SUM('PER BULAN'!P66:R66)</f>
        <v>0</v>
      </c>
      <c r="V34" s="292">
        <f>SUM('PER BULAN'!S66:U66)</f>
        <v>114200000</v>
      </c>
      <c r="W34" s="292">
        <f>SUM('PER BULAN'!V66:X66)</f>
        <v>0</v>
      </c>
      <c r="X34" s="292">
        <f>SUM('PER BULAN'!Y66:AA66)</f>
        <v>0</v>
      </c>
      <c r="Y34" s="292">
        <f>SUM('PER BULAN'!AB66:AD66)</f>
        <v>0</v>
      </c>
      <c r="Z34" s="292">
        <f>SUM('PER BULAN'!AE66:AG66)</f>
        <v>0</v>
      </c>
      <c r="AA34" s="292">
        <f>SUM('PER BULAN'!AH66:AJ66)</f>
        <v>0</v>
      </c>
      <c r="AB34" s="292">
        <f>SUM('PER BULAN'!AK66:AM66)</f>
        <v>0</v>
      </c>
      <c r="AC34" s="292">
        <f>SUM('PER BULAN'!AN66:AP66)</f>
        <v>0</v>
      </c>
      <c r="AD34" s="277" t="s">
        <v>530</v>
      </c>
      <c r="AE34" s="277" t="s">
        <v>576</v>
      </c>
      <c r="AF34" s="277" t="s">
        <v>560</v>
      </c>
      <c r="AG34" s="277">
        <v>53</v>
      </c>
      <c r="AH34" s="277" t="s">
        <v>4700</v>
      </c>
      <c r="AI34" s="277">
        <f t="shared" si="0"/>
        <v>114200000</v>
      </c>
      <c r="AJ34" s="291">
        <f t="shared" si="1"/>
        <v>99.304347826086953</v>
      </c>
      <c r="AK34" s="277">
        <f t="shared" si="2"/>
        <v>800000</v>
      </c>
      <c r="AL34" s="291">
        <f t="shared" si="3"/>
        <v>0.69565217391304346</v>
      </c>
      <c r="AM34" s="277" t="s">
        <v>837</v>
      </c>
      <c r="AN34" s="277" t="s">
        <v>4730</v>
      </c>
      <c r="AO34" s="277" t="s">
        <v>4814</v>
      </c>
      <c r="AP34" s="277" t="s">
        <v>4732</v>
      </c>
      <c r="AQ34" s="292">
        <f>SUM('PER BULAN'!AX66)</f>
        <v>0</v>
      </c>
      <c r="AR34" s="292">
        <f>SUM('PER BULAN'!AY66)</f>
        <v>0</v>
      </c>
      <c r="AS34" s="292">
        <f>SUM('PER BULAN'!AZ66)</f>
        <v>0</v>
      </c>
      <c r="AT34" s="292">
        <f>SUM('PER BULAN'!BA66)</f>
        <v>0</v>
      </c>
      <c r="AU34" s="292">
        <f>SUM('PER BULAN'!BB66)</f>
        <v>0</v>
      </c>
      <c r="AV34" s="292">
        <f>SUM('PER BULAN'!BC66)</f>
        <v>0</v>
      </c>
      <c r="AW34" s="292">
        <f>SUM('PER BULAN'!BD66)</f>
        <v>0</v>
      </c>
      <c r="AX34" s="292">
        <f>SUM('PER BULAN'!BE66)</f>
        <v>0</v>
      </c>
    </row>
    <row r="35" spans="1:50" s="278" customFormat="1" x14ac:dyDescent="0.3">
      <c r="A35" s="277" t="s">
        <v>4693</v>
      </c>
      <c r="B35" s="277" t="s">
        <v>4694</v>
      </c>
      <c r="C35" s="277" t="s">
        <v>4720</v>
      </c>
      <c r="D35" s="277" t="s">
        <v>4721</v>
      </c>
      <c r="E35" s="277" t="s">
        <v>197</v>
      </c>
      <c r="F35" s="277" t="s">
        <v>4722</v>
      </c>
      <c r="G35" s="277" t="s">
        <v>4748</v>
      </c>
      <c r="H35" s="277" t="s">
        <v>4749</v>
      </c>
      <c r="I35" s="277">
        <v>958</v>
      </c>
      <c r="J35" s="277" t="s">
        <v>4752</v>
      </c>
      <c r="K35" s="277">
        <v>311</v>
      </c>
      <c r="L35" s="277" t="s">
        <v>4751</v>
      </c>
      <c r="M35" s="277" t="s">
        <v>8</v>
      </c>
      <c r="N35" s="277" t="s">
        <v>4750</v>
      </c>
      <c r="O35" s="277">
        <v>521211</v>
      </c>
      <c r="P35" s="277" t="s">
        <v>4698</v>
      </c>
      <c r="Q35" s="278">
        <v>14400000</v>
      </c>
      <c r="R35" s="292">
        <f>SUM('PER BULAN'!G71:I71)</f>
        <v>0</v>
      </c>
      <c r="S35" s="292">
        <f>SUM('PER BULAN'!J71:L71)</f>
        <v>0</v>
      </c>
      <c r="T35" s="292">
        <f>SUM('PER BULAN'!M71:O71)</f>
        <v>2876000</v>
      </c>
      <c r="U35" s="292">
        <f>SUM('PER BULAN'!P71:R71)</f>
        <v>0</v>
      </c>
      <c r="V35" s="292">
        <f>SUM('PER BULAN'!S71:U71)</f>
        <v>3071500</v>
      </c>
      <c r="W35" s="292">
        <f>SUM('PER BULAN'!V71:X71)</f>
        <v>0</v>
      </c>
      <c r="X35" s="292">
        <f>SUM('PER BULAN'!Y71:AA71)</f>
        <v>0</v>
      </c>
      <c r="Y35" s="292">
        <f>SUM('PER BULAN'!AB71:AD71)</f>
        <v>0</v>
      </c>
      <c r="Z35" s="292">
        <f>SUM('PER BULAN'!AE71:AG71)</f>
        <v>0</v>
      </c>
      <c r="AA35" s="292">
        <f>SUM('PER BULAN'!AH71:AJ71)</f>
        <v>0</v>
      </c>
      <c r="AB35" s="292">
        <f>SUM('PER BULAN'!AK71:AM71)</f>
        <v>0</v>
      </c>
      <c r="AC35" s="292">
        <f>SUM('PER BULAN'!AN71:AP71)</f>
        <v>0</v>
      </c>
      <c r="AD35" s="277" t="s">
        <v>530</v>
      </c>
      <c r="AE35" s="277" t="s">
        <v>542</v>
      </c>
      <c r="AF35" s="277" t="s">
        <v>543</v>
      </c>
      <c r="AG35" s="277" t="s">
        <v>4699</v>
      </c>
      <c r="AH35" s="277" t="s">
        <v>4700</v>
      </c>
      <c r="AI35" s="277">
        <f t="shared" si="0"/>
        <v>5947500</v>
      </c>
      <c r="AJ35" s="291">
        <f t="shared" si="1"/>
        <v>41.302083333333336</v>
      </c>
      <c r="AK35" s="277">
        <f t="shared" si="2"/>
        <v>8452500</v>
      </c>
      <c r="AL35" s="291">
        <f t="shared" si="3"/>
        <v>58.697916666666671</v>
      </c>
      <c r="AM35" s="277" t="s">
        <v>1188</v>
      </c>
      <c r="AN35" s="277" t="s">
        <v>4730</v>
      </c>
      <c r="AO35" s="277" t="s">
        <v>4731</v>
      </c>
      <c r="AP35" s="277" t="s">
        <v>4732</v>
      </c>
      <c r="AQ35" s="292">
        <f>SUM('PER BULAN'!AX71)</f>
        <v>0</v>
      </c>
      <c r="AR35" s="292">
        <f>SUM('PER BULAN'!AY71)</f>
        <v>986000</v>
      </c>
      <c r="AS35" s="292">
        <f>SUM('PER BULAN'!AZ71)</f>
        <v>1890000</v>
      </c>
      <c r="AT35" s="292">
        <f>SUM('PER BULAN'!BA71)</f>
        <v>0</v>
      </c>
      <c r="AU35" s="292">
        <f>SUM('PER BULAN'!BB71)</f>
        <v>0</v>
      </c>
      <c r="AV35" s="292">
        <f>SUM('PER BULAN'!BC71)</f>
        <v>0</v>
      </c>
      <c r="AW35" s="292">
        <f>SUM('PER BULAN'!BD71)</f>
        <v>3071500</v>
      </c>
      <c r="AX35" s="292">
        <f>SUM('PER BULAN'!BE71)</f>
        <v>0</v>
      </c>
    </row>
    <row r="36" spans="1:50" s="278" customFormat="1" x14ac:dyDescent="0.3">
      <c r="A36" s="277" t="s">
        <v>4693</v>
      </c>
      <c r="B36" s="277" t="s">
        <v>4694</v>
      </c>
      <c r="C36" s="277" t="s">
        <v>4720</v>
      </c>
      <c r="D36" s="277" t="s">
        <v>4721</v>
      </c>
      <c r="E36" s="277" t="s">
        <v>197</v>
      </c>
      <c r="F36" s="277" t="s">
        <v>4722</v>
      </c>
      <c r="G36" s="277" t="s">
        <v>4748</v>
      </c>
      <c r="H36" s="277" t="s">
        <v>4749</v>
      </c>
      <c r="I36" s="277">
        <v>958</v>
      </c>
      <c r="J36" s="277" t="s">
        <v>4752</v>
      </c>
      <c r="K36" s="277">
        <v>311</v>
      </c>
      <c r="L36" s="277" t="s">
        <v>4751</v>
      </c>
      <c r="M36" s="277" t="s">
        <v>8</v>
      </c>
      <c r="N36" s="277" t="s">
        <v>4750</v>
      </c>
      <c r="O36" s="277">
        <v>521219</v>
      </c>
      <c r="P36" s="277" t="s">
        <v>4711</v>
      </c>
      <c r="Q36" s="278">
        <v>8000000</v>
      </c>
      <c r="R36" s="292">
        <f>SUM('PER BULAN'!G72:I72)</f>
        <v>0</v>
      </c>
      <c r="S36" s="292">
        <f>SUM('PER BULAN'!J72:L72)</f>
        <v>0</v>
      </c>
      <c r="T36" s="292">
        <f>SUM('PER BULAN'!M72:O72)</f>
        <v>0</v>
      </c>
      <c r="U36" s="292">
        <f>SUM('PER BULAN'!P72:R72)</f>
        <v>0</v>
      </c>
      <c r="V36" s="292">
        <f>SUM('PER BULAN'!S72:U72)</f>
        <v>0</v>
      </c>
      <c r="W36" s="292">
        <f>SUM('PER BULAN'!V72:X72)</f>
        <v>0</v>
      </c>
      <c r="X36" s="292">
        <f>SUM('PER BULAN'!Y72:AA72)</f>
        <v>0</v>
      </c>
      <c r="Y36" s="292">
        <f>SUM('PER BULAN'!AB72:AD72)</f>
        <v>0</v>
      </c>
      <c r="Z36" s="292">
        <f>SUM('PER BULAN'!AE72:AG72)</f>
        <v>0</v>
      </c>
      <c r="AA36" s="292">
        <f>SUM('PER BULAN'!AH72:AJ72)</f>
        <v>0</v>
      </c>
      <c r="AB36" s="292">
        <f>SUM('PER BULAN'!AK72:AM72)</f>
        <v>0</v>
      </c>
      <c r="AC36" s="292">
        <f>SUM('PER BULAN'!AN72:AP72)</f>
        <v>0</v>
      </c>
      <c r="AD36" s="277" t="s">
        <v>530</v>
      </c>
      <c r="AE36" s="277" t="s">
        <v>542</v>
      </c>
      <c r="AF36" s="277" t="s">
        <v>543</v>
      </c>
      <c r="AG36" s="277" t="s">
        <v>4699</v>
      </c>
      <c r="AH36" s="277" t="s">
        <v>4700</v>
      </c>
      <c r="AI36" s="277">
        <f t="shared" si="0"/>
        <v>0</v>
      </c>
      <c r="AJ36" s="291">
        <f t="shared" si="1"/>
        <v>0</v>
      </c>
      <c r="AK36" s="277">
        <f t="shared" si="2"/>
        <v>8000000</v>
      </c>
      <c r="AL36" s="291">
        <f t="shared" si="3"/>
        <v>100</v>
      </c>
      <c r="AM36" s="277" t="s">
        <v>1191</v>
      </c>
      <c r="AN36" s="277" t="s">
        <v>4730</v>
      </c>
      <c r="AO36" s="277" t="s">
        <v>4733</v>
      </c>
      <c r="AP36" s="277" t="s">
        <v>4732</v>
      </c>
      <c r="AQ36" s="292">
        <f>SUM('PER BULAN'!AX72)</f>
        <v>0</v>
      </c>
      <c r="AR36" s="292">
        <f>SUM('PER BULAN'!AY72)</f>
        <v>0</v>
      </c>
      <c r="AS36" s="292">
        <f>SUM('PER BULAN'!AZ72)</f>
        <v>0</v>
      </c>
      <c r="AT36" s="292">
        <f>SUM('PER BULAN'!BA72)</f>
        <v>0</v>
      </c>
      <c r="AU36" s="292">
        <f>SUM('PER BULAN'!BB72)</f>
        <v>0</v>
      </c>
      <c r="AV36" s="292">
        <f>SUM('PER BULAN'!BC72)</f>
        <v>0</v>
      </c>
      <c r="AW36" s="292">
        <f>SUM('PER BULAN'!BD72)</f>
        <v>0</v>
      </c>
      <c r="AX36" s="292">
        <f>SUM('PER BULAN'!BE72)</f>
        <v>0</v>
      </c>
    </row>
    <row r="37" spans="1:50" s="278" customFormat="1" x14ac:dyDescent="0.3">
      <c r="A37" s="277" t="s">
        <v>4693</v>
      </c>
      <c r="B37" s="277" t="s">
        <v>4694</v>
      </c>
      <c r="C37" s="277" t="s">
        <v>4720</v>
      </c>
      <c r="D37" s="277" t="s">
        <v>4721</v>
      </c>
      <c r="E37" s="277" t="s">
        <v>197</v>
      </c>
      <c r="F37" s="277" t="s">
        <v>4722</v>
      </c>
      <c r="G37" s="277" t="s">
        <v>4748</v>
      </c>
      <c r="H37" s="277" t="s">
        <v>4749</v>
      </c>
      <c r="I37" s="277">
        <v>958</v>
      </c>
      <c r="J37" s="277" t="s">
        <v>4752</v>
      </c>
      <c r="K37" s="277">
        <v>311</v>
      </c>
      <c r="L37" s="277" t="s">
        <v>4751</v>
      </c>
      <c r="M37" s="277" t="s">
        <v>8</v>
      </c>
      <c r="N37" s="277" t="s">
        <v>4750</v>
      </c>
      <c r="O37" s="277">
        <v>521811</v>
      </c>
      <c r="P37" s="277" t="s">
        <v>4716</v>
      </c>
      <c r="Q37" s="278">
        <v>12000000</v>
      </c>
      <c r="R37" s="292">
        <f>SUM('PER BULAN'!G73:I73)</f>
        <v>0</v>
      </c>
      <c r="S37" s="292">
        <f>SUM('PER BULAN'!J73:L73)</f>
        <v>0</v>
      </c>
      <c r="T37" s="292">
        <f>SUM('PER BULAN'!M73:O73)</f>
        <v>2450750</v>
      </c>
      <c r="U37" s="292">
        <f>SUM('PER BULAN'!P73:R73)</f>
        <v>0</v>
      </c>
      <c r="V37" s="292">
        <f>SUM('PER BULAN'!S73:U73)</f>
        <v>1929000</v>
      </c>
      <c r="W37" s="292">
        <f>SUM('PER BULAN'!V73:X73)</f>
        <v>0</v>
      </c>
      <c r="X37" s="292">
        <f>SUM('PER BULAN'!Y73:AA73)</f>
        <v>0</v>
      </c>
      <c r="Y37" s="292">
        <f>SUM('PER BULAN'!AB73:AD73)</f>
        <v>0</v>
      </c>
      <c r="Z37" s="292">
        <f>SUM('PER BULAN'!AE73:AG73)</f>
        <v>0</v>
      </c>
      <c r="AA37" s="292">
        <f>SUM('PER BULAN'!AH73:AJ73)</f>
        <v>0</v>
      </c>
      <c r="AB37" s="292">
        <f>SUM('PER BULAN'!AK73:AM73)</f>
        <v>0</v>
      </c>
      <c r="AC37" s="292">
        <f>SUM('PER BULAN'!AN73:AP73)</f>
        <v>0</v>
      </c>
      <c r="AD37" s="277" t="s">
        <v>530</v>
      </c>
      <c r="AE37" s="277" t="s">
        <v>542</v>
      </c>
      <c r="AF37" s="277" t="s">
        <v>543</v>
      </c>
      <c r="AG37" s="277" t="s">
        <v>4699</v>
      </c>
      <c r="AH37" s="277" t="s">
        <v>4700</v>
      </c>
      <c r="AI37" s="277">
        <f t="shared" si="0"/>
        <v>4379750</v>
      </c>
      <c r="AJ37" s="291">
        <f t="shared" si="1"/>
        <v>36.497916666666669</v>
      </c>
      <c r="AK37" s="277">
        <f t="shared" si="2"/>
        <v>7620250</v>
      </c>
      <c r="AL37" s="291">
        <f t="shared" si="3"/>
        <v>63.502083333333339</v>
      </c>
      <c r="AM37" s="277" t="s">
        <v>1194</v>
      </c>
      <c r="AN37" s="277" t="s">
        <v>4730</v>
      </c>
      <c r="AO37" s="277" t="s">
        <v>4737</v>
      </c>
      <c r="AP37" s="277" t="s">
        <v>4732</v>
      </c>
      <c r="AQ37" s="292">
        <f>SUM('PER BULAN'!AX73)</f>
        <v>0</v>
      </c>
      <c r="AR37" s="292">
        <f>SUM('PER BULAN'!AY73)</f>
        <v>2450750</v>
      </c>
      <c r="AS37" s="292">
        <f>SUM('PER BULAN'!AZ73)</f>
        <v>0</v>
      </c>
      <c r="AT37" s="292">
        <f>SUM('PER BULAN'!BA73)</f>
        <v>0</v>
      </c>
      <c r="AU37" s="292">
        <f>SUM('PER BULAN'!BB73)</f>
        <v>0</v>
      </c>
      <c r="AV37" s="292">
        <f>SUM('PER BULAN'!BC73)</f>
        <v>0</v>
      </c>
      <c r="AW37" s="292">
        <f>SUM('PER BULAN'!BD73)</f>
        <v>1929000</v>
      </c>
      <c r="AX37" s="292">
        <f>SUM('PER BULAN'!BE73)</f>
        <v>0</v>
      </c>
    </row>
    <row r="38" spans="1:50" s="278" customFormat="1" x14ac:dyDescent="0.3">
      <c r="A38" s="277" t="s">
        <v>4693</v>
      </c>
      <c r="B38" s="277" t="s">
        <v>4694</v>
      </c>
      <c r="C38" s="277" t="s">
        <v>4720</v>
      </c>
      <c r="D38" s="277" t="s">
        <v>4721</v>
      </c>
      <c r="E38" s="277" t="s">
        <v>197</v>
      </c>
      <c r="F38" s="277" t="s">
        <v>4722</v>
      </c>
      <c r="G38" s="277" t="s">
        <v>4748</v>
      </c>
      <c r="H38" s="277" t="s">
        <v>4749</v>
      </c>
      <c r="I38" s="277">
        <v>958</v>
      </c>
      <c r="J38" s="277" t="s">
        <v>4752</v>
      </c>
      <c r="K38" s="277">
        <v>311</v>
      </c>
      <c r="L38" s="277" t="s">
        <v>4751</v>
      </c>
      <c r="M38" s="277" t="s">
        <v>8</v>
      </c>
      <c r="N38" s="277" t="s">
        <v>4750</v>
      </c>
      <c r="O38" s="277">
        <v>522151</v>
      </c>
      <c r="P38" s="277" t="s">
        <v>4701</v>
      </c>
      <c r="Q38" s="278">
        <v>4000000</v>
      </c>
      <c r="R38" s="292">
        <f>SUM('PER BULAN'!G74:I74)</f>
        <v>0</v>
      </c>
      <c r="S38" s="292">
        <f>SUM('PER BULAN'!J74:L74)</f>
        <v>0</v>
      </c>
      <c r="T38" s="292">
        <f>SUM('PER BULAN'!M74:O74)</f>
        <v>0</v>
      </c>
      <c r="U38" s="292">
        <f>SUM('PER BULAN'!P74:R74)</f>
        <v>0</v>
      </c>
      <c r="V38" s="292">
        <f>SUM('PER BULAN'!S74:U74)</f>
        <v>0</v>
      </c>
      <c r="W38" s="292">
        <f>SUM('PER BULAN'!V74:X74)</f>
        <v>0</v>
      </c>
      <c r="X38" s="292">
        <f>SUM('PER BULAN'!Y74:AA74)</f>
        <v>0</v>
      </c>
      <c r="Y38" s="292">
        <f>SUM('PER BULAN'!AB74:AD74)</f>
        <v>0</v>
      </c>
      <c r="Z38" s="292">
        <f>SUM('PER BULAN'!AE74:AG74)</f>
        <v>0</v>
      </c>
      <c r="AA38" s="292">
        <f>SUM('PER BULAN'!AH74:AJ74)</f>
        <v>0</v>
      </c>
      <c r="AB38" s="292">
        <f>SUM('PER BULAN'!AK74:AM74)</f>
        <v>0</v>
      </c>
      <c r="AC38" s="292">
        <f>SUM('PER BULAN'!AN74:AP74)</f>
        <v>0</v>
      </c>
      <c r="AD38" s="277" t="s">
        <v>530</v>
      </c>
      <c r="AE38" s="277" t="s">
        <v>542</v>
      </c>
      <c r="AF38" s="277" t="s">
        <v>543</v>
      </c>
      <c r="AG38" s="277" t="s">
        <v>4699</v>
      </c>
      <c r="AH38" s="277" t="s">
        <v>4700</v>
      </c>
      <c r="AI38" s="277">
        <f t="shared" si="0"/>
        <v>0</v>
      </c>
      <c r="AJ38" s="291">
        <f t="shared" si="1"/>
        <v>0</v>
      </c>
      <c r="AK38" s="277">
        <f t="shared" si="2"/>
        <v>4000000</v>
      </c>
      <c r="AL38" s="291">
        <f t="shared" si="3"/>
        <v>100</v>
      </c>
      <c r="AM38" s="277" t="s">
        <v>1198</v>
      </c>
      <c r="AN38" s="277" t="s">
        <v>4730</v>
      </c>
      <c r="AO38" s="277" t="s">
        <v>4735</v>
      </c>
      <c r="AP38" s="277" t="s">
        <v>4732</v>
      </c>
      <c r="AQ38" s="292">
        <f>SUM('PER BULAN'!AX74)</f>
        <v>0</v>
      </c>
      <c r="AR38" s="292">
        <f>SUM('PER BULAN'!AY74)</f>
        <v>0</v>
      </c>
      <c r="AS38" s="292">
        <f>SUM('PER BULAN'!AZ74)</f>
        <v>0</v>
      </c>
      <c r="AT38" s="292">
        <f>SUM('PER BULAN'!BA74)</f>
        <v>0</v>
      </c>
      <c r="AU38" s="292">
        <f>SUM('PER BULAN'!BB74)</f>
        <v>0</v>
      </c>
      <c r="AV38" s="292">
        <f>SUM('PER BULAN'!BC74)</f>
        <v>0</v>
      </c>
      <c r="AW38" s="292">
        <f>SUM('PER BULAN'!BD74)</f>
        <v>0</v>
      </c>
      <c r="AX38" s="292">
        <f>SUM('PER BULAN'!BE74)</f>
        <v>0</v>
      </c>
    </row>
    <row r="39" spans="1:50" s="278" customFormat="1" x14ac:dyDescent="0.3">
      <c r="A39" s="277" t="s">
        <v>4693</v>
      </c>
      <c r="B39" s="277" t="s">
        <v>4694</v>
      </c>
      <c r="C39" s="277" t="s">
        <v>4720</v>
      </c>
      <c r="D39" s="277" t="s">
        <v>4721</v>
      </c>
      <c r="E39" s="277" t="s">
        <v>197</v>
      </c>
      <c r="F39" s="277" t="s">
        <v>4722</v>
      </c>
      <c r="G39" s="277" t="s">
        <v>4748</v>
      </c>
      <c r="H39" s="277" t="s">
        <v>4749</v>
      </c>
      <c r="I39" s="277">
        <v>958</v>
      </c>
      <c r="J39" s="277" t="s">
        <v>4752</v>
      </c>
      <c r="K39" s="277">
        <v>311</v>
      </c>
      <c r="L39" s="277" t="s">
        <v>4751</v>
      </c>
      <c r="M39" s="277" t="s">
        <v>8</v>
      </c>
      <c r="N39" s="277" t="s">
        <v>4750</v>
      </c>
      <c r="O39" s="277" t="s">
        <v>513</v>
      </c>
      <c r="P39" s="277" t="s">
        <v>4702</v>
      </c>
      <c r="Q39" s="278">
        <v>115380000</v>
      </c>
      <c r="R39" s="292">
        <f>SUM('PER BULAN'!G75:I75)</f>
        <v>0</v>
      </c>
      <c r="S39" s="292">
        <f>SUM('PER BULAN'!J75:L75)</f>
        <v>0</v>
      </c>
      <c r="T39" s="292">
        <f>SUM('PER BULAN'!M75:O75)</f>
        <v>0</v>
      </c>
      <c r="U39" s="292">
        <f>SUM('PER BULAN'!P75:R75)</f>
        <v>3570000</v>
      </c>
      <c r="V39" s="292">
        <f>SUM('PER BULAN'!S75:U75)</f>
        <v>10960600</v>
      </c>
      <c r="W39" s="292">
        <f>SUM('PER BULAN'!V75:X75)</f>
        <v>3840000</v>
      </c>
      <c r="X39" s="292">
        <f>SUM('PER BULAN'!Y75:AA75)</f>
        <v>0</v>
      </c>
      <c r="Y39" s="292">
        <f>SUM('PER BULAN'!AB75:AD75)</f>
        <v>0</v>
      </c>
      <c r="Z39" s="292">
        <f>SUM('PER BULAN'!AE75:AG75)</f>
        <v>0</v>
      </c>
      <c r="AA39" s="292">
        <f>SUM('PER BULAN'!AH75:AJ75)</f>
        <v>0</v>
      </c>
      <c r="AB39" s="292">
        <f>SUM('PER BULAN'!AK75:AM75)</f>
        <v>0</v>
      </c>
      <c r="AC39" s="292">
        <f>SUM('PER BULAN'!AN75:AP75)</f>
        <v>0</v>
      </c>
      <c r="AD39" s="277" t="s">
        <v>530</v>
      </c>
      <c r="AE39" s="277" t="s">
        <v>542</v>
      </c>
      <c r="AF39" s="277" t="s">
        <v>543</v>
      </c>
      <c r="AG39" s="277" t="s">
        <v>4699</v>
      </c>
      <c r="AH39" s="277" t="s">
        <v>4700</v>
      </c>
      <c r="AI39" s="277">
        <f t="shared" si="0"/>
        <v>18370600</v>
      </c>
      <c r="AJ39" s="291">
        <f t="shared" si="1"/>
        <v>15.921823539608251</v>
      </c>
      <c r="AK39" s="277">
        <f t="shared" si="2"/>
        <v>97009400</v>
      </c>
      <c r="AL39" s="291">
        <f t="shared" si="3"/>
        <v>84.078176460391745</v>
      </c>
      <c r="AM39" s="277" t="s">
        <v>1200</v>
      </c>
      <c r="AN39" s="277" t="s">
        <v>4730</v>
      </c>
      <c r="AO39" s="277" t="s">
        <v>4736</v>
      </c>
      <c r="AP39" s="277" t="s">
        <v>4732</v>
      </c>
      <c r="AQ39" s="292">
        <f>SUM('PER BULAN'!AX75)</f>
        <v>0</v>
      </c>
      <c r="AR39" s="292">
        <f>SUM('PER BULAN'!AY75)</f>
        <v>0</v>
      </c>
      <c r="AS39" s="292">
        <f>SUM('PER BULAN'!AZ75)</f>
        <v>0</v>
      </c>
      <c r="AT39" s="292">
        <f>SUM('PER BULAN'!BA75)</f>
        <v>0</v>
      </c>
      <c r="AU39" s="292">
        <f>SUM('PER BULAN'!BB75)</f>
        <v>0</v>
      </c>
      <c r="AV39" s="292">
        <f>SUM('PER BULAN'!BC75)</f>
        <v>0</v>
      </c>
      <c r="AW39" s="292">
        <f>SUM('PER BULAN'!BD75)</f>
        <v>0</v>
      </c>
      <c r="AX39" s="292">
        <f>SUM('PER BULAN'!BE75)</f>
        <v>0</v>
      </c>
    </row>
    <row r="40" spans="1:50" s="278" customFormat="1" x14ac:dyDescent="0.3">
      <c r="A40" s="277" t="s">
        <v>4693</v>
      </c>
      <c r="B40" s="277" t="s">
        <v>4694</v>
      </c>
      <c r="C40" s="277" t="s">
        <v>4720</v>
      </c>
      <c r="D40" s="277" t="s">
        <v>4721</v>
      </c>
      <c r="E40" s="277" t="s">
        <v>197</v>
      </c>
      <c r="F40" s="277" t="s">
        <v>4722</v>
      </c>
      <c r="G40" s="277" t="s">
        <v>4748</v>
      </c>
      <c r="H40" s="277" t="s">
        <v>4749</v>
      </c>
      <c r="I40" s="277">
        <v>301</v>
      </c>
      <c r="J40" s="277" t="s">
        <v>4754</v>
      </c>
      <c r="K40" s="277">
        <v>301</v>
      </c>
      <c r="L40" s="277" t="s">
        <v>4753</v>
      </c>
      <c r="M40" s="277" t="s">
        <v>8</v>
      </c>
      <c r="N40" s="277" t="s">
        <v>4724</v>
      </c>
      <c r="O40" s="277">
        <v>521211</v>
      </c>
      <c r="P40" s="277" t="s">
        <v>4698</v>
      </c>
      <c r="Q40" s="278">
        <v>22000000</v>
      </c>
      <c r="R40" s="292">
        <f>SUM('PER BULAN'!G79:I79)</f>
        <v>0</v>
      </c>
      <c r="S40" s="292">
        <f>SUM('PER BULAN'!J79:L79)</f>
        <v>0</v>
      </c>
      <c r="T40" s="292">
        <f>SUM('PER BULAN'!M79:O79)</f>
        <v>3998800</v>
      </c>
      <c r="U40" s="292">
        <f>SUM('PER BULAN'!P79:R79)</f>
        <v>0</v>
      </c>
      <c r="V40" s="292">
        <f>SUM('PER BULAN'!S79:U79)</f>
        <v>0</v>
      </c>
      <c r="W40" s="292">
        <f>SUM('PER BULAN'!V79:X79)</f>
        <v>0</v>
      </c>
      <c r="X40" s="292">
        <f>SUM('PER BULAN'!Y79:AA79)</f>
        <v>0</v>
      </c>
      <c r="Y40" s="292">
        <f>SUM('PER BULAN'!AB79:AD79)</f>
        <v>0</v>
      </c>
      <c r="Z40" s="292">
        <f>SUM('PER BULAN'!AE79:AG79)</f>
        <v>0</v>
      </c>
      <c r="AA40" s="292">
        <f>SUM('PER BULAN'!AH79:AJ79)</f>
        <v>0</v>
      </c>
      <c r="AB40" s="292">
        <f>SUM('PER BULAN'!AK79:AM79)</f>
        <v>0</v>
      </c>
      <c r="AC40" s="292">
        <f>SUM('PER BULAN'!AN79:AP79)</f>
        <v>0</v>
      </c>
      <c r="AD40" s="277" t="s">
        <v>530</v>
      </c>
      <c r="AE40" s="277" t="s">
        <v>576</v>
      </c>
      <c r="AF40" s="277" t="s">
        <v>560</v>
      </c>
      <c r="AG40" s="277" t="s">
        <v>4699</v>
      </c>
      <c r="AH40" s="277" t="s">
        <v>4700</v>
      </c>
      <c r="AI40" s="277">
        <f t="shared" si="0"/>
        <v>3998800</v>
      </c>
      <c r="AJ40" s="291">
        <f t="shared" si="1"/>
        <v>18.176363636363639</v>
      </c>
      <c r="AK40" s="277">
        <f t="shared" si="2"/>
        <v>18001200</v>
      </c>
      <c r="AL40" s="291">
        <f t="shared" si="3"/>
        <v>81.823636363636368</v>
      </c>
      <c r="AM40" s="277" t="s">
        <v>1391</v>
      </c>
      <c r="AN40" s="277" t="s">
        <v>4730</v>
      </c>
      <c r="AO40" s="277" t="s">
        <v>4731</v>
      </c>
      <c r="AP40" s="277" t="s">
        <v>4732</v>
      </c>
      <c r="AQ40" s="292">
        <f>SUM('PER BULAN'!AX79)</f>
        <v>0</v>
      </c>
      <c r="AR40" s="292">
        <f>SUM('PER BULAN'!AY79)</f>
        <v>3998800</v>
      </c>
      <c r="AS40" s="292">
        <f>SUM('PER BULAN'!AZ79)</f>
        <v>0</v>
      </c>
      <c r="AT40" s="292">
        <f>SUM('PER BULAN'!BA79)</f>
        <v>0</v>
      </c>
      <c r="AU40" s="292">
        <f>SUM('PER BULAN'!BB79)</f>
        <v>0</v>
      </c>
      <c r="AV40" s="292">
        <f>SUM('PER BULAN'!BC79)</f>
        <v>0</v>
      </c>
      <c r="AW40" s="292">
        <f>SUM('PER BULAN'!BD79)</f>
        <v>0</v>
      </c>
      <c r="AX40" s="292">
        <f>SUM('PER BULAN'!BE79)</f>
        <v>0</v>
      </c>
    </row>
    <row r="41" spans="1:50" s="278" customFormat="1" x14ac:dyDescent="0.3">
      <c r="A41" s="277" t="s">
        <v>4693</v>
      </c>
      <c r="B41" s="277" t="s">
        <v>4694</v>
      </c>
      <c r="C41" s="277" t="s">
        <v>4720</v>
      </c>
      <c r="D41" s="277" t="s">
        <v>4721</v>
      </c>
      <c r="E41" s="277" t="s">
        <v>197</v>
      </c>
      <c r="F41" s="277" t="s">
        <v>4722</v>
      </c>
      <c r="G41" s="277" t="s">
        <v>4748</v>
      </c>
      <c r="H41" s="277" t="s">
        <v>4749</v>
      </c>
      <c r="I41" s="277">
        <v>301</v>
      </c>
      <c r="J41" s="277" t="s">
        <v>4754</v>
      </c>
      <c r="K41" s="277">
        <v>301</v>
      </c>
      <c r="L41" s="277" t="s">
        <v>4753</v>
      </c>
      <c r="M41" s="277" t="s">
        <v>8</v>
      </c>
      <c r="N41" s="277" t="s">
        <v>4724</v>
      </c>
      <c r="O41" s="277" t="s">
        <v>513</v>
      </c>
      <c r="P41" s="277" t="s">
        <v>4702</v>
      </c>
      <c r="Q41" s="278">
        <v>27000000</v>
      </c>
      <c r="R41" s="292">
        <f>SUM('PER BULAN'!G80:I80)</f>
        <v>0</v>
      </c>
      <c r="S41" s="292">
        <f>SUM('PER BULAN'!J80:L80)</f>
        <v>0</v>
      </c>
      <c r="T41" s="292">
        <f>SUM('PER BULAN'!M80:O80)</f>
        <v>4335000</v>
      </c>
      <c r="U41" s="292">
        <f>SUM('PER BULAN'!P80:R80)</f>
        <v>3960000</v>
      </c>
      <c r="V41" s="292">
        <f>SUM('PER BULAN'!S80:U80)</f>
        <v>3043500</v>
      </c>
      <c r="W41" s="292">
        <f>SUM('PER BULAN'!V80:X80)</f>
        <v>0</v>
      </c>
      <c r="X41" s="292">
        <f>SUM('PER BULAN'!Y80:AA80)</f>
        <v>0</v>
      </c>
      <c r="Y41" s="292">
        <f>SUM('PER BULAN'!AB80:AD80)</f>
        <v>0</v>
      </c>
      <c r="Z41" s="292">
        <f>SUM('PER BULAN'!AE80:AG80)</f>
        <v>0</v>
      </c>
      <c r="AA41" s="292">
        <f>SUM('PER BULAN'!AH80:AJ80)</f>
        <v>0</v>
      </c>
      <c r="AB41" s="292">
        <f>SUM('PER BULAN'!AK80:AM80)</f>
        <v>0</v>
      </c>
      <c r="AC41" s="292">
        <f>SUM('PER BULAN'!AN80:AP80)</f>
        <v>0</v>
      </c>
      <c r="AD41" s="277" t="s">
        <v>530</v>
      </c>
      <c r="AE41" s="277" t="s">
        <v>576</v>
      </c>
      <c r="AF41" s="277" t="s">
        <v>560</v>
      </c>
      <c r="AG41" s="277" t="s">
        <v>4699</v>
      </c>
      <c r="AH41" s="277" t="s">
        <v>4700</v>
      </c>
      <c r="AI41" s="277">
        <f t="shared" si="0"/>
        <v>11338500</v>
      </c>
      <c r="AJ41" s="291">
        <f t="shared" si="1"/>
        <v>41.994444444444447</v>
      </c>
      <c r="AK41" s="277">
        <f t="shared" si="2"/>
        <v>15661500</v>
      </c>
      <c r="AL41" s="291">
        <f t="shared" si="3"/>
        <v>58.005555555555553</v>
      </c>
      <c r="AM41" s="277" t="s">
        <v>1397</v>
      </c>
      <c r="AN41" s="277" t="s">
        <v>4730</v>
      </c>
      <c r="AO41" s="277" t="s">
        <v>4736</v>
      </c>
      <c r="AP41" s="277" t="s">
        <v>4732</v>
      </c>
      <c r="AQ41" s="292">
        <f>SUM('PER BULAN'!AX80)</f>
        <v>2685000</v>
      </c>
      <c r="AR41" s="292">
        <f>SUM('PER BULAN'!AY80)</f>
        <v>1650000</v>
      </c>
      <c r="AS41" s="292">
        <f>SUM('PER BULAN'!AZ80)</f>
        <v>0</v>
      </c>
      <c r="AT41" s="292">
        <f>SUM('PER BULAN'!BA80)</f>
        <v>3960000</v>
      </c>
      <c r="AU41" s="292">
        <f>SUM('PER BULAN'!BB80)</f>
        <v>0</v>
      </c>
      <c r="AV41" s="292">
        <f>SUM('PER BULAN'!BC80)</f>
        <v>3043500</v>
      </c>
      <c r="AW41" s="292">
        <f>SUM('PER BULAN'!BD80)</f>
        <v>0</v>
      </c>
      <c r="AX41" s="292">
        <f>SUM('PER BULAN'!BE80)</f>
        <v>0</v>
      </c>
    </row>
    <row r="42" spans="1:50" s="278" customFormat="1" x14ac:dyDescent="0.3">
      <c r="A42" s="277" t="s">
        <v>4693</v>
      </c>
      <c r="B42" s="277" t="s">
        <v>4694</v>
      </c>
      <c r="C42" s="277" t="s">
        <v>4720</v>
      </c>
      <c r="D42" s="277" t="s">
        <v>4721</v>
      </c>
      <c r="E42" s="277" t="s">
        <v>197</v>
      </c>
      <c r="F42" s="277" t="s">
        <v>4722</v>
      </c>
      <c r="G42" s="277" t="s">
        <v>4748</v>
      </c>
      <c r="H42" s="277" t="s">
        <v>4749</v>
      </c>
      <c r="I42" s="277">
        <v>301</v>
      </c>
      <c r="J42" s="277" t="s">
        <v>4754</v>
      </c>
      <c r="K42" s="277">
        <v>301</v>
      </c>
      <c r="L42" s="277" t="s">
        <v>4753</v>
      </c>
      <c r="M42" s="277" t="s">
        <v>8</v>
      </c>
      <c r="N42" s="277" t="s">
        <v>4724</v>
      </c>
      <c r="O42" s="277" t="s">
        <v>507</v>
      </c>
      <c r="P42" s="277" t="s">
        <v>508</v>
      </c>
      <c r="Q42" s="278">
        <v>2100000</v>
      </c>
      <c r="R42" s="292">
        <f>SUM('PER BULAN'!G81:I81)</f>
        <v>0</v>
      </c>
      <c r="S42" s="292">
        <f>SUM('PER BULAN'!J81:L81)</f>
        <v>0</v>
      </c>
      <c r="T42" s="292">
        <f>SUM('PER BULAN'!M81:O81)</f>
        <v>750000</v>
      </c>
      <c r="U42" s="292">
        <f>SUM('PER BULAN'!P81:R81)</f>
        <v>0</v>
      </c>
      <c r="V42" s="292">
        <f>SUM('PER BULAN'!S81:U81)</f>
        <v>0</v>
      </c>
      <c r="W42" s="292">
        <f>SUM('PER BULAN'!V81:X81)</f>
        <v>0</v>
      </c>
      <c r="X42" s="292">
        <f>SUM('PER BULAN'!Y81:AA81)</f>
        <v>0</v>
      </c>
      <c r="Y42" s="292">
        <f>SUM('PER BULAN'!AB81:AD81)</f>
        <v>0</v>
      </c>
      <c r="Z42" s="292">
        <f>SUM('PER BULAN'!AE81:AG81)</f>
        <v>0</v>
      </c>
      <c r="AA42" s="292">
        <f>SUM('PER BULAN'!AH81:AJ81)</f>
        <v>0</v>
      </c>
      <c r="AB42" s="292">
        <f>SUM('PER BULAN'!AK81:AM81)</f>
        <v>0</v>
      </c>
      <c r="AC42" s="292">
        <f>SUM('PER BULAN'!AN81:AP81)</f>
        <v>0</v>
      </c>
      <c r="AD42" s="277" t="s">
        <v>530</v>
      </c>
      <c r="AE42" s="277" t="s">
        <v>576</v>
      </c>
      <c r="AF42" s="277" t="s">
        <v>560</v>
      </c>
      <c r="AG42" s="277" t="s">
        <v>4699</v>
      </c>
      <c r="AH42" s="277" t="s">
        <v>4700</v>
      </c>
      <c r="AI42" s="277">
        <f t="shared" si="0"/>
        <v>750000</v>
      </c>
      <c r="AJ42" s="291">
        <f t="shared" si="1"/>
        <v>35.714285714285715</v>
      </c>
      <c r="AK42" s="277">
        <f t="shared" si="2"/>
        <v>1350000</v>
      </c>
      <c r="AL42" s="291">
        <f t="shared" si="3"/>
        <v>64.285714285714292</v>
      </c>
      <c r="AM42" s="277" t="s">
        <v>1400</v>
      </c>
      <c r="AN42" s="277" t="s">
        <v>4730</v>
      </c>
      <c r="AO42" s="277" t="s">
        <v>4738</v>
      </c>
      <c r="AP42" s="277" t="s">
        <v>4732</v>
      </c>
      <c r="AQ42" s="292">
        <f>SUM('PER BULAN'!AX81)</f>
        <v>450000</v>
      </c>
      <c r="AR42" s="292">
        <f>SUM('PER BULAN'!AY81)</f>
        <v>300000</v>
      </c>
      <c r="AS42" s="292">
        <f>SUM('PER BULAN'!AZ81)</f>
        <v>0</v>
      </c>
      <c r="AT42" s="292">
        <f>SUM('PER BULAN'!BA81)</f>
        <v>0</v>
      </c>
      <c r="AU42" s="292">
        <f>SUM('PER BULAN'!BB81)</f>
        <v>0</v>
      </c>
      <c r="AV42" s="292">
        <f>SUM('PER BULAN'!BC81)</f>
        <v>0</v>
      </c>
      <c r="AW42" s="292">
        <f>SUM('PER BULAN'!BD81)</f>
        <v>0</v>
      </c>
      <c r="AX42" s="292">
        <f>SUM('PER BULAN'!BE81)</f>
        <v>0</v>
      </c>
    </row>
    <row r="43" spans="1:50" s="278" customFormat="1" x14ac:dyDescent="0.3">
      <c r="A43" s="277" t="s">
        <v>4693</v>
      </c>
      <c r="B43" s="277" t="s">
        <v>4694</v>
      </c>
      <c r="C43" s="277" t="s">
        <v>4720</v>
      </c>
      <c r="D43" s="277" t="s">
        <v>4721</v>
      </c>
      <c r="E43" s="277" t="s">
        <v>197</v>
      </c>
      <c r="F43" s="277" t="s">
        <v>4722</v>
      </c>
      <c r="G43" s="277" t="s">
        <v>4748</v>
      </c>
      <c r="H43" s="277" t="s">
        <v>4749</v>
      </c>
      <c r="I43" s="277">
        <v>301</v>
      </c>
      <c r="J43" s="277" t="s">
        <v>4754</v>
      </c>
      <c r="K43" s="277">
        <v>301</v>
      </c>
      <c r="L43" s="277" t="s">
        <v>4753</v>
      </c>
      <c r="M43" s="277" t="s">
        <v>511</v>
      </c>
      <c r="N43" s="277" t="s">
        <v>4725</v>
      </c>
      <c r="O43" s="277">
        <v>521211</v>
      </c>
      <c r="P43" s="277" t="s">
        <v>4698</v>
      </c>
      <c r="Q43" s="278">
        <v>10000000</v>
      </c>
      <c r="R43" s="292">
        <f>SUM('PER BULAN'!G83:I83)</f>
        <v>0</v>
      </c>
      <c r="S43" s="292">
        <f>SUM('PER BULAN'!J83:L83)</f>
        <v>0</v>
      </c>
      <c r="T43" s="292">
        <f>SUM('PER BULAN'!M83:O83)</f>
        <v>2485000</v>
      </c>
      <c r="U43" s="292">
        <f>SUM('PER BULAN'!P83:R83)</f>
        <v>0</v>
      </c>
      <c r="V43" s="292">
        <f>SUM('PER BULAN'!S83:U83)</f>
        <v>2485000</v>
      </c>
      <c r="W43" s="292">
        <f>SUM('PER BULAN'!V83:X83)</f>
        <v>0</v>
      </c>
      <c r="X43" s="292">
        <f>SUM('PER BULAN'!Y83:AA83)</f>
        <v>0</v>
      </c>
      <c r="Y43" s="292">
        <f>SUM('PER BULAN'!AB83:AD83)</f>
        <v>0</v>
      </c>
      <c r="Z43" s="292">
        <f>SUM('PER BULAN'!AE83:AG83)</f>
        <v>0</v>
      </c>
      <c r="AA43" s="292">
        <f>SUM('PER BULAN'!AH83:AJ83)</f>
        <v>0</v>
      </c>
      <c r="AB43" s="292">
        <f>SUM('PER BULAN'!AK83:AM83)</f>
        <v>0</v>
      </c>
      <c r="AC43" s="292">
        <f>SUM('PER BULAN'!AN83:AP83)</f>
        <v>0</v>
      </c>
      <c r="AD43" s="277" t="s">
        <v>530</v>
      </c>
      <c r="AE43" s="277" t="s">
        <v>576</v>
      </c>
      <c r="AF43" s="277" t="s">
        <v>560</v>
      </c>
      <c r="AG43" s="277" t="s">
        <v>4699</v>
      </c>
      <c r="AH43" s="277" t="s">
        <v>4700</v>
      </c>
      <c r="AI43" s="277">
        <f t="shared" si="0"/>
        <v>4970000</v>
      </c>
      <c r="AJ43" s="291">
        <f t="shared" si="1"/>
        <v>49.7</v>
      </c>
      <c r="AK43" s="277">
        <f t="shared" si="2"/>
        <v>5030000</v>
      </c>
      <c r="AL43" s="291">
        <f t="shared" si="3"/>
        <v>50.3</v>
      </c>
      <c r="AM43" s="277" t="s">
        <v>1404</v>
      </c>
      <c r="AN43" s="277" t="s">
        <v>4730</v>
      </c>
      <c r="AO43" s="277" t="s">
        <v>4731</v>
      </c>
      <c r="AP43" s="277" t="s">
        <v>4732</v>
      </c>
      <c r="AQ43" s="292">
        <f>SUM('PER BULAN'!AX83)</f>
        <v>2485000</v>
      </c>
      <c r="AR43" s="292">
        <f>SUM('PER BULAN'!AY83)</f>
        <v>0</v>
      </c>
      <c r="AS43" s="292">
        <f>SUM('PER BULAN'!AZ83)</f>
        <v>0</v>
      </c>
      <c r="AT43" s="292">
        <f>SUM('PER BULAN'!BA83)</f>
        <v>0</v>
      </c>
      <c r="AU43" s="292">
        <f>SUM('PER BULAN'!BB83)</f>
        <v>0</v>
      </c>
      <c r="AV43" s="292">
        <f>SUM('PER BULAN'!BC83)</f>
        <v>0</v>
      </c>
      <c r="AW43" s="292">
        <f>SUM('PER BULAN'!BD83)</f>
        <v>2485000</v>
      </c>
      <c r="AX43" s="292">
        <f>SUM('PER BULAN'!BE83)</f>
        <v>0</v>
      </c>
    </row>
    <row r="44" spans="1:50" s="278" customFormat="1" x14ac:dyDescent="0.3">
      <c r="A44" s="277" t="s">
        <v>4693</v>
      </c>
      <c r="B44" s="277" t="s">
        <v>4694</v>
      </c>
      <c r="C44" s="277" t="s">
        <v>4720</v>
      </c>
      <c r="D44" s="277" t="s">
        <v>4721</v>
      </c>
      <c r="E44" s="277" t="s">
        <v>197</v>
      </c>
      <c r="F44" s="277" t="s">
        <v>4722</v>
      </c>
      <c r="G44" s="277" t="s">
        <v>4748</v>
      </c>
      <c r="H44" s="277" t="s">
        <v>4749</v>
      </c>
      <c r="I44" s="277">
        <v>301</v>
      </c>
      <c r="J44" s="277" t="s">
        <v>4754</v>
      </c>
      <c r="K44" s="277">
        <v>301</v>
      </c>
      <c r="L44" s="277" t="s">
        <v>4753</v>
      </c>
      <c r="M44" s="277" t="s">
        <v>511</v>
      </c>
      <c r="N44" s="277" t="s">
        <v>4725</v>
      </c>
      <c r="O44" s="277" t="s">
        <v>518</v>
      </c>
      <c r="P44" s="277" t="s">
        <v>4703</v>
      </c>
      <c r="Q44" s="278">
        <v>23680000</v>
      </c>
      <c r="R44" s="292">
        <f>SUM('PER BULAN'!G84:I84)</f>
        <v>0</v>
      </c>
      <c r="S44" s="292">
        <f>SUM('PER BULAN'!J84:L84)</f>
        <v>0</v>
      </c>
      <c r="T44" s="292">
        <f>SUM('PER BULAN'!M84:O84)</f>
        <v>2031000</v>
      </c>
      <c r="U44" s="292">
        <f>SUM('PER BULAN'!P84:R84)</f>
        <v>0</v>
      </c>
      <c r="V44" s="292">
        <f>SUM('PER BULAN'!S84:U84)</f>
        <v>0</v>
      </c>
      <c r="W44" s="292">
        <f>SUM('PER BULAN'!V84:X84)</f>
        <v>0</v>
      </c>
      <c r="X44" s="292">
        <f>SUM('PER BULAN'!Y84:AA84)</f>
        <v>0</v>
      </c>
      <c r="Y44" s="292">
        <f>SUM('PER BULAN'!AB84:AD84)</f>
        <v>0</v>
      </c>
      <c r="Z44" s="292">
        <f>SUM('PER BULAN'!AE84:AG84)</f>
        <v>0</v>
      </c>
      <c r="AA44" s="292">
        <f>SUM('PER BULAN'!AH84:AJ84)</f>
        <v>0</v>
      </c>
      <c r="AB44" s="292">
        <f>SUM('PER BULAN'!AK84:AM84)</f>
        <v>0</v>
      </c>
      <c r="AC44" s="292">
        <f>SUM('PER BULAN'!AN84:AP84)</f>
        <v>0</v>
      </c>
      <c r="AD44" s="277" t="s">
        <v>530</v>
      </c>
      <c r="AE44" s="277" t="s">
        <v>576</v>
      </c>
      <c r="AF44" s="277" t="s">
        <v>560</v>
      </c>
      <c r="AG44" s="277" t="s">
        <v>4699</v>
      </c>
      <c r="AH44" s="277" t="s">
        <v>4700</v>
      </c>
      <c r="AI44" s="277">
        <f t="shared" si="0"/>
        <v>2031000</v>
      </c>
      <c r="AJ44" s="291">
        <f t="shared" si="1"/>
        <v>8.5768581081081088</v>
      </c>
      <c r="AK44" s="277">
        <f t="shared" si="2"/>
        <v>21649000</v>
      </c>
      <c r="AL44" s="291">
        <f t="shared" si="3"/>
        <v>91.423141891891888</v>
      </c>
      <c r="AM44" s="277" t="s">
        <v>1409</v>
      </c>
      <c r="AN44" s="277" t="s">
        <v>4734</v>
      </c>
      <c r="AO44" s="277" t="s">
        <v>4735</v>
      </c>
      <c r="AP44" s="277" t="s">
        <v>4732</v>
      </c>
      <c r="AQ44" s="292">
        <f>SUM('PER BULAN'!AX84)</f>
        <v>1235000</v>
      </c>
      <c r="AR44" s="292">
        <f>SUM('PER BULAN'!AY84)</f>
        <v>342000</v>
      </c>
      <c r="AS44" s="292">
        <f>SUM('PER BULAN'!AZ84)</f>
        <v>454000</v>
      </c>
      <c r="AT44" s="292">
        <f>SUM('PER BULAN'!BA84)</f>
        <v>0</v>
      </c>
      <c r="AU44" s="292">
        <f>SUM('PER BULAN'!BB84)</f>
        <v>0</v>
      </c>
      <c r="AV44" s="292">
        <f>SUM('PER BULAN'!BC84)</f>
        <v>0</v>
      </c>
      <c r="AW44" s="292">
        <f>SUM('PER BULAN'!BD84)</f>
        <v>0</v>
      </c>
      <c r="AX44" s="292">
        <f>SUM('PER BULAN'!BE84)</f>
        <v>0</v>
      </c>
    </row>
    <row r="45" spans="1:50" s="278" customFormat="1" x14ac:dyDescent="0.3">
      <c r="A45" s="277" t="s">
        <v>4693</v>
      </c>
      <c r="B45" s="277" t="s">
        <v>4694</v>
      </c>
      <c r="C45" s="277" t="s">
        <v>4720</v>
      </c>
      <c r="D45" s="277" t="s">
        <v>4721</v>
      </c>
      <c r="E45" s="277" t="s">
        <v>197</v>
      </c>
      <c r="F45" s="277" t="s">
        <v>4722</v>
      </c>
      <c r="G45" s="277" t="s">
        <v>4748</v>
      </c>
      <c r="H45" s="277" t="s">
        <v>4749</v>
      </c>
      <c r="I45" s="277">
        <v>301</v>
      </c>
      <c r="J45" s="277" t="s">
        <v>4754</v>
      </c>
      <c r="K45" s="277">
        <v>301</v>
      </c>
      <c r="L45" s="277" t="s">
        <v>4753</v>
      </c>
      <c r="M45" s="277" t="s">
        <v>511</v>
      </c>
      <c r="N45" s="277" t="s">
        <v>4725</v>
      </c>
      <c r="O45" s="277" t="s">
        <v>513</v>
      </c>
      <c r="P45" s="277" t="s">
        <v>4702</v>
      </c>
      <c r="Q45" s="278">
        <v>514500000</v>
      </c>
      <c r="R45" s="292">
        <f>SUM('PER BULAN'!G85:I85)</f>
        <v>0</v>
      </c>
      <c r="S45" s="292">
        <f>SUM('PER BULAN'!J85:L85)</f>
        <v>0</v>
      </c>
      <c r="T45" s="292">
        <f>SUM('PER BULAN'!M85:O85)</f>
        <v>68815500</v>
      </c>
      <c r="U45" s="292">
        <f>SUM('PER BULAN'!P85:R85)</f>
        <v>66565460</v>
      </c>
      <c r="V45" s="292">
        <f>SUM('PER BULAN'!S85:U85)</f>
        <v>25199501</v>
      </c>
      <c r="W45" s="292">
        <f>SUM('PER BULAN'!V85:X85)</f>
        <v>0</v>
      </c>
      <c r="X45" s="292">
        <f>SUM('PER BULAN'!Y85:AA85)</f>
        <v>0</v>
      </c>
      <c r="Y45" s="292">
        <f>SUM('PER BULAN'!AB85:AD85)</f>
        <v>0</v>
      </c>
      <c r="Z45" s="292">
        <f>SUM('PER BULAN'!AE85:AG85)</f>
        <v>0</v>
      </c>
      <c r="AA45" s="292">
        <f>SUM('PER BULAN'!AH85:AJ85)</f>
        <v>0</v>
      </c>
      <c r="AB45" s="292">
        <f>SUM('PER BULAN'!AK85:AM85)</f>
        <v>0</v>
      </c>
      <c r="AC45" s="292">
        <f>SUM('PER BULAN'!AN85:AP85)</f>
        <v>0</v>
      </c>
      <c r="AD45" s="277" t="s">
        <v>530</v>
      </c>
      <c r="AE45" s="277" t="s">
        <v>576</v>
      </c>
      <c r="AF45" s="277" t="s">
        <v>560</v>
      </c>
      <c r="AG45" s="277" t="s">
        <v>4699</v>
      </c>
      <c r="AH45" s="277" t="s">
        <v>4700</v>
      </c>
      <c r="AI45" s="277">
        <f t="shared" si="0"/>
        <v>160580461</v>
      </c>
      <c r="AJ45" s="291">
        <f t="shared" si="1"/>
        <v>31.210973955296407</v>
      </c>
      <c r="AK45" s="277">
        <f t="shared" si="2"/>
        <v>353919539</v>
      </c>
      <c r="AL45" s="291">
        <f t="shared" si="3"/>
        <v>68.78902604470359</v>
      </c>
      <c r="AM45" s="277" t="s">
        <v>1412</v>
      </c>
      <c r="AN45" s="277" t="s">
        <v>4730</v>
      </c>
      <c r="AO45" s="277" t="s">
        <v>4736</v>
      </c>
      <c r="AP45" s="277" t="s">
        <v>4732</v>
      </c>
      <c r="AQ45" s="292">
        <f>SUM('PER BULAN'!AX85)</f>
        <v>45385600</v>
      </c>
      <c r="AR45" s="292">
        <f>SUM('PER BULAN'!AY85)</f>
        <v>23429900</v>
      </c>
      <c r="AS45" s="292">
        <f>SUM('PER BULAN'!AZ85)</f>
        <v>0</v>
      </c>
      <c r="AT45" s="292">
        <f>SUM('PER BULAN'!BA85)</f>
        <v>31588000</v>
      </c>
      <c r="AU45" s="292">
        <f>SUM('PER BULAN'!BB85)</f>
        <v>10477701</v>
      </c>
      <c r="AV45" s="292">
        <f>SUM('PER BULAN'!BC85)</f>
        <v>4081050</v>
      </c>
      <c r="AW45" s="292">
        <f>SUM('PER BULAN'!BD85)</f>
        <v>10640750</v>
      </c>
      <c r="AX45" s="292">
        <f>SUM('PER BULAN'!BE85)</f>
        <v>0</v>
      </c>
    </row>
    <row r="46" spans="1:50" s="278" customFormat="1" x14ac:dyDescent="0.3">
      <c r="A46" s="277" t="s">
        <v>4693</v>
      </c>
      <c r="B46" s="277" t="s">
        <v>4694</v>
      </c>
      <c r="C46" s="277" t="s">
        <v>4720</v>
      </c>
      <c r="D46" s="277" t="s">
        <v>4721</v>
      </c>
      <c r="E46" s="277" t="s">
        <v>197</v>
      </c>
      <c r="F46" s="277" t="s">
        <v>4722</v>
      </c>
      <c r="G46" s="277" t="s">
        <v>4748</v>
      </c>
      <c r="H46" s="277" t="s">
        <v>4749</v>
      </c>
      <c r="I46" s="277">
        <v>301</v>
      </c>
      <c r="J46" s="277" t="s">
        <v>4754</v>
      </c>
      <c r="K46" s="277">
        <v>301</v>
      </c>
      <c r="L46" s="277" t="s">
        <v>4753</v>
      </c>
      <c r="M46" s="277" t="s">
        <v>512</v>
      </c>
      <c r="N46" s="277" t="s">
        <v>4755</v>
      </c>
      <c r="O46" s="277">
        <v>521211</v>
      </c>
      <c r="P46" s="277" t="s">
        <v>4698</v>
      </c>
      <c r="Q46" s="278">
        <v>46000000</v>
      </c>
      <c r="R46" s="292">
        <f>SUM('PER BULAN'!G87:I87)</f>
        <v>0</v>
      </c>
      <c r="S46" s="292">
        <f>SUM('PER BULAN'!J87:L87)</f>
        <v>0</v>
      </c>
      <c r="T46" s="292">
        <f>SUM('PER BULAN'!M87:O87)</f>
        <v>3987000</v>
      </c>
      <c r="U46" s="292">
        <f>SUM('PER BULAN'!P87:R87)</f>
        <v>0</v>
      </c>
      <c r="V46" s="292">
        <f>SUM('PER BULAN'!S87:U87)</f>
        <v>29384740</v>
      </c>
      <c r="W46" s="292">
        <f>SUM('PER BULAN'!V87:X87)</f>
        <v>0</v>
      </c>
      <c r="X46" s="292">
        <f>SUM('PER BULAN'!Y87:AA87)</f>
        <v>0</v>
      </c>
      <c r="Y46" s="292">
        <f>SUM('PER BULAN'!AB87:AD87)</f>
        <v>0</v>
      </c>
      <c r="Z46" s="292">
        <f>SUM('PER BULAN'!AE87:AG87)</f>
        <v>0</v>
      </c>
      <c r="AA46" s="292">
        <f>SUM('PER BULAN'!AH87:AJ87)</f>
        <v>0</v>
      </c>
      <c r="AB46" s="292">
        <f>SUM('PER BULAN'!AK87:AM87)</f>
        <v>0</v>
      </c>
      <c r="AC46" s="292">
        <f>SUM('PER BULAN'!AN87:AP87)</f>
        <v>0</v>
      </c>
      <c r="AD46" s="277" t="s">
        <v>530</v>
      </c>
      <c r="AE46" s="277" t="s">
        <v>576</v>
      </c>
      <c r="AF46" s="277" t="s">
        <v>560</v>
      </c>
      <c r="AG46" s="277" t="s">
        <v>4699</v>
      </c>
      <c r="AH46" s="277" t="s">
        <v>4700</v>
      </c>
      <c r="AI46" s="277">
        <f t="shared" si="0"/>
        <v>33371740</v>
      </c>
      <c r="AJ46" s="291">
        <f t="shared" si="1"/>
        <v>72.547260869565221</v>
      </c>
      <c r="AK46" s="277">
        <f t="shared" si="2"/>
        <v>12628260</v>
      </c>
      <c r="AL46" s="291">
        <f t="shared" si="3"/>
        <v>27.452739130434782</v>
      </c>
      <c r="AM46" s="277" t="s">
        <v>1419</v>
      </c>
      <c r="AN46" s="277" t="s">
        <v>4730</v>
      </c>
      <c r="AO46" s="277" t="s">
        <v>4731</v>
      </c>
      <c r="AP46" s="277" t="s">
        <v>4732</v>
      </c>
      <c r="AQ46" s="292">
        <f>SUM('PER BULAN'!AX87)</f>
        <v>0</v>
      </c>
      <c r="AR46" s="292">
        <f>SUM('PER BULAN'!AY87)</f>
        <v>3987000</v>
      </c>
      <c r="AS46" s="292">
        <f>SUM('PER BULAN'!AZ87)</f>
        <v>0</v>
      </c>
      <c r="AT46" s="292">
        <f>SUM('PER BULAN'!BA87)</f>
        <v>0</v>
      </c>
      <c r="AU46" s="292">
        <f>SUM('PER BULAN'!BB87)</f>
        <v>0</v>
      </c>
      <c r="AV46" s="292">
        <f>SUM('PER BULAN'!BC87)</f>
        <v>0</v>
      </c>
      <c r="AW46" s="292">
        <f>SUM('PER BULAN'!BD87)</f>
        <v>29384740</v>
      </c>
      <c r="AX46" s="292">
        <f>SUM('PER BULAN'!BE87)</f>
        <v>0</v>
      </c>
    </row>
    <row r="47" spans="1:50" s="278" customFormat="1" x14ac:dyDescent="0.3">
      <c r="A47" s="277" t="s">
        <v>4693</v>
      </c>
      <c r="B47" s="277" t="s">
        <v>4694</v>
      </c>
      <c r="C47" s="277" t="s">
        <v>4720</v>
      </c>
      <c r="D47" s="277" t="s">
        <v>4721</v>
      </c>
      <c r="E47" s="277" t="s">
        <v>197</v>
      </c>
      <c r="F47" s="277" t="s">
        <v>4722</v>
      </c>
      <c r="G47" s="277" t="s">
        <v>4748</v>
      </c>
      <c r="H47" s="277" t="s">
        <v>4749</v>
      </c>
      <c r="I47" s="277">
        <v>301</v>
      </c>
      <c r="J47" s="277" t="s">
        <v>4754</v>
      </c>
      <c r="K47" s="277">
        <v>301</v>
      </c>
      <c r="L47" s="277" t="s">
        <v>4753</v>
      </c>
      <c r="M47" s="277" t="s">
        <v>512</v>
      </c>
      <c r="N47" s="277" t="s">
        <v>4755</v>
      </c>
      <c r="O47" s="277">
        <v>522141</v>
      </c>
      <c r="P47" s="277" t="s">
        <v>4704</v>
      </c>
      <c r="Q47" s="278">
        <v>6000000</v>
      </c>
      <c r="R47" s="292">
        <f>SUM('PER BULAN'!G88:I88)</f>
        <v>0</v>
      </c>
      <c r="S47" s="292">
        <f>SUM('PER BULAN'!J88:L88)</f>
        <v>0</v>
      </c>
      <c r="T47" s="292">
        <f>SUM('PER BULAN'!M88:O88)</f>
        <v>0</v>
      </c>
      <c r="U47" s="292">
        <f>SUM('PER BULAN'!P88:R88)</f>
        <v>0</v>
      </c>
      <c r="V47" s="292">
        <f>SUM('PER BULAN'!S88:U88)</f>
        <v>0</v>
      </c>
      <c r="W47" s="292">
        <f>SUM('PER BULAN'!V88:X88)</f>
        <v>0</v>
      </c>
      <c r="X47" s="292">
        <f>SUM('PER BULAN'!Y88:AA88)</f>
        <v>0</v>
      </c>
      <c r="Y47" s="292">
        <f>SUM('PER BULAN'!AB88:AD88)</f>
        <v>0</v>
      </c>
      <c r="Z47" s="292">
        <f>SUM('PER BULAN'!AE88:AG88)</f>
        <v>0</v>
      </c>
      <c r="AA47" s="292">
        <f>SUM('PER BULAN'!AH88:AJ88)</f>
        <v>0</v>
      </c>
      <c r="AB47" s="292">
        <f>SUM('PER BULAN'!AK88:AM88)</f>
        <v>0</v>
      </c>
      <c r="AC47" s="292">
        <f>SUM('PER BULAN'!AN88:AP88)</f>
        <v>0</v>
      </c>
      <c r="AD47" s="277" t="s">
        <v>530</v>
      </c>
      <c r="AE47" s="277" t="s">
        <v>576</v>
      </c>
      <c r="AF47" s="277" t="s">
        <v>560</v>
      </c>
      <c r="AG47" s="277" t="s">
        <v>4699</v>
      </c>
      <c r="AH47" s="277" t="s">
        <v>4700</v>
      </c>
      <c r="AI47" s="277">
        <f t="shared" si="0"/>
        <v>0</v>
      </c>
      <c r="AJ47" s="291">
        <f t="shared" si="1"/>
        <v>0</v>
      </c>
      <c r="AK47" s="277">
        <f t="shared" si="2"/>
        <v>6000000</v>
      </c>
      <c r="AL47" s="291">
        <f t="shared" si="3"/>
        <v>100</v>
      </c>
      <c r="AM47" s="277" t="s">
        <v>1428</v>
      </c>
      <c r="AN47" s="277" t="s">
        <v>4730</v>
      </c>
      <c r="AO47" s="277" t="s">
        <v>4740</v>
      </c>
      <c r="AP47" s="277" t="s">
        <v>4732</v>
      </c>
      <c r="AQ47" s="292">
        <f>SUM('PER BULAN'!AX88)</f>
        <v>0</v>
      </c>
      <c r="AR47" s="292">
        <f>SUM('PER BULAN'!AY88)</f>
        <v>0</v>
      </c>
      <c r="AS47" s="292">
        <f>SUM('PER BULAN'!AZ88)</f>
        <v>0</v>
      </c>
      <c r="AT47" s="292">
        <f>SUM('PER BULAN'!BA88)</f>
        <v>0</v>
      </c>
      <c r="AU47" s="292">
        <f>SUM('PER BULAN'!BB88)</f>
        <v>0</v>
      </c>
      <c r="AV47" s="292">
        <f>SUM('PER BULAN'!BC88)</f>
        <v>0</v>
      </c>
      <c r="AW47" s="292">
        <f>SUM('PER BULAN'!BD88)</f>
        <v>0</v>
      </c>
      <c r="AX47" s="292">
        <f>SUM('PER BULAN'!BE88)</f>
        <v>0</v>
      </c>
    </row>
    <row r="48" spans="1:50" s="278" customFormat="1" x14ac:dyDescent="0.3">
      <c r="A48" s="277" t="s">
        <v>4693</v>
      </c>
      <c r="B48" s="277" t="s">
        <v>4694</v>
      </c>
      <c r="C48" s="277" t="s">
        <v>4720</v>
      </c>
      <c r="D48" s="277" t="s">
        <v>4721</v>
      </c>
      <c r="E48" s="277" t="s">
        <v>197</v>
      </c>
      <c r="F48" s="277" t="s">
        <v>4722</v>
      </c>
      <c r="G48" s="277" t="s">
        <v>4748</v>
      </c>
      <c r="H48" s="277" t="s">
        <v>4749</v>
      </c>
      <c r="I48" s="277">
        <v>301</v>
      </c>
      <c r="J48" s="277" t="s">
        <v>4754</v>
      </c>
      <c r="K48" s="277">
        <v>301</v>
      </c>
      <c r="L48" s="277" t="s">
        <v>4753</v>
      </c>
      <c r="M48" s="277" t="s">
        <v>512</v>
      </c>
      <c r="N48" s="277" t="s">
        <v>4755</v>
      </c>
      <c r="O48" s="277" t="s">
        <v>513</v>
      </c>
      <c r="P48" s="277" t="s">
        <v>4702</v>
      </c>
      <c r="Q48" s="278">
        <v>18000000</v>
      </c>
      <c r="R48" s="292">
        <f>SUM('PER BULAN'!G89:I89)</f>
        <v>0</v>
      </c>
      <c r="S48" s="292">
        <f>SUM('PER BULAN'!J89:L89)</f>
        <v>0</v>
      </c>
      <c r="T48" s="292">
        <f>SUM('PER BULAN'!M89:O89)</f>
        <v>1290000</v>
      </c>
      <c r="U48" s="292">
        <f>SUM('PER BULAN'!P89:R89)</f>
        <v>0</v>
      </c>
      <c r="V48" s="292">
        <f>SUM('PER BULAN'!S89:U89)</f>
        <v>7020000</v>
      </c>
      <c r="W48" s="292">
        <f>SUM('PER BULAN'!V89:X89)</f>
        <v>0</v>
      </c>
      <c r="X48" s="292">
        <f>SUM('PER BULAN'!Y89:AA89)</f>
        <v>0</v>
      </c>
      <c r="Y48" s="292">
        <f>SUM('PER BULAN'!AB89:AD89)</f>
        <v>0</v>
      </c>
      <c r="Z48" s="292">
        <f>SUM('PER BULAN'!AE89:AG89)</f>
        <v>0</v>
      </c>
      <c r="AA48" s="292">
        <f>SUM('PER BULAN'!AH89:AJ89)</f>
        <v>0</v>
      </c>
      <c r="AB48" s="292">
        <f>SUM('PER BULAN'!AK89:AM89)</f>
        <v>0</v>
      </c>
      <c r="AC48" s="292">
        <f>SUM('PER BULAN'!AN89:AP89)</f>
        <v>0</v>
      </c>
      <c r="AD48" s="277" t="s">
        <v>530</v>
      </c>
      <c r="AE48" s="277" t="s">
        <v>576</v>
      </c>
      <c r="AF48" s="277" t="s">
        <v>560</v>
      </c>
      <c r="AG48" s="277" t="s">
        <v>4699</v>
      </c>
      <c r="AH48" s="277" t="s">
        <v>4700</v>
      </c>
      <c r="AI48" s="277">
        <f t="shared" si="0"/>
        <v>8310000</v>
      </c>
      <c r="AJ48" s="291">
        <f t="shared" si="1"/>
        <v>46.166666666666664</v>
      </c>
      <c r="AK48" s="277">
        <f t="shared" si="2"/>
        <v>9690000</v>
      </c>
      <c r="AL48" s="291">
        <f t="shared" si="3"/>
        <v>53.833333333333336</v>
      </c>
      <c r="AM48" s="277" t="s">
        <v>1431</v>
      </c>
      <c r="AN48" s="277" t="s">
        <v>4730</v>
      </c>
      <c r="AO48" s="277" t="s">
        <v>4736</v>
      </c>
      <c r="AP48" s="277" t="s">
        <v>4732</v>
      </c>
      <c r="AQ48" s="292">
        <f>SUM('PER BULAN'!AX89)</f>
        <v>0</v>
      </c>
      <c r="AR48" s="292">
        <f>SUM('PER BULAN'!AY89)</f>
        <v>1290000</v>
      </c>
      <c r="AS48" s="292">
        <f>SUM('PER BULAN'!AZ89)</f>
        <v>0</v>
      </c>
      <c r="AT48" s="292">
        <f>SUM('PER BULAN'!BA89)</f>
        <v>0</v>
      </c>
      <c r="AU48" s="292">
        <f>SUM('PER BULAN'!BB89)</f>
        <v>3300000</v>
      </c>
      <c r="AV48" s="292">
        <f>SUM('PER BULAN'!BC89)</f>
        <v>3720000</v>
      </c>
      <c r="AW48" s="292">
        <f>SUM('PER BULAN'!BD89)</f>
        <v>0</v>
      </c>
      <c r="AX48" s="292">
        <f>SUM('PER BULAN'!BE89)</f>
        <v>0</v>
      </c>
    </row>
    <row r="49" spans="1:50" s="278" customFormat="1" x14ac:dyDescent="0.3">
      <c r="A49" s="277" t="s">
        <v>4693</v>
      </c>
      <c r="B49" s="277" t="s">
        <v>4694</v>
      </c>
      <c r="C49" s="277" t="s">
        <v>4720</v>
      </c>
      <c r="D49" s="277" t="s">
        <v>4721</v>
      </c>
      <c r="E49" s="277" t="s">
        <v>197</v>
      </c>
      <c r="F49" s="277" t="s">
        <v>4722</v>
      </c>
      <c r="G49" s="277" t="s">
        <v>4748</v>
      </c>
      <c r="H49" s="277" t="s">
        <v>4749</v>
      </c>
      <c r="I49" s="277">
        <v>301</v>
      </c>
      <c r="J49" s="277" t="s">
        <v>4754</v>
      </c>
      <c r="K49" s="277">
        <v>301</v>
      </c>
      <c r="L49" s="277" t="s">
        <v>4753</v>
      </c>
      <c r="M49" s="277" t="s">
        <v>512</v>
      </c>
      <c r="N49" s="277" t="s">
        <v>4755</v>
      </c>
      <c r="O49" s="277" t="s">
        <v>507</v>
      </c>
      <c r="P49" s="277" t="s">
        <v>508</v>
      </c>
      <c r="Q49" s="278">
        <v>4500000</v>
      </c>
      <c r="R49" s="292">
        <f>SUM('PER BULAN'!G90:I90)</f>
        <v>0</v>
      </c>
      <c r="S49" s="292">
        <f>SUM('PER BULAN'!J90:L90)</f>
        <v>0</v>
      </c>
      <c r="T49" s="292">
        <f>SUM('PER BULAN'!M90:O90)</f>
        <v>600000</v>
      </c>
      <c r="U49" s="292">
        <f>SUM('PER BULAN'!P90:R90)</f>
        <v>0</v>
      </c>
      <c r="V49" s="292">
        <f>SUM('PER BULAN'!S90:U90)</f>
        <v>0</v>
      </c>
      <c r="W49" s="292">
        <f>SUM('PER BULAN'!V90:X90)</f>
        <v>0</v>
      </c>
      <c r="X49" s="292">
        <f>SUM('PER BULAN'!Y90:AA90)</f>
        <v>0</v>
      </c>
      <c r="Y49" s="292">
        <f>SUM('PER BULAN'!AB90:AD90)</f>
        <v>0</v>
      </c>
      <c r="Z49" s="292">
        <f>SUM('PER BULAN'!AE90:AG90)</f>
        <v>0</v>
      </c>
      <c r="AA49" s="292">
        <f>SUM('PER BULAN'!AH90:AJ90)</f>
        <v>0</v>
      </c>
      <c r="AB49" s="292">
        <f>SUM('PER BULAN'!AK90:AM90)</f>
        <v>0</v>
      </c>
      <c r="AC49" s="292">
        <f>SUM('PER BULAN'!AN90:AP90)</f>
        <v>0</v>
      </c>
      <c r="AD49" s="277" t="s">
        <v>530</v>
      </c>
      <c r="AE49" s="277" t="s">
        <v>576</v>
      </c>
      <c r="AF49" s="277" t="s">
        <v>560</v>
      </c>
      <c r="AG49" s="277" t="s">
        <v>4699</v>
      </c>
      <c r="AH49" s="277" t="s">
        <v>4700</v>
      </c>
      <c r="AI49" s="277">
        <f t="shared" si="0"/>
        <v>600000</v>
      </c>
      <c r="AJ49" s="291">
        <f t="shared" si="1"/>
        <v>13.333333333333334</v>
      </c>
      <c r="AK49" s="277">
        <f t="shared" si="2"/>
        <v>3900000</v>
      </c>
      <c r="AL49" s="291">
        <f t="shared" si="3"/>
        <v>86.666666666666671</v>
      </c>
      <c r="AM49" s="277" t="s">
        <v>1434</v>
      </c>
      <c r="AN49" s="277" t="s">
        <v>4730</v>
      </c>
      <c r="AO49" s="277" t="s">
        <v>4738</v>
      </c>
      <c r="AP49" s="277" t="s">
        <v>4732</v>
      </c>
      <c r="AQ49" s="292">
        <f>SUM('PER BULAN'!AX90)</f>
        <v>600000</v>
      </c>
      <c r="AR49" s="292">
        <f>SUM('PER BULAN'!AY90)</f>
        <v>0</v>
      </c>
      <c r="AS49" s="292">
        <f>SUM('PER BULAN'!AZ90)</f>
        <v>0</v>
      </c>
      <c r="AT49" s="292">
        <f>SUM('PER BULAN'!BA90)</f>
        <v>0</v>
      </c>
      <c r="AU49" s="292">
        <f>SUM('PER BULAN'!BB90)</f>
        <v>0</v>
      </c>
      <c r="AV49" s="292">
        <f>SUM('PER BULAN'!BC90)</f>
        <v>0</v>
      </c>
      <c r="AW49" s="292">
        <f>SUM('PER BULAN'!BD90)</f>
        <v>0</v>
      </c>
      <c r="AX49" s="292">
        <f>SUM('PER BULAN'!BE90)</f>
        <v>0</v>
      </c>
    </row>
    <row r="50" spans="1:50" s="278" customFormat="1" x14ac:dyDescent="0.3">
      <c r="A50" s="277" t="s">
        <v>4693</v>
      </c>
      <c r="B50" s="277" t="s">
        <v>4694</v>
      </c>
      <c r="C50" s="277" t="s">
        <v>4720</v>
      </c>
      <c r="D50" s="277" t="s">
        <v>4721</v>
      </c>
      <c r="E50" s="277" t="s">
        <v>197</v>
      </c>
      <c r="F50" s="277" t="s">
        <v>4722</v>
      </c>
      <c r="G50" s="277" t="s">
        <v>4748</v>
      </c>
      <c r="H50" s="277" t="s">
        <v>4749</v>
      </c>
      <c r="I50" s="277">
        <v>301</v>
      </c>
      <c r="J50" s="277" t="s">
        <v>4754</v>
      </c>
      <c r="K50" s="277">
        <v>301</v>
      </c>
      <c r="L50" s="277" t="s">
        <v>4753</v>
      </c>
      <c r="M50" s="277" t="s">
        <v>514</v>
      </c>
      <c r="N50" s="277" t="s">
        <v>4726</v>
      </c>
      <c r="O50" s="277">
        <v>521211</v>
      </c>
      <c r="P50" s="277" t="s">
        <v>4698</v>
      </c>
      <c r="Q50" s="278">
        <v>28000000</v>
      </c>
      <c r="R50" s="292">
        <f>SUM('PER BULAN'!G92:I92)</f>
        <v>0</v>
      </c>
      <c r="S50" s="292">
        <f>SUM('PER BULAN'!J92:L92)</f>
        <v>0</v>
      </c>
      <c r="T50" s="292">
        <f>SUM('PER BULAN'!M92:O92)</f>
        <v>5459000</v>
      </c>
      <c r="U50" s="292">
        <f>SUM('PER BULAN'!P92:R92)</f>
        <v>0</v>
      </c>
      <c r="V50" s="292">
        <f>SUM('PER BULAN'!S92:U92)</f>
        <v>0</v>
      </c>
      <c r="W50" s="292">
        <f>SUM('PER BULAN'!V92:X92)</f>
        <v>0</v>
      </c>
      <c r="X50" s="292">
        <f>SUM('PER BULAN'!Y92:AA92)</f>
        <v>0</v>
      </c>
      <c r="Y50" s="292">
        <f>SUM('PER BULAN'!AB92:AD92)</f>
        <v>0</v>
      </c>
      <c r="Z50" s="292">
        <f>SUM('PER BULAN'!AE92:AG92)</f>
        <v>0</v>
      </c>
      <c r="AA50" s="292">
        <f>SUM('PER BULAN'!AH92:AJ92)</f>
        <v>0</v>
      </c>
      <c r="AB50" s="292">
        <f>SUM('PER BULAN'!AK92:AM92)</f>
        <v>0</v>
      </c>
      <c r="AC50" s="292">
        <f>SUM('PER BULAN'!AN92:AP92)</f>
        <v>0</v>
      </c>
      <c r="AD50" s="277" t="s">
        <v>530</v>
      </c>
      <c r="AE50" s="277" t="s">
        <v>576</v>
      </c>
      <c r="AF50" s="277" t="s">
        <v>560</v>
      </c>
      <c r="AG50" s="277" t="s">
        <v>4699</v>
      </c>
      <c r="AH50" s="277" t="s">
        <v>4700</v>
      </c>
      <c r="AI50" s="277">
        <f t="shared" si="0"/>
        <v>5459000</v>
      </c>
      <c r="AJ50" s="291">
        <f t="shared" si="1"/>
        <v>19.49642857142857</v>
      </c>
      <c r="AK50" s="277">
        <f t="shared" si="2"/>
        <v>22541000</v>
      </c>
      <c r="AL50" s="291">
        <f t="shared" si="3"/>
        <v>80.503571428571433</v>
      </c>
      <c r="AM50" s="277" t="s">
        <v>1438</v>
      </c>
      <c r="AN50" s="277" t="s">
        <v>4730</v>
      </c>
      <c r="AO50" s="277" t="s">
        <v>4731</v>
      </c>
      <c r="AP50" s="277" t="s">
        <v>4732</v>
      </c>
      <c r="AQ50" s="292">
        <f>SUM('PER BULAN'!AX92)</f>
        <v>0</v>
      </c>
      <c r="AR50" s="292">
        <f>SUM('PER BULAN'!AY92)</f>
        <v>5459000</v>
      </c>
      <c r="AS50" s="292">
        <f>SUM('PER BULAN'!AZ92)</f>
        <v>0</v>
      </c>
      <c r="AT50" s="292">
        <f>SUM('PER BULAN'!BA92)</f>
        <v>0</v>
      </c>
      <c r="AU50" s="292">
        <f>SUM('PER BULAN'!BB92)</f>
        <v>0</v>
      </c>
      <c r="AV50" s="292">
        <f>SUM('PER BULAN'!BC92)</f>
        <v>0</v>
      </c>
      <c r="AW50" s="292">
        <f>SUM('PER BULAN'!BD92)</f>
        <v>0</v>
      </c>
      <c r="AX50" s="292">
        <f>SUM('PER BULAN'!BE92)</f>
        <v>0</v>
      </c>
    </row>
    <row r="51" spans="1:50" s="278" customFormat="1" x14ac:dyDescent="0.3">
      <c r="A51" s="277" t="s">
        <v>4693</v>
      </c>
      <c r="B51" s="277" t="s">
        <v>4694</v>
      </c>
      <c r="C51" s="277" t="s">
        <v>4720</v>
      </c>
      <c r="D51" s="277" t="s">
        <v>4721</v>
      </c>
      <c r="E51" s="277" t="s">
        <v>197</v>
      </c>
      <c r="F51" s="277" t="s">
        <v>4722</v>
      </c>
      <c r="G51" s="277" t="s">
        <v>4748</v>
      </c>
      <c r="H51" s="277" t="s">
        <v>4749</v>
      </c>
      <c r="I51" s="277">
        <v>301</v>
      </c>
      <c r="J51" s="277" t="s">
        <v>4754</v>
      </c>
      <c r="K51" s="277">
        <v>301</v>
      </c>
      <c r="L51" s="277" t="s">
        <v>4753</v>
      </c>
      <c r="M51" s="277" t="s">
        <v>514</v>
      </c>
      <c r="N51" s="277" t="s">
        <v>4726</v>
      </c>
      <c r="O51" s="277" t="s">
        <v>513</v>
      </c>
      <c r="P51" s="277" t="s">
        <v>4702</v>
      </c>
      <c r="Q51" s="278">
        <v>71250000</v>
      </c>
      <c r="R51" s="292">
        <f>SUM('PER BULAN'!G93:I93)</f>
        <v>0</v>
      </c>
      <c r="S51" s="292">
        <f>SUM('PER BULAN'!J93:L93)</f>
        <v>0</v>
      </c>
      <c r="T51" s="292">
        <f>SUM('PER BULAN'!M93:O93)</f>
        <v>8227400</v>
      </c>
      <c r="U51" s="292">
        <f>SUM('PER BULAN'!P93:R93)</f>
        <v>15762838</v>
      </c>
      <c r="V51" s="292">
        <f>SUM('PER BULAN'!S93:U93)</f>
        <v>3691500</v>
      </c>
      <c r="W51" s="292">
        <f>SUM('PER BULAN'!V93:X93)</f>
        <v>0</v>
      </c>
      <c r="X51" s="292">
        <f>SUM('PER BULAN'!Y93:AA93)</f>
        <v>0</v>
      </c>
      <c r="Y51" s="292">
        <f>SUM('PER BULAN'!AB93:AD93)</f>
        <v>0</v>
      </c>
      <c r="Z51" s="292">
        <f>SUM('PER BULAN'!AE93:AG93)</f>
        <v>0</v>
      </c>
      <c r="AA51" s="292">
        <f>SUM('PER BULAN'!AH93:AJ93)</f>
        <v>0</v>
      </c>
      <c r="AB51" s="292">
        <f>SUM('PER BULAN'!AK93:AM93)</f>
        <v>0</v>
      </c>
      <c r="AC51" s="292">
        <f>SUM('PER BULAN'!AN93:AP93)</f>
        <v>0</v>
      </c>
      <c r="AD51" s="277" t="s">
        <v>530</v>
      </c>
      <c r="AE51" s="277" t="s">
        <v>576</v>
      </c>
      <c r="AF51" s="277" t="s">
        <v>560</v>
      </c>
      <c r="AG51" s="277" t="s">
        <v>4699</v>
      </c>
      <c r="AH51" s="277" t="s">
        <v>4700</v>
      </c>
      <c r="AI51" s="277">
        <f t="shared" si="0"/>
        <v>27681738</v>
      </c>
      <c r="AJ51" s="291">
        <f t="shared" si="1"/>
        <v>38.851562105263163</v>
      </c>
      <c r="AK51" s="277">
        <f t="shared" si="2"/>
        <v>43568262</v>
      </c>
      <c r="AL51" s="291">
        <f t="shared" si="3"/>
        <v>61.148437894736837</v>
      </c>
      <c r="AM51" s="277" t="s">
        <v>1443</v>
      </c>
      <c r="AN51" s="277" t="s">
        <v>4730</v>
      </c>
      <c r="AO51" s="277" t="s">
        <v>4736</v>
      </c>
      <c r="AP51" s="277" t="s">
        <v>4732</v>
      </c>
      <c r="AQ51" s="292">
        <f>SUM('PER BULAN'!AX93)</f>
        <v>4907400</v>
      </c>
      <c r="AR51" s="292">
        <f>SUM('PER BULAN'!AY93)</f>
        <v>3320000</v>
      </c>
      <c r="AS51" s="292">
        <f>SUM('PER BULAN'!AZ93)</f>
        <v>0</v>
      </c>
      <c r="AT51" s="292">
        <f>SUM('PER BULAN'!BA93)</f>
        <v>1410000</v>
      </c>
      <c r="AU51" s="292">
        <f>SUM('PER BULAN'!BB93)</f>
        <v>0</v>
      </c>
      <c r="AV51" s="292">
        <f>SUM('PER BULAN'!BC93)</f>
        <v>0</v>
      </c>
      <c r="AW51" s="292">
        <f>SUM('PER BULAN'!BD93)</f>
        <v>3691500</v>
      </c>
      <c r="AX51" s="292">
        <f>SUM('PER BULAN'!BE93)</f>
        <v>0</v>
      </c>
    </row>
    <row r="52" spans="1:50" s="278" customFormat="1" x14ac:dyDescent="0.3">
      <c r="A52" s="277" t="s">
        <v>4693</v>
      </c>
      <c r="B52" s="277" t="s">
        <v>4694</v>
      </c>
      <c r="C52" s="277" t="s">
        <v>4720</v>
      </c>
      <c r="D52" s="277" t="s">
        <v>4721</v>
      </c>
      <c r="E52" s="277" t="s">
        <v>197</v>
      </c>
      <c r="F52" s="277" t="s">
        <v>4722</v>
      </c>
      <c r="G52" s="277" t="s">
        <v>4748</v>
      </c>
      <c r="H52" s="277" t="s">
        <v>4749</v>
      </c>
      <c r="I52" s="277">
        <v>301</v>
      </c>
      <c r="J52" s="277" t="s">
        <v>4754</v>
      </c>
      <c r="K52" s="277">
        <v>301</v>
      </c>
      <c r="L52" s="277" t="s">
        <v>4753</v>
      </c>
      <c r="M52" s="277" t="s">
        <v>514</v>
      </c>
      <c r="N52" s="277" t="s">
        <v>4726</v>
      </c>
      <c r="O52" s="277" t="s">
        <v>507</v>
      </c>
      <c r="P52" s="277" t="s">
        <v>508</v>
      </c>
      <c r="Q52" s="278">
        <v>1800000</v>
      </c>
      <c r="R52" s="292">
        <f>SUM('PER BULAN'!G94:I94)</f>
        <v>0</v>
      </c>
      <c r="S52" s="292">
        <f>SUM('PER BULAN'!J94:L94)</f>
        <v>0</v>
      </c>
      <c r="T52" s="292">
        <f>SUM('PER BULAN'!M94:O94)</f>
        <v>0</v>
      </c>
      <c r="U52" s="292">
        <f>SUM('PER BULAN'!P94:R94)</f>
        <v>0</v>
      </c>
      <c r="V52" s="292">
        <f>SUM('PER BULAN'!S94:U94)</f>
        <v>0</v>
      </c>
      <c r="W52" s="292">
        <f>SUM('PER BULAN'!V94:X94)</f>
        <v>0</v>
      </c>
      <c r="X52" s="292">
        <f>SUM('PER BULAN'!Y94:AA94)</f>
        <v>0</v>
      </c>
      <c r="Y52" s="292">
        <f>SUM('PER BULAN'!AB94:AD94)</f>
        <v>0</v>
      </c>
      <c r="Z52" s="292">
        <f>SUM('PER BULAN'!AE94:AG94)</f>
        <v>0</v>
      </c>
      <c r="AA52" s="292">
        <f>SUM('PER BULAN'!AH94:AJ94)</f>
        <v>0</v>
      </c>
      <c r="AB52" s="292">
        <f>SUM('PER BULAN'!AK94:AM94)</f>
        <v>0</v>
      </c>
      <c r="AC52" s="292">
        <f>SUM('PER BULAN'!AN94:AP94)</f>
        <v>0</v>
      </c>
      <c r="AD52" s="277" t="s">
        <v>530</v>
      </c>
      <c r="AE52" s="277" t="s">
        <v>576</v>
      </c>
      <c r="AF52" s="277" t="s">
        <v>560</v>
      </c>
      <c r="AG52" s="277" t="s">
        <v>4699</v>
      </c>
      <c r="AH52" s="277" t="s">
        <v>4700</v>
      </c>
      <c r="AI52" s="277">
        <f t="shared" si="0"/>
        <v>0</v>
      </c>
      <c r="AJ52" s="291">
        <f t="shared" si="1"/>
        <v>0</v>
      </c>
      <c r="AK52" s="277">
        <f t="shared" si="2"/>
        <v>1800000</v>
      </c>
      <c r="AL52" s="291">
        <f t="shared" si="3"/>
        <v>100</v>
      </c>
      <c r="AM52" s="277" t="s">
        <v>1434</v>
      </c>
      <c r="AN52" s="277" t="s">
        <v>4730</v>
      </c>
      <c r="AO52" s="277" t="s">
        <v>4738</v>
      </c>
      <c r="AP52" s="277" t="s">
        <v>4732</v>
      </c>
      <c r="AQ52" s="292">
        <f>SUM('PER BULAN'!AX94)</f>
        <v>0</v>
      </c>
      <c r="AR52" s="292">
        <f>SUM('PER BULAN'!AY94)</f>
        <v>0</v>
      </c>
      <c r="AS52" s="292">
        <f>SUM('PER BULAN'!AZ94)</f>
        <v>0</v>
      </c>
      <c r="AT52" s="292">
        <f>SUM('PER BULAN'!BA94)</f>
        <v>0</v>
      </c>
      <c r="AU52" s="292">
        <f>SUM('PER BULAN'!BB94)</f>
        <v>0</v>
      </c>
      <c r="AV52" s="292">
        <f>SUM('PER BULAN'!BC94)</f>
        <v>0</v>
      </c>
      <c r="AW52" s="292">
        <f>SUM('PER BULAN'!BD94)</f>
        <v>0</v>
      </c>
      <c r="AX52" s="292">
        <f>SUM('PER BULAN'!BE94)</f>
        <v>0</v>
      </c>
    </row>
    <row r="53" spans="1:50" s="278" customFormat="1" x14ac:dyDescent="0.3">
      <c r="A53" s="277" t="s">
        <v>4693</v>
      </c>
      <c r="B53" s="277" t="s">
        <v>4694</v>
      </c>
      <c r="C53" s="277" t="s">
        <v>4720</v>
      </c>
      <c r="D53" s="277" t="s">
        <v>4721</v>
      </c>
      <c r="E53" s="277" t="s">
        <v>197</v>
      </c>
      <c r="F53" s="277" t="s">
        <v>4722</v>
      </c>
      <c r="G53" s="277" t="s">
        <v>4748</v>
      </c>
      <c r="H53" s="277" t="s">
        <v>4749</v>
      </c>
      <c r="I53" s="277">
        <v>301</v>
      </c>
      <c r="J53" s="277" t="s">
        <v>4754</v>
      </c>
      <c r="K53" s="277">
        <v>301</v>
      </c>
      <c r="L53" s="277" t="s">
        <v>4753</v>
      </c>
      <c r="M53" s="277" t="s">
        <v>519</v>
      </c>
      <c r="N53" s="277" t="s">
        <v>4756</v>
      </c>
      <c r="O53" s="277">
        <v>521211</v>
      </c>
      <c r="P53" s="277" t="s">
        <v>4698</v>
      </c>
      <c r="Q53" s="278">
        <v>57600000</v>
      </c>
      <c r="R53" s="292">
        <f>SUM('PER BULAN'!G87:I87)</f>
        <v>0</v>
      </c>
      <c r="S53" s="292">
        <f>SUM('PER BULAN'!J87:L87)</f>
        <v>0</v>
      </c>
      <c r="T53" s="292">
        <f>SUM('PER BULAN'!M96:O96)</f>
        <v>31495000</v>
      </c>
      <c r="U53" s="292">
        <f>SUM('PER BULAN'!P96:R96)</f>
        <v>0</v>
      </c>
      <c r="V53" s="292">
        <f>SUM('PER BULAN'!S96:U96)</f>
        <v>6600000</v>
      </c>
      <c r="W53" s="292">
        <f>SUM('PER BULAN'!V96:X96)</f>
        <v>0</v>
      </c>
      <c r="X53" s="292">
        <f>SUM('PER BULAN'!Y96:AA96)</f>
        <v>0</v>
      </c>
      <c r="Y53" s="292">
        <f>SUM('PER BULAN'!AB96:AD96)</f>
        <v>0</v>
      </c>
      <c r="Z53" s="292">
        <f>SUM('PER BULAN'!AE96:AG96)</f>
        <v>0</v>
      </c>
      <c r="AA53" s="292">
        <f>SUM('PER BULAN'!AH96:AJ96)</f>
        <v>0</v>
      </c>
      <c r="AB53" s="292">
        <f>SUM('PER BULAN'!AK96:AM96)</f>
        <v>0</v>
      </c>
      <c r="AC53" s="292">
        <f>SUM('PER BULAN'!AN96:AP96)</f>
        <v>0</v>
      </c>
      <c r="AD53" s="277" t="s">
        <v>530</v>
      </c>
      <c r="AE53" s="277" t="s">
        <v>576</v>
      </c>
      <c r="AF53" s="277" t="s">
        <v>560</v>
      </c>
      <c r="AG53" s="277" t="s">
        <v>4699</v>
      </c>
      <c r="AH53" s="277" t="s">
        <v>4700</v>
      </c>
      <c r="AI53" s="277">
        <f t="shared" si="0"/>
        <v>38095000</v>
      </c>
      <c r="AJ53" s="291">
        <f t="shared" si="1"/>
        <v>66.137152777777771</v>
      </c>
      <c r="AK53" s="277">
        <f t="shared" si="2"/>
        <v>19505000</v>
      </c>
      <c r="AL53" s="291">
        <f t="shared" si="3"/>
        <v>33.862847222222221</v>
      </c>
      <c r="AM53" s="277" t="s">
        <v>1467</v>
      </c>
      <c r="AN53" s="277" t="s">
        <v>4730</v>
      </c>
      <c r="AO53" s="277" t="s">
        <v>4731</v>
      </c>
      <c r="AP53" s="277" t="s">
        <v>4732</v>
      </c>
      <c r="AQ53" s="292">
        <f>SUM('PER BULAN'!AX96)</f>
        <v>0</v>
      </c>
      <c r="AR53" s="292">
        <f>SUM('PER BULAN'!AY96)</f>
        <v>31495000</v>
      </c>
      <c r="AS53" s="292">
        <f>SUM('PER BULAN'!AZ96)</f>
        <v>0</v>
      </c>
      <c r="AT53" s="292">
        <f>SUM('PER BULAN'!BA96)</f>
        <v>0</v>
      </c>
      <c r="AU53" s="292">
        <f>SUM('PER BULAN'!BB96)</f>
        <v>0</v>
      </c>
      <c r="AV53" s="292">
        <f>SUM('PER BULAN'!BC96)</f>
        <v>0</v>
      </c>
      <c r="AW53" s="292">
        <f>SUM('PER BULAN'!BD96)</f>
        <v>6600000</v>
      </c>
      <c r="AX53" s="292">
        <f>SUM('PER BULAN'!BE96)</f>
        <v>0</v>
      </c>
    </row>
    <row r="54" spans="1:50" s="278" customFormat="1" x14ac:dyDescent="0.3">
      <c r="A54" s="277" t="s">
        <v>4693</v>
      </c>
      <c r="B54" s="277" t="s">
        <v>4694</v>
      </c>
      <c r="C54" s="277" t="s">
        <v>4720</v>
      </c>
      <c r="D54" s="277" t="s">
        <v>4721</v>
      </c>
      <c r="E54" s="277" t="s">
        <v>197</v>
      </c>
      <c r="F54" s="277" t="s">
        <v>4722</v>
      </c>
      <c r="G54" s="277" t="s">
        <v>4748</v>
      </c>
      <c r="H54" s="277" t="s">
        <v>4749</v>
      </c>
      <c r="I54" s="277">
        <v>301</v>
      </c>
      <c r="J54" s="277" t="s">
        <v>4754</v>
      </c>
      <c r="K54" s="277">
        <v>301</v>
      </c>
      <c r="L54" s="277" t="s">
        <v>4753</v>
      </c>
      <c r="M54" s="277" t="s">
        <v>519</v>
      </c>
      <c r="N54" s="277" t="s">
        <v>4756</v>
      </c>
      <c r="O54" s="277">
        <v>521241</v>
      </c>
      <c r="P54" s="277" t="s">
        <v>4757</v>
      </c>
      <c r="Q54" s="278">
        <v>226200000</v>
      </c>
      <c r="R54" s="292">
        <f>SUM('PER BULAN'!G97:I97)</f>
        <v>0</v>
      </c>
      <c r="S54" s="292">
        <f>SUM('PER BULAN'!J97:L97)</f>
        <v>0</v>
      </c>
      <c r="T54" s="292">
        <f>SUM('PER BULAN'!M97:O97)</f>
        <v>47132450</v>
      </c>
      <c r="U54" s="292">
        <f>SUM('PER BULAN'!P97:R97)</f>
        <v>0</v>
      </c>
      <c r="V54" s="292">
        <f>SUM('PER BULAN'!S97:U97)</f>
        <v>20031830</v>
      </c>
      <c r="W54" s="292">
        <f>SUM('PER BULAN'!V97:X97)</f>
        <v>0</v>
      </c>
      <c r="X54" s="292">
        <f>SUM('PER BULAN'!Y97:AA97)</f>
        <v>0</v>
      </c>
      <c r="Y54" s="292">
        <f>SUM('PER BULAN'!AB97:AD97)</f>
        <v>0</v>
      </c>
      <c r="Z54" s="292">
        <f>SUM('PER BULAN'!AE97:AG97)</f>
        <v>0</v>
      </c>
      <c r="AA54" s="292">
        <f>SUM('PER BULAN'!AH97:AJ97)</f>
        <v>0</v>
      </c>
      <c r="AB54" s="292">
        <f>SUM('PER BULAN'!AK97:AM97)</f>
        <v>0</v>
      </c>
      <c r="AC54" s="292">
        <f>SUM('PER BULAN'!AN97:AP97)</f>
        <v>0</v>
      </c>
      <c r="AD54" s="277" t="s">
        <v>530</v>
      </c>
      <c r="AE54" s="277" t="s">
        <v>576</v>
      </c>
      <c r="AF54" s="277" t="s">
        <v>560</v>
      </c>
      <c r="AG54" s="277" t="s">
        <v>4699</v>
      </c>
      <c r="AH54" s="277" t="s">
        <v>4700</v>
      </c>
      <c r="AI54" s="277">
        <f t="shared" si="0"/>
        <v>67164280</v>
      </c>
      <c r="AJ54" s="291">
        <f t="shared" si="1"/>
        <v>29.692431476569407</v>
      </c>
      <c r="AK54" s="277">
        <f t="shared" si="2"/>
        <v>159035720</v>
      </c>
      <c r="AL54" s="291">
        <f t="shared" si="3"/>
        <v>70.307568523430604</v>
      </c>
      <c r="AM54" s="277" t="s">
        <v>1455</v>
      </c>
      <c r="AN54" s="277" t="s">
        <v>4734</v>
      </c>
      <c r="AO54" s="277" t="s">
        <v>4735</v>
      </c>
      <c r="AP54" s="277" t="s">
        <v>4732</v>
      </c>
      <c r="AQ54" s="292">
        <f>SUM('PER BULAN'!AX97)</f>
        <v>0</v>
      </c>
      <c r="AR54" s="292">
        <f>SUM('PER BULAN'!AY97)</f>
        <v>35332450</v>
      </c>
      <c r="AS54" s="292">
        <f>SUM('PER BULAN'!AZ97)</f>
        <v>11800000</v>
      </c>
      <c r="AT54" s="292">
        <f>SUM('PER BULAN'!BA97)</f>
        <v>0</v>
      </c>
      <c r="AU54" s="292">
        <f>SUM('PER BULAN'!BB97)</f>
        <v>0</v>
      </c>
      <c r="AV54" s="292">
        <f>SUM('PER BULAN'!BC97)</f>
        <v>0</v>
      </c>
      <c r="AW54" s="292">
        <f>SUM('PER BULAN'!BD97)</f>
        <v>20031830</v>
      </c>
      <c r="AX54" s="292">
        <f>SUM('PER BULAN'!BE97)</f>
        <v>0</v>
      </c>
    </row>
    <row r="55" spans="1:50" s="278" customFormat="1" x14ac:dyDescent="0.3">
      <c r="A55" s="277" t="s">
        <v>4693</v>
      </c>
      <c r="B55" s="277" t="s">
        <v>4694</v>
      </c>
      <c r="C55" s="277" t="s">
        <v>4720</v>
      </c>
      <c r="D55" s="277" t="s">
        <v>4721</v>
      </c>
      <c r="E55" s="277" t="s">
        <v>197</v>
      </c>
      <c r="F55" s="277" t="s">
        <v>4722</v>
      </c>
      <c r="G55" s="277" t="s">
        <v>4748</v>
      </c>
      <c r="H55" s="277" t="s">
        <v>4749</v>
      </c>
      <c r="I55" s="277">
        <v>301</v>
      </c>
      <c r="J55" s="277" t="s">
        <v>4754</v>
      </c>
      <c r="K55" s="277">
        <v>301</v>
      </c>
      <c r="L55" s="277" t="s">
        <v>4753</v>
      </c>
      <c r="M55" s="277" t="s">
        <v>519</v>
      </c>
      <c r="N55" s="277" t="s">
        <v>4756</v>
      </c>
      <c r="O55" s="277">
        <v>522191</v>
      </c>
      <c r="P55" s="277" t="s">
        <v>4802</v>
      </c>
      <c r="Q55" s="278">
        <v>35000000</v>
      </c>
      <c r="R55" s="292">
        <f>SUM('PER BULAN'!G98:I98)</f>
        <v>0</v>
      </c>
      <c r="S55" s="292">
        <f>SUM('PER BULAN'!J98:L98)</f>
        <v>0</v>
      </c>
      <c r="T55" s="292">
        <f>SUM('PER BULAN'!M98:O98)</f>
        <v>0</v>
      </c>
      <c r="U55" s="292">
        <f>SUM('PER BULAN'!P98:R98)</f>
        <v>0</v>
      </c>
      <c r="V55" s="292">
        <f>SUM('PER BULAN'!S98:U98)</f>
        <v>0</v>
      </c>
      <c r="W55" s="292">
        <f>SUM('PER BULAN'!V98:X98)</f>
        <v>0</v>
      </c>
      <c r="X55" s="292">
        <f>SUM('PER BULAN'!Y98:AA98)</f>
        <v>0</v>
      </c>
      <c r="Y55" s="292">
        <f>SUM('PER BULAN'!AB98:AD98)</f>
        <v>0</v>
      </c>
      <c r="Z55" s="292">
        <f>SUM('PER BULAN'!AE98:AG98)</f>
        <v>0</v>
      </c>
      <c r="AA55" s="292">
        <f>SUM('PER BULAN'!AH98:AJ98)</f>
        <v>0</v>
      </c>
      <c r="AB55" s="292">
        <f>SUM('PER BULAN'!AK98:AM98)</f>
        <v>0</v>
      </c>
      <c r="AC55" s="292">
        <f>SUM('PER BULAN'!AN98:AP98)</f>
        <v>0</v>
      </c>
      <c r="AD55" s="277" t="s">
        <v>530</v>
      </c>
      <c r="AE55" s="277" t="s">
        <v>576</v>
      </c>
      <c r="AF55" s="277" t="s">
        <v>560</v>
      </c>
      <c r="AG55" s="277">
        <v>52</v>
      </c>
      <c r="AH55" s="277" t="s">
        <v>4700</v>
      </c>
      <c r="AI55" s="277">
        <f t="shared" ref="AI55" si="4">SUM(R55:AC55)</f>
        <v>0</v>
      </c>
      <c r="AJ55" s="291">
        <f>AI55/Q55*100</f>
        <v>0</v>
      </c>
      <c r="AK55" s="277">
        <f t="shared" ref="AK55" si="5">Q55-AI55</f>
        <v>35000000</v>
      </c>
      <c r="AL55" s="291">
        <f t="shared" si="3"/>
        <v>100</v>
      </c>
      <c r="AM55" s="277" t="s">
        <v>4861</v>
      </c>
      <c r="AN55" s="277" t="s">
        <v>4730</v>
      </c>
      <c r="AO55" s="277" t="s">
        <v>4735</v>
      </c>
      <c r="AP55" s="277" t="s">
        <v>4732</v>
      </c>
      <c r="AQ55" s="292"/>
      <c r="AR55" s="292"/>
      <c r="AS55" s="292"/>
      <c r="AT55" s="292"/>
      <c r="AU55" s="292"/>
      <c r="AV55" s="292"/>
      <c r="AW55" s="292"/>
      <c r="AX55" s="292"/>
    </row>
    <row r="56" spans="1:50" s="278" customFormat="1" x14ac:dyDescent="0.3">
      <c r="A56" s="277" t="s">
        <v>4693</v>
      </c>
      <c r="B56" s="277" t="s">
        <v>4694</v>
      </c>
      <c r="C56" s="277" t="s">
        <v>4720</v>
      </c>
      <c r="D56" s="277" t="s">
        <v>4721</v>
      </c>
      <c r="E56" s="277" t="s">
        <v>197</v>
      </c>
      <c r="F56" s="277" t="s">
        <v>4722</v>
      </c>
      <c r="G56" s="277" t="s">
        <v>4748</v>
      </c>
      <c r="H56" s="277" t="s">
        <v>4749</v>
      </c>
      <c r="I56" s="277">
        <v>301</v>
      </c>
      <c r="J56" s="277" t="s">
        <v>4754</v>
      </c>
      <c r="K56" s="277">
        <v>301</v>
      </c>
      <c r="L56" s="277" t="s">
        <v>4753</v>
      </c>
      <c r="M56" s="277" t="s">
        <v>519</v>
      </c>
      <c r="N56" s="277" t="s">
        <v>4756</v>
      </c>
      <c r="O56" s="277" t="s">
        <v>518</v>
      </c>
      <c r="P56" s="277" t="s">
        <v>4703</v>
      </c>
      <c r="Q56" s="278">
        <v>48000000</v>
      </c>
      <c r="R56" s="292">
        <f>SUM('PER BULAN'!G99:I99)</f>
        <v>0</v>
      </c>
      <c r="S56" s="292">
        <f>SUM('PER BULAN'!J89:L89)</f>
        <v>0</v>
      </c>
      <c r="T56" s="292">
        <f>SUM('PER BULAN'!M99:O99)</f>
        <v>802000</v>
      </c>
      <c r="U56" s="292">
        <f>SUM('PER BULAN'!P99:R99)</f>
        <v>3229000</v>
      </c>
      <c r="V56" s="292">
        <f>SUM('PER BULAN'!S99:U99)</f>
        <v>215000</v>
      </c>
      <c r="W56" s="292">
        <f>SUM('PER BULAN'!V99:X99)</f>
        <v>0</v>
      </c>
      <c r="X56" s="292">
        <f>SUM('PER BULAN'!Y99:AA99)</f>
        <v>0</v>
      </c>
      <c r="Y56" s="292">
        <f>SUM('PER BULAN'!AB99:AD99)</f>
        <v>0</v>
      </c>
      <c r="Z56" s="292">
        <f>SUM('PER BULAN'!AE99:AG99)</f>
        <v>0</v>
      </c>
      <c r="AA56" s="292">
        <f>SUM('PER BULAN'!AH99:AJ99)</f>
        <v>0</v>
      </c>
      <c r="AB56" s="292">
        <f>SUM('PER BULAN'!AK99:AM99)</f>
        <v>0</v>
      </c>
      <c r="AC56" s="292">
        <f>SUM('PER BULAN'!AN99:AP99)</f>
        <v>0</v>
      </c>
      <c r="AD56" s="277" t="s">
        <v>530</v>
      </c>
      <c r="AE56" s="277" t="s">
        <v>576</v>
      </c>
      <c r="AF56" s="277" t="s">
        <v>560</v>
      </c>
      <c r="AG56" s="277" t="s">
        <v>4699</v>
      </c>
      <c r="AH56" s="277" t="s">
        <v>4700</v>
      </c>
      <c r="AI56" s="277">
        <f t="shared" si="0"/>
        <v>4246000</v>
      </c>
      <c r="AJ56" s="291">
        <f t="shared" si="1"/>
        <v>8.8458333333333332</v>
      </c>
      <c r="AK56" s="277">
        <f t="shared" si="2"/>
        <v>43754000</v>
      </c>
      <c r="AL56" s="291">
        <f t="shared" si="3"/>
        <v>91.154166666666669</v>
      </c>
      <c r="AM56" s="277" t="s">
        <v>1462</v>
      </c>
      <c r="AN56" s="277" t="s">
        <v>4734</v>
      </c>
      <c r="AO56" s="277" t="s">
        <v>4735</v>
      </c>
      <c r="AP56" s="277" t="s">
        <v>4732</v>
      </c>
      <c r="AQ56" s="292">
        <f>SUM('PER BULAN'!AX99)</f>
        <v>0</v>
      </c>
      <c r="AR56" s="292">
        <f>SUM('PER BULAN'!AY99)</f>
        <v>802000</v>
      </c>
      <c r="AS56" s="292">
        <f>SUM('PER BULAN'!AZ99)</f>
        <v>0</v>
      </c>
      <c r="AT56" s="292">
        <f>SUM('PER BULAN'!BA99)</f>
        <v>3229000</v>
      </c>
      <c r="AU56" s="292">
        <f>SUM('PER BULAN'!BB99)</f>
        <v>0</v>
      </c>
      <c r="AV56" s="292">
        <f>SUM('PER BULAN'!BC99)</f>
        <v>0</v>
      </c>
      <c r="AW56" s="292">
        <f>SUM('PER BULAN'!BD99)</f>
        <v>215000</v>
      </c>
      <c r="AX56" s="292">
        <f>SUM('PER BULAN'!BE99)</f>
        <v>0</v>
      </c>
    </row>
    <row r="57" spans="1:50" s="278" customFormat="1" x14ac:dyDescent="0.3">
      <c r="A57" s="277" t="s">
        <v>4693</v>
      </c>
      <c r="B57" s="277" t="s">
        <v>4694</v>
      </c>
      <c r="C57" s="277" t="s">
        <v>4720</v>
      </c>
      <c r="D57" s="277" t="s">
        <v>4721</v>
      </c>
      <c r="E57" s="277" t="s">
        <v>197</v>
      </c>
      <c r="F57" s="277" t="s">
        <v>4722</v>
      </c>
      <c r="G57" s="277" t="s">
        <v>4748</v>
      </c>
      <c r="H57" s="277" t="s">
        <v>4749</v>
      </c>
      <c r="I57" s="277">
        <v>301</v>
      </c>
      <c r="J57" s="277" t="s">
        <v>4754</v>
      </c>
      <c r="K57" s="277">
        <v>301</v>
      </c>
      <c r="L57" s="277" t="s">
        <v>4753</v>
      </c>
      <c r="M57" s="277" t="s">
        <v>519</v>
      </c>
      <c r="N57" s="277" t="s">
        <v>4756</v>
      </c>
      <c r="O57" s="277" t="s">
        <v>513</v>
      </c>
      <c r="P57" s="277" t="s">
        <v>4702</v>
      </c>
      <c r="Q57" s="278">
        <v>42772000</v>
      </c>
      <c r="R57" s="292">
        <f>SUM('PER BULAN'!G101:I101)</f>
        <v>0</v>
      </c>
      <c r="S57" s="292">
        <f>SUM('PER BULAN'!J100:L100)</f>
        <v>0</v>
      </c>
      <c r="T57" s="292">
        <f>SUM('PER BULAN'!M100:O100)</f>
        <v>8250000</v>
      </c>
      <c r="U57" s="292">
        <f>SUM('PER BULAN'!P100:R100)</f>
        <v>3712700</v>
      </c>
      <c r="V57" s="292">
        <f>SUM('PER BULAN'!S100:U100)</f>
        <v>9888000</v>
      </c>
      <c r="W57" s="292">
        <f>SUM('PER BULAN'!V100:X100)</f>
        <v>0</v>
      </c>
      <c r="X57" s="292">
        <f>SUM('PER BULAN'!Y100:AA100)</f>
        <v>0</v>
      </c>
      <c r="Y57" s="292">
        <f>SUM('PER BULAN'!AB100:AD100)</f>
        <v>0</v>
      </c>
      <c r="Z57" s="292">
        <f>SUM('PER BULAN'!AE100:AG100)</f>
        <v>0</v>
      </c>
      <c r="AA57" s="292">
        <f>SUM('PER BULAN'!AH100:AJ100)</f>
        <v>0</v>
      </c>
      <c r="AB57" s="292">
        <f>SUM('PER BULAN'!AK100:AM100)</f>
        <v>0</v>
      </c>
      <c r="AC57" s="292">
        <f>SUM('PER BULAN'!AN100:AP100)</f>
        <v>0</v>
      </c>
      <c r="AD57" s="277" t="s">
        <v>530</v>
      </c>
      <c r="AE57" s="277" t="s">
        <v>576</v>
      </c>
      <c r="AF57" s="277" t="s">
        <v>560</v>
      </c>
      <c r="AG57" s="277" t="s">
        <v>4699</v>
      </c>
      <c r="AH57" s="277" t="s">
        <v>4700</v>
      </c>
      <c r="AI57" s="277">
        <f t="shared" si="0"/>
        <v>21850700</v>
      </c>
      <c r="AJ57" s="291">
        <f t="shared" si="1"/>
        <v>51.08645843074909</v>
      </c>
      <c r="AK57" s="277">
        <f t="shared" si="2"/>
        <v>20921300</v>
      </c>
      <c r="AL57" s="291">
        <f t="shared" si="3"/>
        <v>48.91354156925091</v>
      </c>
      <c r="AM57" s="277" t="s">
        <v>1464</v>
      </c>
      <c r="AN57" s="277" t="s">
        <v>4730</v>
      </c>
      <c r="AO57" s="277" t="s">
        <v>4736</v>
      </c>
      <c r="AP57" s="277" t="s">
        <v>4732</v>
      </c>
      <c r="AQ57" s="292">
        <f>SUM('PER BULAN'!AX100)</f>
        <v>1560000</v>
      </c>
      <c r="AR57" s="292">
        <f>SUM('PER BULAN'!AY100)</f>
        <v>6690000</v>
      </c>
      <c r="AS57" s="292">
        <f>SUM('PER BULAN'!AZ100)</f>
        <v>0</v>
      </c>
      <c r="AT57" s="292">
        <f>SUM('PER BULAN'!BA100)</f>
        <v>0</v>
      </c>
      <c r="AU57" s="292">
        <f>SUM('PER BULAN'!BB100)</f>
        <v>1860000</v>
      </c>
      <c r="AV57" s="292">
        <f>SUM('PER BULAN'!BC100)</f>
        <v>3748000</v>
      </c>
      <c r="AW57" s="292">
        <f>SUM('PER BULAN'!BD100)</f>
        <v>4280000</v>
      </c>
      <c r="AX57" s="292">
        <f>SUM('PER BULAN'!BE100)</f>
        <v>0</v>
      </c>
    </row>
    <row r="58" spans="1:50" s="278" customFormat="1" x14ac:dyDescent="0.3">
      <c r="A58" s="277" t="s">
        <v>4693</v>
      </c>
      <c r="B58" s="277" t="s">
        <v>4694</v>
      </c>
      <c r="C58" s="277" t="s">
        <v>4720</v>
      </c>
      <c r="D58" s="277" t="s">
        <v>4721</v>
      </c>
      <c r="E58" s="277" t="s">
        <v>197</v>
      </c>
      <c r="F58" s="277" t="s">
        <v>4722</v>
      </c>
      <c r="G58" s="277" t="s">
        <v>4748</v>
      </c>
      <c r="H58" s="277" t="s">
        <v>4749</v>
      </c>
      <c r="I58" s="277">
        <v>301</v>
      </c>
      <c r="J58" s="277" t="s">
        <v>4754</v>
      </c>
      <c r="K58" s="277">
        <v>301</v>
      </c>
      <c r="L58" s="277" t="s">
        <v>4753</v>
      </c>
      <c r="M58" s="277" t="s">
        <v>519</v>
      </c>
      <c r="N58" s="277" t="s">
        <v>4756</v>
      </c>
      <c r="O58" s="277" t="s">
        <v>507</v>
      </c>
      <c r="P58" s="277" t="s">
        <v>508</v>
      </c>
      <c r="Q58" s="278">
        <v>2100000</v>
      </c>
      <c r="R58" s="292">
        <f>SUM('PER BULAN'!G102:I102)</f>
        <v>0</v>
      </c>
      <c r="S58" s="292">
        <f>SUM('PER BULAN'!J102:L102)</f>
        <v>0</v>
      </c>
      <c r="T58" s="292">
        <f>SUM('PER BULAN'!M101:O101)</f>
        <v>0</v>
      </c>
      <c r="U58" s="292">
        <f>SUM('PER BULAN'!P101:R101)</f>
        <v>0</v>
      </c>
      <c r="V58" s="292">
        <f>SUM('PER BULAN'!S101:U101)</f>
        <v>0</v>
      </c>
      <c r="W58" s="292">
        <f>SUM('PER BULAN'!V101:X101)</f>
        <v>0</v>
      </c>
      <c r="X58" s="292">
        <f>SUM('PER BULAN'!Y101:AA101)</f>
        <v>0</v>
      </c>
      <c r="Y58" s="292">
        <f>SUM('PER BULAN'!AB101:AD101)</f>
        <v>0</v>
      </c>
      <c r="Z58" s="292">
        <f>SUM('PER BULAN'!AE101:AG101)</f>
        <v>0</v>
      </c>
      <c r="AA58" s="292">
        <f>SUM('PER BULAN'!AH101:AJ101)</f>
        <v>0</v>
      </c>
      <c r="AB58" s="292">
        <f>SUM('PER BULAN'!AK101:AM101)</f>
        <v>0</v>
      </c>
      <c r="AC58" s="292">
        <f>SUM('PER BULAN'!AN101:AP101)</f>
        <v>0</v>
      </c>
      <c r="AD58" s="277" t="s">
        <v>530</v>
      </c>
      <c r="AE58" s="277" t="s">
        <v>576</v>
      </c>
      <c r="AF58" s="277" t="s">
        <v>560</v>
      </c>
      <c r="AG58" s="277" t="s">
        <v>4699</v>
      </c>
      <c r="AH58" s="277" t="s">
        <v>4700</v>
      </c>
      <c r="AI58" s="277">
        <f t="shared" si="0"/>
        <v>0</v>
      </c>
      <c r="AJ58" s="291">
        <f t="shared" si="1"/>
        <v>0</v>
      </c>
      <c r="AK58" s="277">
        <f t="shared" si="2"/>
        <v>2100000</v>
      </c>
      <c r="AL58" s="291">
        <f t="shared" si="3"/>
        <v>100</v>
      </c>
      <c r="AM58" s="277" t="s">
        <v>1467</v>
      </c>
      <c r="AN58" s="277" t="s">
        <v>4730</v>
      </c>
      <c r="AO58" s="277" t="s">
        <v>4738</v>
      </c>
      <c r="AP58" s="277" t="s">
        <v>4732</v>
      </c>
      <c r="AQ58" s="292">
        <f>SUM('PER BULAN'!AX101)</f>
        <v>0</v>
      </c>
      <c r="AR58" s="292">
        <f>SUM('PER BULAN'!AY101)</f>
        <v>0</v>
      </c>
      <c r="AS58" s="292">
        <f>SUM('PER BULAN'!AZ101)</f>
        <v>0</v>
      </c>
      <c r="AT58" s="292">
        <f>SUM('PER BULAN'!BA101)</f>
        <v>0</v>
      </c>
      <c r="AU58" s="292">
        <f>SUM('PER BULAN'!BB101)</f>
        <v>0</v>
      </c>
      <c r="AV58" s="292">
        <f>SUM('PER BULAN'!BC101)</f>
        <v>0</v>
      </c>
      <c r="AW58" s="292">
        <f>SUM('PER BULAN'!BD101)</f>
        <v>0</v>
      </c>
      <c r="AX58" s="292">
        <f>SUM('PER BULAN'!BE101)</f>
        <v>0</v>
      </c>
    </row>
    <row r="59" spans="1:50" s="278" customFormat="1" x14ac:dyDescent="0.3">
      <c r="A59" s="277" t="s">
        <v>4693</v>
      </c>
      <c r="B59" s="277" t="s">
        <v>4694</v>
      </c>
      <c r="C59" s="277" t="s">
        <v>4720</v>
      </c>
      <c r="D59" s="277" t="s">
        <v>4721</v>
      </c>
      <c r="E59" s="277" t="s">
        <v>197</v>
      </c>
      <c r="F59" s="277" t="s">
        <v>4722</v>
      </c>
      <c r="G59" s="277" t="s">
        <v>4748</v>
      </c>
      <c r="H59" s="277" t="s">
        <v>4749</v>
      </c>
      <c r="I59" s="277">
        <v>301</v>
      </c>
      <c r="J59" s="277" t="s">
        <v>4754</v>
      </c>
      <c r="K59" s="277">
        <v>301</v>
      </c>
      <c r="L59" s="277" t="s">
        <v>4753</v>
      </c>
      <c r="M59" s="277" t="s">
        <v>578</v>
      </c>
      <c r="N59" s="277" t="s">
        <v>4758</v>
      </c>
      <c r="O59" s="277">
        <v>521211</v>
      </c>
      <c r="P59" s="277" t="s">
        <v>4698</v>
      </c>
      <c r="Q59" s="278">
        <v>32000000</v>
      </c>
      <c r="R59" s="292">
        <f>SUM('PER BULAN'!G103:I103)</f>
        <v>0</v>
      </c>
      <c r="S59" s="292">
        <f>SUM('PER BULAN'!J103:L103)</f>
        <v>0</v>
      </c>
      <c r="T59" s="292">
        <f>SUM('PER BULAN'!M103:O103)</f>
        <v>3999200</v>
      </c>
      <c r="U59" s="292">
        <f>SUM('PER BULAN'!P103:R103)</f>
        <v>0</v>
      </c>
      <c r="V59" s="292">
        <f>SUM('PER BULAN'!S103:U103)</f>
        <v>0</v>
      </c>
      <c r="W59" s="292">
        <f>SUM('PER BULAN'!V103:X103)</f>
        <v>0</v>
      </c>
      <c r="X59" s="292">
        <f>SUM('PER BULAN'!Y103:AA103)</f>
        <v>0</v>
      </c>
      <c r="Y59" s="292">
        <f>SUM('PER BULAN'!AB103:AD103)</f>
        <v>0</v>
      </c>
      <c r="Z59" s="292">
        <f>SUM('PER BULAN'!AE103:AG103)</f>
        <v>0</v>
      </c>
      <c r="AA59" s="292">
        <f>SUM('PER BULAN'!AH103:AJ103)</f>
        <v>0</v>
      </c>
      <c r="AB59" s="292">
        <f>SUM('PER BULAN'!AK103:AM103)</f>
        <v>0</v>
      </c>
      <c r="AC59" s="292">
        <f>SUM('PER BULAN'!AN103:AP103)</f>
        <v>0</v>
      </c>
      <c r="AD59" s="277" t="s">
        <v>530</v>
      </c>
      <c r="AE59" s="277" t="s">
        <v>535</v>
      </c>
      <c r="AF59" s="277" t="s">
        <v>538</v>
      </c>
      <c r="AG59" s="277" t="s">
        <v>4699</v>
      </c>
      <c r="AH59" s="277" t="s">
        <v>4700</v>
      </c>
      <c r="AI59" s="277">
        <f t="shared" si="0"/>
        <v>3999200</v>
      </c>
      <c r="AJ59" s="291">
        <f t="shared" si="1"/>
        <v>12.4975</v>
      </c>
      <c r="AK59" s="277">
        <f t="shared" si="2"/>
        <v>28000800</v>
      </c>
      <c r="AL59" s="291">
        <f t="shared" si="3"/>
        <v>87.502500000000012</v>
      </c>
      <c r="AM59" s="277" t="s">
        <v>1470</v>
      </c>
      <c r="AN59" s="277" t="s">
        <v>4730</v>
      </c>
      <c r="AO59" s="277" t="s">
        <v>4731</v>
      </c>
      <c r="AP59" s="277" t="s">
        <v>4732</v>
      </c>
      <c r="AQ59" s="292">
        <f>SUM('PER BULAN'!AX103)</f>
        <v>0</v>
      </c>
      <c r="AR59" s="292">
        <f>SUM('PER BULAN'!AY103)</f>
        <v>2499500</v>
      </c>
      <c r="AS59" s="292">
        <f>SUM('PER BULAN'!AZ103)</f>
        <v>1499700</v>
      </c>
      <c r="AT59" s="292">
        <f>SUM('PER BULAN'!BA103)</f>
        <v>0</v>
      </c>
      <c r="AU59" s="292">
        <f>SUM('PER BULAN'!BB103)</f>
        <v>0</v>
      </c>
      <c r="AV59" s="292">
        <f>SUM('PER BULAN'!BC103)</f>
        <v>0</v>
      </c>
      <c r="AW59" s="292">
        <f>SUM('PER BULAN'!BD103)</f>
        <v>0</v>
      </c>
      <c r="AX59" s="292">
        <f>SUM('PER BULAN'!BE103)</f>
        <v>0</v>
      </c>
    </row>
    <row r="60" spans="1:50" s="278" customFormat="1" x14ac:dyDescent="0.3">
      <c r="A60" s="277" t="s">
        <v>4693</v>
      </c>
      <c r="B60" s="277" t="s">
        <v>4694</v>
      </c>
      <c r="C60" s="277" t="s">
        <v>4720</v>
      </c>
      <c r="D60" s="277" t="s">
        <v>4721</v>
      </c>
      <c r="E60" s="277" t="s">
        <v>197</v>
      </c>
      <c r="F60" s="277" t="s">
        <v>4722</v>
      </c>
      <c r="G60" s="277" t="s">
        <v>4748</v>
      </c>
      <c r="H60" s="277" t="s">
        <v>4749</v>
      </c>
      <c r="I60" s="277">
        <v>301</v>
      </c>
      <c r="J60" s="277" t="s">
        <v>4754</v>
      </c>
      <c r="K60" s="277">
        <v>301</v>
      </c>
      <c r="L60" s="277" t="s">
        <v>4753</v>
      </c>
      <c r="M60" s="277" t="s">
        <v>578</v>
      </c>
      <c r="N60" s="277" t="s">
        <v>4758</v>
      </c>
      <c r="O60" s="277">
        <v>521219</v>
      </c>
      <c r="P60" s="277" t="s">
        <v>4711</v>
      </c>
      <c r="Q60" s="278">
        <v>298141000</v>
      </c>
      <c r="R60" s="292">
        <f>SUM('PER BULAN'!G104:I104)</f>
        <v>0</v>
      </c>
      <c r="S60" s="292">
        <f>SUM('PER BULAN'!J104:L104)</f>
        <v>0</v>
      </c>
      <c r="T60" s="292">
        <f>SUM('PER BULAN'!M104:O104)</f>
        <v>694240</v>
      </c>
      <c r="U60" s="292">
        <f>SUM('PER BULAN'!P104:R104)</f>
        <v>0</v>
      </c>
      <c r="V60" s="292">
        <f>SUM('PER BULAN'!S104:U104)</f>
        <v>3603218</v>
      </c>
      <c r="W60" s="292">
        <f>SUM('PER BULAN'!V104:X104)</f>
        <v>0</v>
      </c>
      <c r="X60" s="292">
        <f>SUM('PER BULAN'!Y104:AA104)</f>
        <v>0</v>
      </c>
      <c r="Y60" s="292">
        <f>SUM('PER BULAN'!AB104:AD104)</f>
        <v>0</v>
      </c>
      <c r="Z60" s="292">
        <f>SUM('PER BULAN'!AE104:AG104)</f>
        <v>0</v>
      </c>
      <c r="AA60" s="292">
        <f>SUM('PER BULAN'!AH104:AJ104)</f>
        <v>0</v>
      </c>
      <c r="AB60" s="292">
        <f>SUM('PER BULAN'!AK104:AM104)</f>
        <v>0</v>
      </c>
      <c r="AC60" s="292">
        <f>SUM('PER BULAN'!AN104:AP104)</f>
        <v>0</v>
      </c>
      <c r="AD60" s="277" t="s">
        <v>530</v>
      </c>
      <c r="AE60" s="277" t="s">
        <v>535</v>
      </c>
      <c r="AF60" s="277" t="s">
        <v>538</v>
      </c>
      <c r="AG60" s="277" t="s">
        <v>4699</v>
      </c>
      <c r="AH60" s="277" t="s">
        <v>4700</v>
      </c>
      <c r="AI60" s="277">
        <f t="shared" si="0"/>
        <v>4297458</v>
      </c>
      <c r="AJ60" s="291">
        <f t="shared" si="1"/>
        <v>1.4414179867914845</v>
      </c>
      <c r="AK60" s="277">
        <f t="shared" si="2"/>
        <v>293843542</v>
      </c>
      <c r="AL60" s="291">
        <f t="shared" si="3"/>
        <v>98.558582013208522</v>
      </c>
      <c r="AM60" s="277" t="s">
        <v>1474</v>
      </c>
      <c r="AN60" s="277" t="s">
        <v>4730</v>
      </c>
      <c r="AO60" s="277" t="s">
        <v>4733</v>
      </c>
      <c r="AP60" s="277" t="s">
        <v>4732</v>
      </c>
      <c r="AQ60" s="292">
        <f>SUM('PER BULAN'!AX104)</f>
        <v>0</v>
      </c>
      <c r="AR60" s="292">
        <f>SUM('PER BULAN'!AY104)</f>
        <v>450000</v>
      </c>
      <c r="AS60" s="292">
        <f>SUM('PER BULAN'!AZ104)</f>
        <v>244240</v>
      </c>
      <c r="AT60" s="292">
        <f>SUM('PER BULAN'!BA104)</f>
        <v>0</v>
      </c>
      <c r="AU60" s="292">
        <f>SUM('PER BULAN'!BB104)</f>
        <v>3351204</v>
      </c>
      <c r="AV60" s="292">
        <f>SUM('PER BULAN'!BC104)</f>
        <v>252014</v>
      </c>
      <c r="AW60" s="292">
        <f>SUM('PER BULAN'!BD104)</f>
        <v>0</v>
      </c>
      <c r="AX60" s="292">
        <f>SUM('PER BULAN'!BE104)</f>
        <v>0</v>
      </c>
    </row>
    <row r="61" spans="1:50" s="278" customFormat="1" x14ac:dyDescent="0.3">
      <c r="A61" s="277" t="s">
        <v>4693</v>
      </c>
      <c r="B61" s="277" t="s">
        <v>4694</v>
      </c>
      <c r="C61" s="277" t="s">
        <v>4720</v>
      </c>
      <c r="D61" s="277" t="s">
        <v>4721</v>
      </c>
      <c r="E61" s="277" t="s">
        <v>197</v>
      </c>
      <c r="F61" s="277" t="s">
        <v>4722</v>
      </c>
      <c r="G61" s="277" t="s">
        <v>4748</v>
      </c>
      <c r="H61" s="277" t="s">
        <v>4749</v>
      </c>
      <c r="I61" s="277">
        <v>301</v>
      </c>
      <c r="J61" s="277" t="s">
        <v>4754</v>
      </c>
      <c r="K61" s="277">
        <v>301</v>
      </c>
      <c r="L61" s="277" t="s">
        <v>4753</v>
      </c>
      <c r="M61" s="277" t="s">
        <v>578</v>
      </c>
      <c r="N61" s="277" t="s">
        <v>4758</v>
      </c>
      <c r="O61" s="277">
        <v>522151</v>
      </c>
      <c r="P61" s="277" t="s">
        <v>4701</v>
      </c>
      <c r="Q61" s="278">
        <v>30000000</v>
      </c>
      <c r="R61" s="292">
        <f>SUM('PER BULAN'!G105:I105)</f>
        <v>0</v>
      </c>
      <c r="S61" s="292">
        <f>SUM('PER BULAN'!J105:L105)</f>
        <v>0</v>
      </c>
      <c r="T61" s="292">
        <f>SUM('PER BULAN'!M105:O105)</f>
        <v>0</v>
      </c>
      <c r="U61" s="292">
        <f>SUM('PER BULAN'!P105:R105)</f>
        <v>0</v>
      </c>
      <c r="V61" s="292">
        <f>SUM('PER BULAN'!S105:U105)</f>
        <v>0</v>
      </c>
      <c r="W61" s="292">
        <f>SUM('PER BULAN'!V105:X105)</f>
        <v>0</v>
      </c>
      <c r="X61" s="292">
        <f>SUM('PER BULAN'!Y105:AA105)</f>
        <v>0</v>
      </c>
      <c r="Y61" s="292">
        <f>SUM('PER BULAN'!AB105:AD105)</f>
        <v>0</v>
      </c>
      <c r="Z61" s="292">
        <f>SUM('PER BULAN'!AE105:AG105)</f>
        <v>0</v>
      </c>
      <c r="AA61" s="292">
        <f>SUM('PER BULAN'!AH105:AJ105)</f>
        <v>0</v>
      </c>
      <c r="AB61" s="292">
        <f>SUM('PER BULAN'!AK105:AM105)</f>
        <v>0</v>
      </c>
      <c r="AC61" s="292">
        <f>SUM('PER BULAN'!AN105:AP105)</f>
        <v>0</v>
      </c>
      <c r="AD61" s="277" t="s">
        <v>530</v>
      </c>
      <c r="AE61" s="277" t="s">
        <v>535</v>
      </c>
      <c r="AF61" s="277" t="s">
        <v>538</v>
      </c>
      <c r="AG61" s="277" t="s">
        <v>4699</v>
      </c>
      <c r="AH61" s="277" t="s">
        <v>4700</v>
      </c>
      <c r="AI61" s="277">
        <f t="shared" si="0"/>
        <v>0</v>
      </c>
      <c r="AJ61" s="291">
        <f t="shared" si="1"/>
        <v>0</v>
      </c>
      <c r="AK61" s="277">
        <f t="shared" si="2"/>
        <v>30000000</v>
      </c>
      <c r="AL61" s="291">
        <f t="shared" si="3"/>
        <v>100</v>
      </c>
      <c r="AM61" s="277" t="s">
        <v>1483</v>
      </c>
      <c r="AN61" s="277" t="s">
        <v>4730</v>
      </c>
      <c r="AO61" s="277" t="s">
        <v>4735</v>
      </c>
      <c r="AP61" s="277" t="s">
        <v>4732</v>
      </c>
      <c r="AQ61" s="292">
        <f>SUM('PER BULAN'!AX105)</f>
        <v>0</v>
      </c>
      <c r="AR61" s="292">
        <f>SUM('PER BULAN'!AY105)</f>
        <v>0</v>
      </c>
      <c r="AS61" s="292">
        <f>SUM('PER BULAN'!AZ105)</f>
        <v>0</v>
      </c>
      <c r="AT61" s="292">
        <f>SUM('PER BULAN'!BA105)</f>
        <v>0</v>
      </c>
      <c r="AU61" s="292">
        <f>SUM('PER BULAN'!BB105)</f>
        <v>0</v>
      </c>
      <c r="AV61" s="292">
        <f>SUM('PER BULAN'!BC105)</f>
        <v>0</v>
      </c>
      <c r="AW61" s="292">
        <f>SUM('PER BULAN'!BD105)</f>
        <v>0</v>
      </c>
      <c r="AX61" s="292">
        <f>SUM('PER BULAN'!BE105)</f>
        <v>0</v>
      </c>
    </row>
    <row r="62" spans="1:50" s="278" customFormat="1" x14ac:dyDescent="0.3">
      <c r="A62" s="277" t="s">
        <v>4693</v>
      </c>
      <c r="B62" s="277" t="s">
        <v>4694</v>
      </c>
      <c r="C62" s="277" t="s">
        <v>4720</v>
      </c>
      <c r="D62" s="277" t="s">
        <v>4721</v>
      </c>
      <c r="E62" s="277" t="s">
        <v>197</v>
      </c>
      <c r="F62" s="277" t="s">
        <v>4722</v>
      </c>
      <c r="G62" s="277" t="s">
        <v>4748</v>
      </c>
      <c r="H62" s="277" t="s">
        <v>4749</v>
      </c>
      <c r="I62" s="277">
        <v>301</v>
      </c>
      <c r="J62" s="277" t="s">
        <v>4754</v>
      </c>
      <c r="K62" s="277">
        <v>301</v>
      </c>
      <c r="L62" s="277" t="s">
        <v>4753</v>
      </c>
      <c r="M62" s="277" t="s">
        <v>578</v>
      </c>
      <c r="N62" s="277" t="s">
        <v>4758</v>
      </c>
      <c r="O62" s="277" t="s">
        <v>518</v>
      </c>
      <c r="P62" s="277" t="s">
        <v>4703</v>
      </c>
      <c r="Q62" s="278">
        <v>8000000</v>
      </c>
      <c r="R62" s="292">
        <f>SUM('PER BULAN'!G106:I106)</f>
        <v>0</v>
      </c>
      <c r="S62" s="292">
        <f>SUM('PER BULAN'!J106:L106)</f>
        <v>0</v>
      </c>
      <c r="T62" s="292">
        <f>SUM('PER BULAN'!M106:O106)</f>
        <v>0</v>
      </c>
      <c r="U62" s="292">
        <f>SUM('PER BULAN'!P106:R106)</f>
        <v>0</v>
      </c>
      <c r="V62" s="292">
        <f>SUM('PER BULAN'!S106:U106)</f>
        <v>0</v>
      </c>
      <c r="W62" s="292">
        <f>SUM('PER BULAN'!V106:X106)</f>
        <v>0</v>
      </c>
      <c r="X62" s="292">
        <f>SUM('PER BULAN'!Y106:AA106)</f>
        <v>0</v>
      </c>
      <c r="Y62" s="292">
        <f>SUM('PER BULAN'!AB106:AD106)</f>
        <v>0</v>
      </c>
      <c r="Z62" s="292">
        <f>SUM('PER BULAN'!AE106:AG106)</f>
        <v>0</v>
      </c>
      <c r="AA62" s="292">
        <f>SUM('PER BULAN'!AH106:AJ106)</f>
        <v>0</v>
      </c>
      <c r="AB62" s="292">
        <f>SUM('PER BULAN'!AK106:AM106)</f>
        <v>0</v>
      </c>
      <c r="AC62" s="292">
        <f>SUM('PER BULAN'!AN106:AP106)</f>
        <v>0</v>
      </c>
      <c r="AD62" s="277" t="s">
        <v>530</v>
      </c>
      <c r="AE62" s="277" t="s">
        <v>535</v>
      </c>
      <c r="AF62" s="277" t="s">
        <v>538</v>
      </c>
      <c r="AG62" s="277" t="s">
        <v>4699</v>
      </c>
      <c r="AH62" s="277" t="s">
        <v>4700</v>
      </c>
      <c r="AI62" s="277">
        <f t="shared" si="0"/>
        <v>0</v>
      </c>
      <c r="AJ62" s="291">
        <f t="shared" si="1"/>
        <v>0</v>
      </c>
      <c r="AK62" s="277">
        <f t="shared" si="2"/>
        <v>8000000</v>
      </c>
      <c r="AL62" s="291">
        <f t="shared" si="3"/>
        <v>100</v>
      </c>
      <c r="AM62" s="277" t="s">
        <v>1485</v>
      </c>
      <c r="AN62" s="277" t="s">
        <v>4734</v>
      </c>
      <c r="AO62" s="277" t="s">
        <v>4735</v>
      </c>
      <c r="AP62" s="277" t="s">
        <v>4732</v>
      </c>
      <c r="AQ62" s="292">
        <f>SUM('PER BULAN'!AX106)</f>
        <v>0</v>
      </c>
      <c r="AR62" s="292">
        <f>SUM('PER BULAN'!AY106)</f>
        <v>0</v>
      </c>
      <c r="AS62" s="292">
        <f>SUM('PER BULAN'!AZ106)</f>
        <v>0</v>
      </c>
      <c r="AT62" s="292">
        <f>SUM('PER BULAN'!BA106)</f>
        <v>0</v>
      </c>
      <c r="AU62" s="292">
        <f>SUM('PER BULAN'!BB106)</f>
        <v>0</v>
      </c>
      <c r="AV62" s="292">
        <f>SUM('PER BULAN'!BC106)</f>
        <v>0</v>
      </c>
      <c r="AW62" s="292">
        <f>SUM('PER BULAN'!BD106)</f>
        <v>0</v>
      </c>
      <c r="AX62" s="292">
        <f>SUM('PER BULAN'!BE106)</f>
        <v>0</v>
      </c>
    </row>
    <row r="63" spans="1:50" s="278" customFormat="1" x14ac:dyDescent="0.3">
      <c r="A63" s="277" t="s">
        <v>4693</v>
      </c>
      <c r="B63" s="277" t="s">
        <v>4694</v>
      </c>
      <c r="C63" s="277" t="s">
        <v>4720</v>
      </c>
      <c r="D63" s="277" t="s">
        <v>4721</v>
      </c>
      <c r="E63" s="277" t="s">
        <v>197</v>
      </c>
      <c r="F63" s="277" t="s">
        <v>4722</v>
      </c>
      <c r="G63" s="277" t="s">
        <v>4748</v>
      </c>
      <c r="H63" s="277" t="s">
        <v>4749</v>
      </c>
      <c r="I63" s="277">
        <v>301</v>
      </c>
      <c r="J63" s="277" t="s">
        <v>4754</v>
      </c>
      <c r="K63" s="277">
        <v>301</v>
      </c>
      <c r="L63" s="277" t="s">
        <v>4753</v>
      </c>
      <c r="M63" s="277" t="s">
        <v>578</v>
      </c>
      <c r="N63" s="277" t="s">
        <v>4758</v>
      </c>
      <c r="O63" s="277" t="s">
        <v>513</v>
      </c>
      <c r="P63" s="277" t="s">
        <v>4702</v>
      </c>
      <c r="Q63" s="278">
        <v>81859000</v>
      </c>
      <c r="R63" s="292">
        <f>SUM('PER BULAN'!G108:I108)</f>
        <v>0</v>
      </c>
      <c r="S63" s="292">
        <f>SUM('PER BULAN'!J107:L107)</f>
        <v>0</v>
      </c>
      <c r="T63" s="292">
        <f>SUM('PER BULAN'!M107:O107)</f>
        <v>0</v>
      </c>
      <c r="U63" s="292">
        <f>SUM('PER BULAN'!P107:R107)</f>
        <v>0</v>
      </c>
      <c r="V63" s="292">
        <f>SUM('PER BULAN'!S107:U107)</f>
        <v>0</v>
      </c>
      <c r="W63" s="292">
        <f>SUM('PER BULAN'!V107:X107)</f>
        <v>5350700</v>
      </c>
      <c r="X63" s="292">
        <f>SUM('PER BULAN'!Y107:AA107)</f>
        <v>0</v>
      </c>
      <c r="Y63" s="292">
        <f>SUM('PER BULAN'!AB107:AD107)</f>
        <v>0</v>
      </c>
      <c r="Z63" s="292">
        <f>SUM('PER BULAN'!AE107:AG107)</f>
        <v>0</v>
      </c>
      <c r="AA63" s="292">
        <f>SUM('PER BULAN'!AH107:AJ107)</f>
        <v>0</v>
      </c>
      <c r="AB63" s="292">
        <f>SUM('PER BULAN'!AK107:AM107)</f>
        <v>0</v>
      </c>
      <c r="AC63" s="292">
        <f>SUM('PER BULAN'!AN107:AP107)</f>
        <v>0</v>
      </c>
      <c r="AD63" s="277" t="s">
        <v>530</v>
      </c>
      <c r="AE63" s="277" t="s">
        <v>535</v>
      </c>
      <c r="AF63" s="277" t="s">
        <v>538</v>
      </c>
      <c r="AG63" s="277" t="s">
        <v>4699</v>
      </c>
      <c r="AH63" s="277" t="s">
        <v>4700</v>
      </c>
      <c r="AI63" s="277">
        <f t="shared" si="0"/>
        <v>5350700</v>
      </c>
      <c r="AJ63" s="291">
        <f t="shared" si="1"/>
        <v>6.5364834654711146</v>
      </c>
      <c r="AK63" s="277">
        <f t="shared" si="2"/>
        <v>76508300</v>
      </c>
      <c r="AL63" s="291">
        <f t="shared" si="3"/>
        <v>93.463516534528893</v>
      </c>
      <c r="AM63" s="277" t="s">
        <v>1487</v>
      </c>
      <c r="AN63" s="277" t="s">
        <v>4730</v>
      </c>
      <c r="AO63" s="277" t="s">
        <v>4736</v>
      </c>
      <c r="AP63" s="277" t="s">
        <v>4732</v>
      </c>
      <c r="AQ63" s="292">
        <f>SUM('PER BULAN'!AX107)</f>
        <v>0</v>
      </c>
      <c r="AR63" s="292">
        <f>SUM('PER BULAN'!AY107)</f>
        <v>0</v>
      </c>
      <c r="AS63" s="292">
        <f>SUM('PER BULAN'!AZ107)</f>
        <v>0</v>
      </c>
      <c r="AT63" s="292">
        <f>SUM('PER BULAN'!BA107)</f>
        <v>0</v>
      </c>
      <c r="AU63" s="292">
        <f>SUM('PER BULAN'!BB107)</f>
        <v>0</v>
      </c>
      <c r="AV63" s="292">
        <f>SUM('PER BULAN'!BC107)</f>
        <v>0</v>
      </c>
      <c r="AW63" s="292">
        <f>SUM('PER BULAN'!BD107)</f>
        <v>0</v>
      </c>
      <c r="AX63" s="292">
        <f>SUM('PER BULAN'!BE107)</f>
        <v>0</v>
      </c>
    </row>
    <row r="64" spans="1:50" s="278" customFormat="1" x14ac:dyDescent="0.3">
      <c r="A64" s="277" t="s">
        <v>4693</v>
      </c>
      <c r="B64" s="277" t="s">
        <v>4694</v>
      </c>
      <c r="C64" s="277" t="s">
        <v>4720</v>
      </c>
      <c r="D64" s="277" t="s">
        <v>4721</v>
      </c>
      <c r="E64" s="277" t="s">
        <v>197</v>
      </c>
      <c r="F64" s="277" t="s">
        <v>4722</v>
      </c>
      <c r="G64" s="277" t="s">
        <v>4748</v>
      </c>
      <c r="H64" s="277" t="s">
        <v>4749</v>
      </c>
      <c r="I64" s="277">
        <v>301</v>
      </c>
      <c r="J64" s="277" t="s">
        <v>4754</v>
      </c>
      <c r="K64" s="277">
        <v>301</v>
      </c>
      <c r="L64" s="277" t="s">
        <v>4753</v>
      </c>
      <c r="M64" s="277" t="s">
        <v>579</v>
      </c>
      <c r="N64" s="277" t="s">
        <v>4759</v>
      </c>
      <c r="O64" s="277">
        <v>521211</v>
      </c>
      <c r="P64" s="277" t="s">
        <v>4698</v>
      </c>
      <c r="Q64" s="278">
        <v>31000000</v>
      </c>
      <c r="R64" s="292">
        <f>SUM('PER BULAN'!G109:I109)</f>
        <v>0</v>
      </c>
      <c r="S64" s="292">
        <f>SUM('PER BULAN'!J109:L109)</f>
        <v>0</v>
      </c>
      <c r="T64" s="292">
        <f>SUM('PER BULAN'!M109:O109)</f>
        <v>1200000</v>
      </c>
      <c r="U64" s="292">
        <f>SUM('PER BULAN'!P109:R109)</f>
        <v>0</v>
      </c>
      <c r="V64" s="292">
        <f>SUM('PER BULAN'!S109:U109)</f>
        <v>10342500</v>
      </c>
      <c r="W64" s="292">
        <f>SUM('PER BULAN'!V109:X109)</f>
        <v>0</v>
      </c>
      <c r="X64" s="292">
        <f>SUM('PER BULAN'!Y109:AA109)</f>
        <v>0</v>
      </c>
      <c r="Y64" s="292">
        <f>SUM('PER BULAN'!AB109:AD109)</f>
        <v>0</v>
      </c>
      <c r="Z64" s="292">
        <f>SUM('PER BULAN'!AE109:AG109)</f>
        <v>0</v>
      </c>
      <c r="AA64" s="292">
        <f>SUM('PER BULAN'!AH109:AJ109)</f>
        <v>0</v>
      </c>
      <c r="AB64" s="292">
        <f>SUM('PER BULAN'!AK109:AM109)</f>
        <v>0</v>
      </c>
      <c r="AC64" s="292">
        <f>SUM('PER BULAN'!AN109:AP109)</f>
        <v>0</v>
      </c>
      <c r="AD64" s="277" t="s">
        <v>530</v>
      </c>
      <c r="AE64" s="277" t="s">
        <v>531</v>
      </c>
      <c r="AF64" s="277" t="s">
        <v>532</v>
      </c>
      <c r="AG64" s="277" t="s">
        <v>4699</v>
      </c>
      <c r="AH64" s="277" t="s">
        <v>4700</v>
      </c>
      <c r="AI64" s="277">
        <f t="shared" si="0"/>
        <v>11542500</v>
      </c>
      <c r="AJ64" s="291">
        <f t="shared" si="1"/>
        <v>37.233870967741936</v>
      </c>
      <c r="AK64" s="277">
        <f t="shared" si="2"/>
        <v>19457500</v>
      </c>
      <c r="AL64" s="291">
        <f t="shared" si="3"/>
        <v>62.766129032258064</v>
      </c>
      <c r="AM64" s="277" t="s">
        <v>1491</v>
      </c>
      <c r="AN64" s="277" t="s">
        <v>4730</v>
      </c>
      <c r="AO64" s="277" t="s">
        <v>4731</v>
      </c>
      <c r="AP64" s="277" t="s">
        <v>4732</v>
      </c>
      <c r="AQ64" s="292">
        <f>SUM('PER BULAN'!AX109)</f>
        <v>0</v>
      </c>
      <c r="AR64" s="292">
        <f>SUM('PER BULAN'!AY109)</f>
        <v>1200000</v>
      </c>
      <c r="AS64" s="292">
        <f>SUM('PER BULAN'!AZ109)</f>
        <v>0</v>
      </c>
      <c r="AT64" s="292">
        <f>SUM('PER BULAN'!BA109)</f>
        <v>0</v>
      </c>
      <c r="AU64" s="292">
        <f>SUM('PER BULAN'!BB109)</f>
        <v>0</v>
      </c>
      <c r="AV64" s="292">
        <f>SUM('PER BULAN'!BC109)</f>
        <v>7854000</v>
      </c>
      <c r="AW64" s="292">
        <f>SUM('PER BULAN'!BD109)</f>
        <v>2488500</v>
      </c>
      <c r="AX64" s="292">
        <f>SUM('PER BULAN'!BE109)</f>
        <v>0</v>
      </c>
    </row>
    <row r="65" spans="1:50" s="278" customFormat="1" x14ac:dyDescent="0.3">
      <c r="A65" s="277" t="s">
        <v>4693</v>
      </c>
      <c r="B65" s="277" t="s">
        <v>4694</v>
      </c>
      <c r="C65" s="277" t="s">
        <v>4720</v>
      </c>
      <c r="D65" s="277" t="s">
        <v>4721</v>
      </c>
      <c r="E65" s="277" t="s">
        <v>197</v>
      </c>
      <c r="F65" s="277" t="s">
        <v>4722</v>
      </c>
      <c r="G65" s="277" t="s">
        <v>4748</v>
      </c>
      <c r="H65" s="277" t="s">
        <v>4749</v>
      </c>
      <c r="I65" s="277">
        <v>301</v>
      </c>
      <c r="J65" s="277" t="s">
        <v>4754</v>
      </c>
      <c r="K65" s="277">
        <v>301</v>
      </c>
      <c r="L65" s="277" t="s">
        <v>4753</v>
      </c>
      <c r="M65" s="277" t="s">
        <v>579</v>
      </c>
      <c r="N65" s="277" t="s">
        <v>4759</v>
      </c>
      <c r="O65" s="277">
        <v>521219</v>
      </c>
      <c r="P65" s="277" t="s">
        <v>4711</v>
      </c>
      <c r="Q65" s="278">
        <v>3000000</v>
      </c>
      <c r="R65" s="292">
        <f>SUM('PER BULAN'!G110:I110)</f>
        <v>0</v>
      </c>
      <c r="S65" s="292">
        <f>SUM('PER BULAN'!J110:L110)</f>
        <v>0</v>
      </c>
      <c r="T65" s="292">
        <f>SUM('PER BULAN'!M110:O110)</f>
        <v>710207</v>
      </c>
      <c r="U65" s="292">
        <f>SUM('PER BULAN'!P110:R110)</f>
        <v>0</v>
      </c>
      <c r="V65" s="292">
        <f>SUM('PER BULAN'!S110:U110)</f>
        <v>481211</v>
      </c>
      <c r="W65" s="292">
        <f>SUM('PER BULAN'!V110:X110)</f>
        <v>0</v>
      </c>
      <c r="X65" s="292">
        <f>SUM('PER BULAN'!Y110:AA110)</f>
        <v>0</v>
      </c>
      <c r="Y65" s="292">
        <f>SUM('PER BULAN'!AB110:AD110)</f>
        <v>0</v>
      </c>
      <c r="Z65" s="292">
        <f>SUM('PER BULAN'!AE110:AG110)</f>
        <v>0</v>
      </c>
      <c r="AA65" s="292">
        <f>SUM('PER BULAN'!AH110:AJ110)</f>
        <v>0</v>
      </c>
      <c r="AB65" s="292">
        <f>SUM('PER BULAN'!AK110:AM110)</f>
        <v>0</v>
      </c>
      <c r="AC65" s="292">
        <f>SUM('PER BULAN'!AN110:AP110)</f>
        <v>0</v>
      </c>
      <c r="AD65" s="277" t="s">
        <v>530</v>
      </c>
      <c r="AE65" s="277" t="s">
        <v>531</v>
      </c>
      <c r="AF65" s="277" t="s">
        <v>532</v>
      </c>
      <c r="AG65" s="277" t="s">
        <v>4699</v>
      </c>
      <c r="AH65" s="277" t="s">
        <v>4700</v>
      </c>
      <c r="AI65" s="277">
        <f t="shared" si="0"/>
        <v>1191418</v>
      </c>
      <c r="AJ65" s="291">
        <f t="shared" si="1"/>
        <v>39.713933333333337</v>
      </c>
      <c r="AK65" s="277">
        <f t="shared" si="2"/>
        <v>1808582</v>
      </c>
      <c r="AL65" s="291">
        <f t="shared" si="3"/>
        <v>60.28606666666667</v>
      </c>
      <c r="AM65" s="277" t="s">
        <v>1496</v>
      </c>
      <c r="AN65" s="277" t="s">
        <v>4730</v>
      </c>
      <c r="AO65" s="277" t="s">
        <v>4733</v>
      </c>
      <c r="AP65" s="277" t="s">
        <v>4732</v>
      </c>
      <c r="AQ65" s="292">
        <f>SUM('PER BULAN'!AX110)</f>
        <v>0</v>
      </c>
      <c r="AR65" s="292">
        <f>SUM('PER BULAN'!AY110)</f>
        <v>236994</v>
      </c>
      <c r="AS65" s="292">
        <f>SUM('PER BULAN'!AZ110)</f>
        <v>473213</v>
      </c>
      <c r="AT65" s="292">
        <f>SUM('PER BULAN'!BA110)</f>
        <v>0</v>
      </c>
      <c r="AU65" s="292">
        <f>SUM('PER BULAN'!BB110)</f>
        <v>0</v>
      </c>
      <c r="AV65" s="292">
        <f>SUM('PER BULAN'!BC110)</f>
        <v>238833</v>
      </c>
      <c r="AW65" s="292">
        <f>SUM('PER BULAN'!BD110)</f>
        <v>242378</v>
      </c>
      <c r="AX65" s="292">
        <f>SUM('PER BULAN'!BE110)</f>
        <v>0</v>
      </c>
    </row>
    <row r="66" spans="1:50" s="278" customFormat="1" x14ac:dyDescent="0.3">
      <c r="A66" s="277" t="s">
        <v>4693</v>
      </c>
      <c r="B66" s="277" t="s">
        <v>4694</v>
      </c>
      <c r="C66" s="277" t="s">
        <v>4720</v>
      </c>
      <c r="D66" s="277" t="s">
        <v>4721</v>
      </c>
      <c r="E66" s="277" t="s">
        <v>197</v>
      </c>
      <c r="F66" s="277" t="s">
        <v>4722</v>
      </c>
      <c r="G66" s="277" t="s">
        <v>4748</v>
      </c>
      <c r="H66" s="277" t="s">
        <v>4749</v>
      </c>
      <c r="I66" s="277">
        <v>301</v>
      </c>
      <c r="J66" s="277" t="s">
        <v>4754</v>
      </c>
      <c r="K66" s="277">
        <v>301</v>
      </c>
      <c r="L66" s="277" t="s">
        <v>4753</v>
      </c>
      <c r="M66" s="277" t="s">
        <v>579</v>
      </c>
      <c r="N66" s="277" t="s">
        <v>4759</v>
      </c>
      <c r="O66" s="277">
        <v>522151</v>
      </c>
      <c r="P66" s="277" t="s">
        <v>4701</v>
      </c>
      <c r="Q66" s="278">
        <v>70000000</v>
      </c>
      <c r="R66" s="292">
        <f>SUM('PER BULAN'!G111:I111)</f>
        <v>0</v>
      </c>
      <c r="S66" s="292">
        <f>SUM('PER BULAN'!J111:L111)</f>
        <v>0</v>
      </c>
      <c r="T66" s="292">
        <f>SUM('PER BULAN'!M111:O111)</f>
        <v>1800000</v>
      </c>
      <c r="U66" s="292">
        <f>SUM('PER BULAN'!P111:R111)</f>
        <v>1000000</v>
      </c>
      <c r="V66" s="292">
        <f>SUM('PER BULAN'!S111:U111)</f>
        <v>2000000</v>
      </c>
      <c r="W66" s="292">
        <f>SUM('PER BULAN'!V111:X111)</f>
        <v>0</v>
      </c>
      <c r="X66" s="292">
        <f>SUM('PER BULAN'!Y111:AA111)</f>
        <v>0</v>
      </c>
      <c r="Y66" s="292">
        <f>SUM('PER BULAN'!AB111:AD111)</f>
        <v>0</v>
      </c>
      <c r="Z66" s="292">
        <f>SUM('PER BULAN'!AE111:AG111)</f>
        <v>0</v>
      </c>
      <c r="AA66" s="292">
        <f>SUM('PER BULAN'!AH111:AJ111)</f>
        <v>0</v>
      </c>
      <c r="AB66" s="292">
        <f>SUM('PER BULAN'!AK111:AM111)</f>
        <v>0</v>
      </c>
      <c r="AC66" s="292">
        <f>SUM('PER BULAN'!AN111:AP111)</f>
        <v>0</v>
      </c>
      <c r="AD66" s="277" t="s">
        <v>530</v>
      </c>
      <c r="AE66" s="277" t="s">
        <v>531</v>
      </c>
      <c r="AF66" s="277" t="s">
        <v>532</v>
      </c>
      <c r="AG66" s="277" t="s">
        <v>4699</v>
      </c>
      <c r="AH66" s="277" t="s">
        <v>4700</v>
      </c>
      <c r="AI66" s="277">
        <f t="shared" si="0"/>
        <v>4800000</v>
      </c>
      <c r="AJ66" s="291">
        <f t="shared" si="1"/>
        <v>6.8571428571428577</v>
      </c>
      <c r="AK66" s="277">
        <f t="shared" si="2"/>
        <v>65200000</v>
      </c>
      <c r="AL66" s="291">
        <f t="shared" si="3"/>
        <v>93.142857142857139</v>
      </c>
      <c r="AM66" s="277" t="s">
        <v>1498</v>
      </c>
      <c r="AN66" s="277" t="s">
        <v>4730</v>
      </c>
      <c r="AO66" s="277" t="s">
        <v>4735</v>
      </c>
      <c r="AP66" s="277" t="s">
        <v>4732</v>
      </c>
      <c r="AQ66" s="292">
        <f>SUM('PER BULAN'!AX111)</f>
        <v>0</v>
      </c>
      <c r="AR66" s="292">
        <f>SUM('PER BULAN'!AY111)</f>
        <v>1800000</v>
      </c>
      <c r="AS66" s="292">
        <f>SUM('PER BULAN'!AZ111)</f>
        <v>0</v>
      </c>
      <c r="AT66" s="292">
        <f>SUM('PER BULAN'!BA111)</f>
        <v>0</v>
      </c>
      <c r="AU66" s="292">
        <f>SUM('PER BULAN'!BB111)</f>
        <v>0</v>
      </c>
      <c r="AV66" s="292">
        <f>SUM('PER BULAN'!BC111)</f>
        <v>0</v>
      </c>
      <c r="AW66" s="292">
        <f>SUM('PER BULAN'!BD111)</f>
        <v>2000000</v>
      </c>
      <c r="AX66" s="292">
        <f>SUM('PER BULAN'!BE111)</f>
        <v>0</v>
      </c>
    </row>
    <row r="67" spans="1:50" s="278" customFormat="1" x14ac:dyDescent="0.3">
      <c r="A67" s="277" t="s">
        <v>4693</v>
      </c>
      <c r="B67" s="277" t="s">
        <v>4694</v>
      </c>
      <c r="C67" s="277" t="s">
        <v>4720</v>
      </c>
      <c r="D67" s="277" t="s">
        <v>4721</v>
      </c>
      <c r="E67" s="277" t="s">
        <v>197</v>
      </c>
      <c r="F67" s="277" t="s">
        <v>4722</v>
      </c>
      <c r="G67" s="277" t="s">
        <v>4748</v>
      </c>
      <c r="H67" s="277" t="s">
        <v>4749</v>
      </c>
      <c r="I67" s="277">
        <v>301</v>
      </c>
      <c r="J67" s="277" t="s">
        <v>4754</v>
      </c>
      <c r="K67" s="277">
        <v>301</v>
      </c>
      <c r="L67" s="277" t="s">
        <v>4753</v>
      </c>
      <c r="M67" s="277" t="s">
        <v>579</v>
      </c>
      <c r="N67" s="277" t="s">
        <v>4759</v>
      </c>
      <c r="O67" s="277" t="s">
        <v>513</v>
      </c>
      <c r="P67" s="277" t="s">
        <v>4702</v>
      </c>
      <c r="Q67" s="278">
        <v>246000000</v>
      </c>
      <c r="R67" s="292">
        <f>SUM('PER BULAN'!G113:I113)</f>
        <v>0</v>
      </c>
      <c r="S67" s="292">
        <f>SUM('PER BULAN'!J112:L112)</f>
        <v>0</v>
      </c>
      <c r="T67" s="292">
        <f>SUM('PER BULAN'!M112:O112)</f>
        <v>2700000</v>
      </c>
      <c r="U67" s="292">
        <f>SUM('PER BULAN'!P112:R112)</f>
        <v>0</v>
      </c>
      <c r="V67" s="292">
        <f>SUM('PER BULAN'!S112:U112)</f>
        <v>27528345</v>
      </c>
      <c r="W67" s="292">
        <f>SUM('PER BULAN'!V112:X112)</f>
        <v>30535327</v>
      </c>
      <c r="X67" s="292">
        <f>SUM('PER BULAN'!Y112:AA112)</f>
        <v>0</v>
      </c>
      <c r="Y67" s="292">
        <f>SUM('PER BULAN'!AB112:AD112)</f>
        <v>0</v>
      </c>
      <c r="Z67" s="292">
        <f>SUM('PER BULAN'!AE112:AG112)</f>
        <v>0</v>
      </c>
      <c r="AA67" s="292">
        <f>SUM('PER BULAN'!AH112:AJ112)</f>
        <v>0</v>
      </c>
      <c r="AB67" s="292">
        <f>SUM('PER BULAN'!AK112:AM112)</f>
        <v>0</v>
      </c>
      <c r="AC67" s="292">
        <f>SUM('PER BULAN'!AN112:AP112)</f>
        <v>0</v>
      </c>
      <c r="AD67" s="277" t="s">
        <v>530</v>
      </c>
      <c r="AE67" s="277" t="s">
        <v>531</v>
      </c>
      <c r="AF67" s="277" t="s">
        <v>532</v>
      </c>
      <c r="AG67" s="277" t="s">
        <v>4699</v>
      </c>
      <c r="AH67" s="277" t="s">
        <v>4700</v>
      </c>
      <c r="AI67" s="277">
        <f t="shared" si="0"/>
        <v>60763672</v>
      </c>
      <c r="AJ67" s="291">
        <f t="shared" si="1"/>
        <v>24.700679674796746</v>
      </c>
      <c r="AK67" s="277">
        <f t="shared" si="2"/>
        <v>185236328</v>
      </c>
      <c r="AL67" s="291">
        <f t="shared" si="3"/>
        <v>75.299320325203254</v>
      </c>
      <c r="AM67" s="277" t="s">
        <v>1501</v>
      </c>
      <c r="AN67" s="277" t="s">
        <v>4730</v>
      </c>
      <c r="AO67" s="277" t="s">
        <v>4736</v>
      </c>
      <c r="AP67" s="277" t="s">
        <v>4732</v>
      </c>
      <c r="AQ67" s="292">
        <f>SUM('PER BULAN'!AX112)</f>
        <v>0</v>
      </c>
      <c r="AR67" s="292">
        <f>SUM('PER BULAN'!AY112)</f>
        <v>0</v>
      </c>
      <c r="AS67" s="292">
        <f>SUM('PER BULAN'!AZ112)</f>
        <v>2700000</v>
      </c>
      <c r="AT67" s="292">
        <f>SUM('PER BULAN'!BA112)</f>
        <v>0</v>
      </c>
      <c r="AU67" s="292">
        <f>SUM('PER BULAN'!BB112)</f>
        <v>0</v>
      </c>
      <c r="AV67" s="292">
        <f>SUM('PER BULAN'!BC112)</f>
        <v>0</v>
      </c>
      <c r="AW67" s="292">
        <f>SUM('PER BULAN'!BD112)</f>
        <v>8114345</v>
      </c>
      <c r="AX67" s="292">
        <f>SUM('PER BULAN'!BE112)</f>
        <v>0</v>
      </c>
    </row>
    <row r="68" spans="1:50" s="278" customFormat="1" x14ac:dyDescent="0.3">
      <c r="A68" s="277" t="s">
        <v>4693</v>
      </c>
      <c r="B68" s="277" t="s">
        <v>4694</v>
      </c>
      <c r="C68" s="277" t="s">
        <v>4720</v>
      </c>
      <c r="D68" s="277" t="s">
        <v>4721</v>
      </c>
      <c r="E68" s="277" t="s">
        <v>197</v>
      </c>
      <c r="F68" s="277" t="s">
        <v>4722</v>
      </c>
      <c r="G68" s="277" t="s">
        <v>4748</v>
      </c>
      <c r="H68" s="277" t="s">
        <v>4749</v>
      </c>
      <c r="I68" s="277">
        <v>301</v>
      </c>
      <c r="J68" s="277" t="s">
        <v>4754</v>
      </c>
      <c r="K68" s="277">
        <v>301</v>
      </c>
      <c r="L68" s="277" t="s">
        <v>4753</v>
      </c>
      <c r="M68" s="277" t="s">
        <v>580</v>
      </c>
      <c r="N68" s="277" t="s">
        <v>4760</v>
      </c>
      <c r="O68" s="277">
        <v>521211</v>
      </c>
      <c r="P68" s="277" t="s">
        <v>4698</v>
      </c>
      <c r="Q68" s="278">
        <v>118575000</v>
      </c>
      <c r="R68" s="292">
        <f>SUM('PER BULAN'!G114:I114)</f>
        <v>0</v>
      </c>
      <c r="S68" s="292">
        <f>SUM('PER BULAN'!J114:L114)</f>
        <v>0</v>
      </c>
      <c r="T68" s="292">
        <f>SUM('PER BULAN'!M114:O114)</f>
        <v>0</v>
      </c>
      <c r="U68" s="292">
        <f>SUM('PER BULAN'!P114:R114)</f>
        <v>0</v>
      </c>
      <c r="V68" s="292">
        <f>SUM('PER BULAN'!S114:U114)</f>
        <v>0</v>
      </c>
      <c r="W68" s="292">
        <f>SUM('PER BULAN'!V114:X114)</f>
        <v>0</v>
      </c>
      <c r="X68" s="292">
        <f>SUM('PER BULAN'!Y114:AA114)</f>
        <v>0</v>
      </c>
      <c r="Y68" s="292">
        <f>SUM('PER BULAN'!AB114:AD114)</f>
        <v>0</v>
      </c>
      <c r="Z68" s="292">
        <f>SUM('PER BULAN'!AE114:AG114)</f>
        <v>0</v>
      </c>
      <c r="AA68" s="292">
        <f>SUM('PER BULAN'!AH114:AJ114)</f>
        <v>0</v>
      </c>
      <c r="AB68" s="292">
        <f>SUM('PER BULAN'!AK114:AM114)</f>
        <v>0</v>
      </c>
      <c r="AC68" s="292">
        <f>SUM('PER BULAN'!AN114:AP114)</f>
        <v>0</v>
      </c>
      <c r="AD68" s="277" t="s">
        <v>530</v>
      </c>
      <c r="AE68" s="277" t="s">
        <v>531</v>
      </c>
      <c r="AF68" s="277" t="s">
        <v>534</v>
      </c>
      <c r="AG68" s="277" t="s">
        <v>4699</v>
      </c>
      <c r="AH68" s="277" t="s">
        <v>4700</v>
      </c>
      <c r="AI68" s="277">
        <f t="shared" si="0"/>
        <v>0</v>
      </c>
      <c r="AJ68" s="291">
        <f t="shared" si="1"/>
        <v>0</v>
      </c>
      <c r="AK68" s="277">
        <f t="shared" si="2"/>
        <v>118575000</v>
      </c>
      <c r="AL68" s="291">
        <f t="shared" si="3"/>
        <v>100</v>
      </c>
      <c r="AM68" s="277" t="s">
        <v>1506</v>
      </c>
      <c r="AN68" s="277" t="s">
        <v>4730</v>
      </c>
      <c r="AO68" s="277" t="s">
        <v>4731</v>
      </c>
      <c r="AP68" s="277" t="s">
        <v>4732</v>
      </c>
      <c r="AQ68" s="292">
        <f>SUM('PER BULAN'!AX114)</f>
        <v>0</v>
      </c>
      <c r="AR68" s="292">
        <f>SUM('PER BULAN'!AY114)</f>
        <v>0</v>
      </c>
      <c r="AS68" s="292">
        <f>SUM('PER BULAN'!AZ114)</f>
        <v>0</v>
      </c>
      <c r="AT68" s="292">
        <f>SUM('PER BULAN'!BA114)</f>
        <v>0</v>
      </c>
      <c r="AU68" s="292">
        <f>SUM('PER BULAN'!BB114)</f>
        <v>0</v>
      </c>
      <c r="AV68" s="292">
        <f>SUM('PER BULAN'!BC114)</f>
        <v>0</v>
      </c>
      <c r="AW68" s="292">
        <f>SUM('PER BULAN'!BD114)</f>
        <v>0</v>
      </c>
      <c r="AX68" s="292">
        <f>SUM('PER BULAN'!BE114)</f>
        <v>0</v>
      </c>
    </row>
    <row r="69" spans="1:50" s="278" customFormat="1" x14ac:dyDescent="0.3">
      <c r="A69" s="277" t="s">
        <v>4693</v>
      </c>
      <c r="B69" s="277" t="s">
        <v>4694</v>
      </c>
      <c r="C69" s="277" t="s">
        <v>4720</v>
      </c>
      <c r="D69" s="277" t="s">
        <v>4721</v>
      </c>
      <c r="E69" s="277" t="s">
        <v>197</v>
      </c>
      <c r="F69" s="277" t="s">
        <v>4722</v>
      </c>
      <c r="G69" s="277" t="s">
        <v>4748</v>
      </c>
      <c r="H69" s="277" t="s">
        <v>4749</v>
      </c>
      <c r="I69" s="277">
        <v>301</v>
      </c>
      <c r="J69" s="277" t="s">
        <v>4754</v>
      </c>
      <c r="K69" s="277">
        <v>301</v>
      </c>
      <c r="L69" s="277" t="s">
        <v>4753</v>
      </c>
      <c r="M69" s="277" t="s">
        <v>580</v>
      </c>
      <c r="N69" s="277" t="s">
        <v>4760</v>
      </c>
      <c r="O69" s="277">
        <v>521219</v>
      </c>
      <c r="P69" s="277" t="s">
        <v>4711</v>
      </c>
      <c r="Q69" s="278">
        <v>393200000</v>
      </c>
      <c r="R69" s="292">
        <f>SUM('PER BULAN'!G115:I115)</f>
        <v>0</v>
      </c>
      <c r="S69" s="292">
        <f>SUM('PER BULAN'!J115:L115)</f>
        <v>0</v>
      </c>
      <c r="T69" s="292">
        <f>SUM('PER BULAN'!M115:O115)</f>
        <v>0</v>
      </c>
      <c r="U69" s="292">
        <f>SUM('PER BULAN'!P115:R115)</f>
        <v>0</v>
      </c>
      <c r="V69" s="292">
        <f>SUM('PER BULAN'!S115:U115)</f>
        <v>0</v>
      </c>
      <c r="W69" s="292">
        <f>SUM('PER BULAN'!V115:X115)</f>
        <v>0</v>
      </c>
      <c r="X69" s="292">
        <f>SUM('PER BULAN'!Y115:AA115)</f>
        <v>0</v>
      </c>
      <c r="Y69" s="292">
        <f>SUM('PER BULAN'!AB115:AD115)</f>
        <v>0</v>
      </c>
      <c r="Z69" s="292">
        <f>SUM('PER BULAN'!AE115:AG115)</f>
        <v>0</v>
      </c>
      <c r="AA69" s="292">
        <f>SUM('PER BULAN'!AH115:AJ115)</f>
        <v>0</v>
      </c>
      <c r="AB69" s="292">
        <f>SUM('PER BULAN'!AK115:AM115)</f>
        <v>0</v>
      </c>
      <c r="AC69" s="292">
        <f>SUM('PER BULAN'!AN115:AP115)</f>
        <v>0</v>
      </c>
      <c r="AD69" s="277" t="s">
        <v>530</v>
      </c>
      <c r="AE69" s="277" t="s">
        <v>531</v>
      </c>
      <c r="AF69" s="277" t="s">
        <v>534</v>
      </c>
      <c r="AG69" s="277" t="s">
        <v>4699</v>
      </c>
      <c r="AH69" s="277" t="s">
        <v>4700</v>
      </c>
      <c r="AI69" s="277">
        <f t="shared" ref="AI69:AI126" si="6">SUM(R69:AC69)</f>
        <v>0</v>
      </c>
      <c r="AJ69" s="291">
        <f t="shared" ref="AJ69:AJ126" si="7">AI69/Q69*100</f>
        <v>0</v>
      </c>
      <c r="AK69" s="277">
        <f t="shared" ref="AK69:AK126" si="8">Q69-AI69</f>
        <v>393200000</v>
      </c>
      <c r="AL69" s="291">
        <f t="shared" ref="AL69:AL126" si="9">AK69/Q69*100</f>
        <v>100</v>
      </c>
      <c r="AM69" s="277" t="s">
        <v>1521</v>
      </c>
      <c r="AN69" s="277" t="s">
        <v>4730</v>
      </c>
      <c r="AO69" s="277" t="s">
        <v>4733</v>
      </c>
      <c r="AP69" s="277" t="s">
        <v>4732</v>
      </c>
      <c r="AQ69" s="292">
        <f>SUM('PER BULAN'!AX115)</f>
        <v>0</v>
      </c>
      <c r="AR69" s="292">
        <f>SUM('PER BULAN'!AY115)</f>
        <v>0</v>
      </c>
      <c r="AS69" s="292">
        <f>SUM('PER BULAN'!AZ115)</f>
        <v>0</v>
      </c>
      <c r="AT69" s="292">
        <f>SUM('PER BULAN'!BA115)</f>
        <v>0</v>
      </c>
      <c r="AU69" s="292">
        <f>SUM('PER BULAN'!BB115)</f>
        <v>0</v>
      </c>
      <c r="AV69" s="292">
        <f>SUM('PER BULAN'!BC115)</f>
        <v>0</v>
      </c>
      <c r="AW69" s="292">
        <f>SUM('PER BULAN'!BD115)</f>
        <v>0</v>
      </c>
      <c r="AX69" s="292">
        <f>SUM('PER BULAN'!BE115)</f>
        <v>0</v>
      </c>
    </row>
    <row r="70" spans="1:50" s="278" customFormat="1" x14ac:dyDescent="0.3">
      <c r="A70" s="277" t="s">
        <v>4693</v>
      </c>
      <c r="B70" s="277" t="s">
        <v>4694</v>
      </c>
      <c r="C70" s="277" t="s">
        <v>4720</v>
      </c>
      <c r="D70" s="277" t="s">
        <v>4721</v>
      </c>
      <c r="E70" s="277" t="s">
        <v>197</v>
      </c>
      <c r="F70" s="277" t="s">
        <v>4722</v>
      </c>
      <c r="G70" s="277" t="s">
        <v>4748</v>
      </c>
      <c r="H70" s="277" t="s">
        <v>4749</v>
      </c>
      <c r="I70" s="277">
        <v>301</v>
      </c>
      <c r="J70" s="277" t="s">
        <v>4754</v>
      </c>
      <c r="K70" s="277">
        <v>301</v>
      </c>
      <c r="L70" s="277" t="s">
        <v>4753</v>
      </c>
      <c r="M70" s="277" t="s">
        <v>580</v>
      </c>
      <c r="N70" s="277" t="s">
        <v>4760</v>
      </c>
      <c r="O70" s="277">
        <v>522141</v>
      </c>
      <c r="P70" s="277" t="s">
        <v>4704</v>
      </c>
      <c r="Q70" s="278">
        <v>120000000</v>
      </c>
      <c r="R70" s="292">
        <f>SUM('PER BULAN'!G116:I116)</f>
        <v>0</v>
      </c>
      <c r="S70" s="292">
        <f>SUM('PER BULAN'!J116:L116)</f>
        <v>0</v>
      </c>
      <c r="T70" s="292">
        <f>SUM('PER BULAN'!M116:O116)</f>
        <v>0</v>
      </c>
      <c r="U70" s="292">
        <f>SUM('PER BULAN'!P116:R116)</f>
        <v>0</v>
      </c>
      <c r="V70" s="292">
        <f>SUM('PER BULAN'!S116:U116)</f>
        <v>0</v>
      </c>
      <c r="W70" s="292">
        <f>SUM('PER BULAN'!V116:X116)</f>
        <v>0</v>
      </c>
      <c r="X70" s="292">
        <f>SUM('PER BULAN'!Y116:AA116)</f>
        <v>0</v>
      </c>
      <c r="Y70" s="292">
        <f>SUM('PER BULAN'!AB116:AD116)</f>
        <v>0</v>
      </c>
      <c r="Z70" s="292">
        <f>SUM('PER BULAN'!AE116:AG116)</f>
        <v>0</v>
      </c>
      <c r="AA70" s="292">
        <f>SUM('PER BULAN'!AH116:AJ116)</f>
        <v>0</v>
      </c>
      <c r="AB70" s="292">
        <f>SUM('PER BULAN'!AK116:AM116)</f>
        <v>0</v>
      </c>
      <c r="AC70" s="292">
        <f>SUM('PER BULAN'!AN116:AP116)</f>
        <v>0</v>
      </c>
      <c r="AD70" s="277" t="s">
        <v>530</v>
      </c>
      <c r="AE70" s="277" t="s">
        <v>531</v>
      </c>
      <c r="AF70" s="277" t="s">
        <v>534</v>
      </c>
      <c r="AG70" s="277" t="s">
        <v>4699</v>
      </c>
      <c r="AH70" s="277" t="s">
        <v>4700</v>
      </c>
      <c r="AI70" s="277">
        <f t="shared" si="6"/>
        <v>0</v>
      </c>
      <c r="AJ70" s="291">
        <f t="shared" si="7"/>
        <v>0</v>
      </c>
      <c r="AK70" s="277">
        <f t="shared" si="8"/>
        <v>120000000</v>
      </c>
      <c r="AL70" s="291">
        <f t="shared" si="9"/>
        <v>100</v>
      </c>
      <c r="AM70" s="277" t="s">
        <v>1526</v>
      </c>
      <c r="AN70" s="277" t="s">
        <v>4730</v>
      </c>
      <c r="AO70" s="277" t="s">
        <v>4740</v>
      </c>
      <c r="AP70" s="277" t="s">
        <v>4732</v>
      </c>
      <c r="AQ70" s="292">
        <f>SUM('PER BULAN'!AX116)</f>
        <v>0</v>
      </c>
      <c r="AR70" s="292">
        <f>SUM('PER BULAN'!AY116)</f>
        <v>0</v>
      </c>
      <c r="AS70" s="292">
        <f>SUM('PER BULAN'!AZ116)</f>
        <v>0</v>
      </c>
      <c r="AT70" s="292">
        <f>SUM('PER BULAN'!BA116)</f>
        <v>0</v>
      </c>
      <c r="AU70" s="292">
        <f>SUM('PER BULAN'!BB116)</f>
        <v>0</v>
      </c>
      <c r="AV70" s="292">
        <f>SUM('PER BULAN'!BC116)</f>
        <v>0</v>
      </c>
      <c r="AW70" s="292">
        <f>SUM('PER BULAN'!BD116)</f>
        <v>0</v>
      </c>
      <c r="AX70" s="292">
        <f>SUM('PER BULAN'!BE116)</f>
        <v>0</v>
      </c>
    </row>
    <row r="71" spans="1:50" s="278" customFormat="1" x14ac:dyDescent="0.3">
      <c r="A71" s="277" t="s">
        <v>4693</v>
      </c>
      <c r="B71" s="277" t="s">
        <v>4694</v>
      </c>
      <c r="C71" s="277" t="s">
        <v>4720</v>
      </c>
      <c r="D71" s="277" t="s">
        <v>4721</v>
      </c>
      <c r="E71" s="277" t="s">
        <v>197</v>
      </c>
      <c r="F71" s="277" t="s">
        <v>4722</v>
      </c>
      <c r="G71" s="277" t="s">
        <v>4748</v>
      </c>
      <c r="H71" s="277" t="s">
        <v>4749</v>
      </c>
      <c r="I71" s="277">
        <v>301</v>
      </c>
      <c r="J71" s="277" t="s">
        <v>4754</v>
      </c>
      <c r="K71" s="277">
        <v>301</v>
      </c>
      <c r="L71" s="277" t="s">
        <v>4753</v>
      </c>
      <c r="M71" s="277" t="s">
        <v>580</v>
      </c>
      <c r="N71" s="277" t="s">
        <v>4760</v>
      </c>
      <c r="O71" s="277" t="s">
        <v>513</v>
      </c>
      <c r="P71" s="277" t="s">
        <v>4702</v>
      </c>
      <c r="Q71" s="278">
        <v>7962000</v>
      </c>
      <c r="R71" s="292">
        <f>SUM('PER BULAN'!G118:I118)</f>
        <v>0</v>
      </c>
      <c r="S71" s="292">
        <f>SUM('PER BULAN'!J117:L117)</f>
        <v>0</v>
      </c>
      <c r="T71" s="292">
        <f>SUM('PER BULAN'!M117:O117)</f>
        <v>0</v>
      </c>
      <c r="U71" s="292">
        <f>SUM('PER BULAN'!P117:R117)</f>
        <v>0</v>
      </c>
      <c r="V71" s="292">
        <f>SUM('PER BULAN'!S117:U117)</f>
        <v>0</v>
      </c>
      <c r="W71" s="292">
        <f>SUM('PER BULAN'!V117:X117)</f>
        <v>0</v>
      </c>
      <c r="X71" s="292">
        <f>SUM('PER BULAN'!Y117:AA117)</f>
        <v>0</v>
      </c>
      <c r="Y71" s="292">
        <f>SUM('PER BULAN'!AB117:AD117)</f>
        <v>0</v>
      </c>
      <c r="Z71" s="292">
        <f>SUM('PER BULAN'!AE117:AG117)</f>
        <v>0</v>
      </c>
      <c r="AA71" s="292">
        <f>SUM('PER BULAN'!AH117:AJ117)</f>
        <v>0</v>
      </c>
      <c r="AB71" s="292">
        <f>SUM('PER BULAN'!AK117:AM117)</f>
        <v>0</v>
      </c>
      <c r="AC71" s="292">
        <f>SUM('PER BULAN'!AN117:AP117)</f>
        <v>0</v>
      </c>
      <c r="AD71" s="277" t="s">
        <v>530</v>
      </c>
      <c r="AE71" s="277" t="s">
        <v>531</v>
      </c>
      <c r="AF71" s="277" t="s">
        <v>534</v>
      </c>
      <c r="AG71" s="277" t="s">
        <v>4699</v>
      </c>
      <c r="AH71" s="277" t="s">
        <v>4700</v>
      </c>
      <c r="AI71" s="277">
        <f t="shared" si="6"/>
        <v>0</v>
      </c>
      <c r="AJ71" s="291">
        <f t="shared" si="7"/>
        <v>0</v>
      </c>
      <c r="AK71" s="277">
        <f t="shared" si="8"/>
        <v>7962000</v>
      </c>
      <c r="AL71" s="291">
        <f t="shared" si="9"/>
        <v>100</v>
      </c>
      <c r="AM71" s="277" t="s">
        <v>1533</v>
      </c>
      <c r="AN71" s="277" t="s">
        <v>4730</v>
      </c>
      <c r="AO71" s="277" t="s">
        <v>4736</v>
      </c>
      <c r="AP71" s="277" t="s">
        <v>4732</v>
      </c>
      <c r="AQ71" s="292">
        <f>SUM('PER BULAN'!AX117)</f>
        <v>0</v>
      </c>
      <c r="AR71" s="292">
        <f>SUM('PER BULAN'!AY117)</f>
        <v>0</v>
      </c>
      <c r="AS71" s="292">
        <f>SUM('PER BULAN'!AZ117)</f>
        <v>0</v>
      </c>
      <c r="AT71" s="292">
        <f>SUM('PER BULAN'!BA117)</f>
        <v>0</v>
      </c>
      <c r="AU71" s="292">
        <f>SUM('PER BULAN'!BB117)</f>
        <v>0</v>
      </c>
      <c r="AV71" s="292">
        <f>SUM('PER BULAN'!BC117)</f>
        <v>0</v>
      </c>
      <c r="AW71" s="292">
        <f>SUM('PER BULAN'!BD117)</f>
        <v>0</v>
      </c>
      <c r="AX71" s="292">
        <f>SUM('PER BULAN'!BE117)</f>
        <v>0</v>
      </c>
    </row>
    <row r="72" spans="1:50" s="278" customFormat="1" x14ac:dyDescent="0.3">
      <c r="A72" s="277" t="s">
        <v>4693</v>
      </c>
      <c r="B72" s="277" t="s">
        <v>4694</v>
      </c>
      <c r="C72" s="277" t="s">
        <v>4720</v>
      </c>
      <c r="D72" s="277" t="s">
        <v>4721</v>
      </c>
      <c r="E72" s="277" t="s">
        <v>197</v>
      </c>
      <c r="F72" s="277" t="s">
        <v>4722</v>
      </c>
      <c r="G72" s="277" t="s">
        <v>4748</v>
      </c>
      <c r="H72" s="277" t="s">
        <v>4749</v>
      </c>
      <c r="I72" s="277">
        <v>301</v>
      </c>
      <c r="J72" s="277" t="s">
        <v>4754</v>
      </c>
      <c r="K72" s="277">
        <v>301</v>
      </c>
      <c r="L72" s="277" t="s">
        <v>4753</v>
      </c>
      <c r="M72" s="277" t="s">
        <v>581</v>
      </c>
      <c r="N72" s="277" t="s">
        <v>4761</v>
      </c>
      <c r="O72" s="277">
        <v>521211</v>
      </c>
      <c r="P72" s="277" t="s">
        <v>4698</v>
      </c>
      <c r="Q72" s="278">
        <v>17550000</v>
      </c>
      <c r="R72" s="292">
        <f>SUM('PER BULAN'!G119:I119)</f>
        <v>0</v>
      </c>
      <c r="S72" s="292">
        <f>SUM('PER BULAN'!J119:L119)</f>
        <v>0</v>
      </c>
      <c r="T72" s="292">
        <f>SUM('PER BULAN'!M119:O119)</f>
        <v>2444000</v>
      </c>
      <c r="U72" s="292">
        <f>SUM('PER BULAN'!P119:R119)</f>
        <v>0</v>
      </c>
      <c r="V72" s="292">
        <f>SUM('PER BULAN'!S119:U119)</f>
        <v>7025000</v>
      </c>
      <c r="W72" s="292">
        <f>SUM('PER BULAN'!V119:X119)</f>
        <v>0</v>
      </c>
      <c r="X72" s="292">
        <f>SUM('PER BULAN'!Y119:AA119)</f>
        <v>0</v>
      </c>
      <c r="Y72" s="292">
        <f>SUM('PER BULAN'!AB119:AD119)</f>
        <v>0</v>
      </c>
      <c r="Z72" s="292">
        <f>SUM('PER BULAN'!AE119:AG119)</f>
        <v>0</v>
      </c>
      <c r="AA72" s="292">
        <f>SUM('PER BULAN'!AH119:AJ119)</f>
        <v>0</v>
      </c>
      <c r="AB72" s="292">
        <f>SUM('PER BULAN'!AK119:AM119)</f>
        <v>0</v>
      </c>
      <c r="AC72" s="292">
        <f>SUM('PER BULAN'!AN119:AP119)</f>
        <v>0</v>
      </c>
      <c r="AD72" s="277" t="s">
        <v>530</v>
      </c>
      <c r="AE72" s="277" t="s">
        <v>531</v>
      </c>
      <c r="AF72" s="277" t="s">
        <v>534</v>
      </c>
      <c r="AG72" s="277" t="s">
        <v>4699</v>
      </c>
      <c r="AH72" s="277" t="s">
        <v>4700</v>
      </c>
      <c r="AI72" s="277">
        <f t="shared" si="6"/>
        <v>9469000</v>
      </c>
      <c r="AJ72" s="291">
        <f t="shared" si="7"/>
        <v>53.954415954415957</v>
      </c>
      <c r="AK72" s="277">
        <f t="shared" si="8"/>
        <v>8081000</v>
      </c>
      <c r="AL72" s="291">
        <f t="shared" si="9"/>
        <v>46.04558404558405</v>
      </c>
      <c r="AM72" s="277" t="s">
        <v>1538</v>
      </c>
      <c r="AN72" s="277" t="s">
        <v>4730</v>
      </c>
      <c r="AO72" s="277" t="s">
        <v>4731</v>
      </c>
      <c r="AP72" s="277" t="s">
        <v>4732</v>
      </c>
      <c r="AQ72" s="292">
        <f>SUM('PER BULAN'!AX119)</f>
        <v>0</v>
      </c>
      <c r="AR72" s="292">
        <f>SUM('PER BULAN'!AY119)</f>
        <v>2444000</v>
      </c>
      <c r="AS72" s="292">
        <f>SUM('PER BULAN'!AZ119)</f>
        <v>0</v>
      </c>
      <c r="AT72" s="292">
        <f>SUM('PER BULAN'!BA119)</f>
        <v>0</v>
      </c>
      <c r="AU72" s="292">
        <f>SUM('PER BULAN'!BB119)</f>
        <v>0</v>
      </c>
      <c r="AV72" s="292">
        <f>SUM('PER BULAN'!BC119)</f>
        <v>528000</v>
      </c>
      <c r="AW72" s="292">
        <f>SUM('PER BULAN'!BD119)</f>
        <v>6497000</v>
      </c>
      <c r="AX72" s="292">
        <f>SUM('PER BULAN'!BE119)</f>
        <v>0</v>
      </c>
    </row>
    <row r="73" spans="1:50" s="278" customFormat="1" x14ac:dyDescent="0.3">
      <c r="A73" s="277" t="s">
        <v>4693</v>
      </c>
      <c r="B73" s="277" t="s">
        <v>4694</v>
      </c>
      <c r="C73" s="277" t="s">
        <v>4720</v>
      </c>
      <c r="D73" s="277" t="s">
        <v>4721</v>
      </c>
      <c r="E73" s="277" t="s">
        <v>197</v>
      </c>
      <c r="F73" s="277" t="s">
        <v>4722</v>
      </c>
      <c r="G73" s="277" t="s">
        <v>4748</v>
      </c>
      <c r="H73" s="277" t="s">
        <v>4749</v>
      </c>
      <c r="I73" s="277">
        <v>301</v>
      </c>
      <c r="J73" s="277" t="s">
        <v>4754</v>
      </c>
      <c r="K73" s="277">
        <v>301</v>
      </c>
      <c r="L73" s="277" t="s">
        <v>4753</v>
      </c>
      <c r="M73" s="277" t="s">
        <v>581</v>
      </c>
      <c r="N73" s="277" t="s">
        <v>4761</v>
      </c>
      <c r="O73" s="277">
        <v>521219</v>
      </c>
      <c r="P73" s="277" t="s">
        <v>4711</v>
      </c>
      <c r="Q73" s="278">
        <v>27651000</v>
      </c>
      <c r="R73" s="292">
        <f>SUM('PER BULAN'!G120:I120)</f>
        <v>0</v>
      </c>
      <c r="S73" s="292">
        <f>SUM('PER BULAN'!J120:L120)</f>
        <v>0</v>
      </c>
      <c r="T73" s="292">
        <f>SUM('PER BULAN'!M120:O120)</f>
        <v>370000</v>
      </c>
      <c r="U73" s="292">
        <f>SUM('PER BULAN'!P120:R120)</f>
        <v>0</v>
      </c>
      <c r="V73" s="292">
        <f>SUM('PER BULAN'!S120:U120)</f>
        <v>250000</v>
      </c>
      <c r="W73" s="292">
        <f>SUM('PER BULAN'!V120:X120)</f>
        <v>0</v>
      </c>
      <c r="X73" s="292">
        <f>SUM('PER BULAN'!Y120:AA120)</f>
        <v>0</v>
      </c>
      <c r="Y73" s="292">
        <f>SUM('PER BULAN'!AB120:AD120)</f>
        <v>0</v>
      </c>
      <c r="Z73" s="292">
        <f>SUM('PER BULAN'!AE120:AG120)</f>
        <v>0</v>
      </c>
      <c r="AA73" s="292">
        <f>SUM('PER BULAN'!AH120:AJ120)</f>
        <v>0</v>
      </c>
      <c r="AB73" s="292">
        <f>SUM('PER BULAN'!AK120:AM120)</f>
        <v>0</v>
      </c>
      <c r="AC73" s="292">
        <f>SUM('PER BULAN'!AN120:AP120)</f>
        <v>0</v>
      </c>
      <c r="AD73" s="277" t="s">
        <v>530</v>
      </c>
      <c r="AE73" s="277" t="s">
        <v>531</v>
      </c>
      <c r="AF73" s="277" t="s">
        <v>534</v>
      </c>
      <c r="AG73" s="277" t="s">
        <v>4699</v>
      </c>
      <c r="AH73" s="277" t="s">
        <v>4700</v>
      </c>
      <c r="AI73" s="277">
        <f t="shared" si="6"/>
        <v>620000</v>
      </c>
      <c r="AJ73" s="291">
        <f t="shared" si="7"/>
        <v>2.2422335539401832</v>
      </c>
      <c r="AK73" s="277">
        <f t="shared" si="8"/>
        <v>27031000</v>
      </c>
      <c r="AL73" s="291">
        <f t="shared" si="9"/>
        <v>97.757766446059819</v>
      </c>
      <c r="AM73" s="277" t="s">
        <v>1549</v>
      </c>
      <c r="AN73" s="277" t="s">
        <v>4730</v>
      </c>
      <c r="AO73" s="277" t="s">
        <v>4733</v>
      </c>
      <c r="AP73" s="277" t="s">
        <v>4732</v>
      </c>
      <c r="AQ73" s="292">
        <f>SUM('PER BULAN'!AX120)</f>
        <v>0</v>
      </c>
      <c r="AR73" s="292">
        <f>SUM('PER BULAN'!AY120)</f>
        <v>250000</v>
      </c>
      <c r="AS73" s="292">
        <f>SUM('PER BULAN'!AZ120)</f>
        <v>120000</v>
      </c>
      <c r="AT73" s="292">
        <f>SUM('PER BULAN'!BA120)</f>
        <v>0</v>
      </c>
      <c r="AU73" s="292">
        <f>SUM('PER BULAN'!BB120)</f>
        <v>0</v>
      </c>
      <c r="AV73" s="292">
        <f>SUM('PER BULAN'!BC120)</f>
        <v>0</v>
      </c>
      <c r="AW73" s="292">
        <f>SUM('PER BULAN'!BD120)</f>
        <v>250000</v>
      </c>
      <c r="AX73" s="292">
        <f>SUM('PER BULAN'!BE120)</f>
        <v>0</v>
      </c>
    </row>
    <row r="74" spans="1:50" s="278" customFormat="1" x14ac:dyDescent="0.3">
      <c r="A74" s="277" t="s">
        <v>4693</v>
      </c>
      <c r="B74" s="277" t="s">
        <v>4694</v>
      </c>
      <c r="C74" s="277" t="s">
        <v>4720</v>
      </c>
      <c r="D74" s="277" t="s">
        <v>4721</v>
      </c>
      <c r="E74" s="277" t="s">
        <v>197</v>
      </c>
      <c r="F74" s="277" t="s">
        <v>4722</v>
      </c>
      <c r="G74" s="277" t="s">
        <v>4748</v>
      </c>
      <c r="H74" s="277" t="s">
        <v>4749</v>
      </c>
      <c r="I74" s="277">
        <v>301</v>
      </c>
      <c r="J74" s="277" t="s">
        <v>4754</v>
      </c>
      <c r="K74" s="277">
        <v>301</v>
      </c>
      <c r="L74" s="277" t="s">
        <v>4753</v>
      </c>
      <c r="M74" s="277" t="s">
        <v>581</v>
      </c>
      <c r="N74" s="277" t="s">
        <v>4761</v>
      </c>
      <c r="O74" s="277">
        <v>522151</v>
      </c>
      <c r="P74" s="277" t="s">
        <v>4701</v>
      </c>
      <c r="Q74" s="278">
        <v>40000000</v>
      </c>
      <c r="R74" s="292">
        <f>SUM('PER BULAN'!G121:I121)</f>
        <v>0</v>
      </c>
      <c r="S74" s="292">
        <f>SUM('PER BULAN'!J121:L121)</f>
        <v>0</v>
      </c>
      <c r="T74" s="292">
        <f>SUM('PER BULAN'!M121:O121)</f>
        <v>0</v>
      </c>
      <c r="U74" s="292">
        <f>SUM('PER BULAN'!P121:R121)</f>
        <v>0</v>
      </c>
      <c r="V74" s="292">
        <f>SUM('PER BULAN'!S121:U121)</f>
        <v>14000000</v>
      </c>
      <c r="W74" s="292">
        <f>SUM('PER BULAN'!V121:X121)</f>
        <v>0</v>
      </c>
      <c r="X74" s="292">
        <f>SUM('PER BULAN'!Y121:AA121)</f>
        <v>0</v>
      </c>
      <c r="Y74" s="292">
        <f>SUM('PER BULAN'!AB121:AD121)</f>
        <v>0</v>
      </c>
      <c r="Z74" s="292">
        <f>SUM('PER BULAN'!AE121:AG121)</f>
        <v>0</v>
      </c>
      <c r="AA74" s="292">
        <f>SUM('PER BULAN'!AH121:AJ121)</f>
        <v>0</v>
      </c>
      <c r="AB74" s="292">
        <f>SUM('PER BULAN'!AK121:AM121)</f>
        <v>0</v>
      </c>
      <c r="AC74" s="292">
        <f>SUM('PER BULAN'!AN121:AP121)</f>
        <v>0</v>
      </c>
      <c r="AD74" s="277" t="s">
        <v>530</v>
      </c>
      <c r="AE74" s="277" t="s">
        <v>531</v>
      </c>
      <c r="AF74" s="277" t="s">
        <v>534</v>
      </c>
      <c r="AG74" s="277" t="s">
        <v>4699</v>
      </c>
      <c r="AH74" s="277" t="s">
        <v>4700</v>
      </c>
      <c r="AI74" s="277">
        <f t="shared" si="6"/>
        <v>14000000</v>
      </c>
      <c r="AJ74" s="291">
        <f t="shared" si="7"/>
        <v>35</v>
      </c>
      <c r="AK74" s="277">
        <f t="shared" si="8"/>
        <v>26000000</v>
      </c>
      <c r="AL74" s="291">
        <f t="shared" si="9"/>
        <v>65</v>
      </c>
      <c r="AM74" s="277" t="s">
        <v>1551</v>
      </c>
      <c r="AN74" s="277" t="s">
        <v>4730</v>
      </c>
      <c r="AO74" s="277" t="s">
        <v>4735</v>
      </c>
      <c r="AP74" s="277" t="s">
        <v>4732</v>
      </c>
      <c r="AQ74" s="292">
        <f>SUM('PER BULAN'!AX121)</f>
        <v>0</v>
      </c>
      <c r="AR74" s="292">
        <f>SUM('PER BULAN'!AY121)</f>
        <v>0</v>
      </c>
      <c r="AS74" s="292">
        <f>SUM('PER BULAN'!AZ121)</f>
        <v>0</v>
      </c>
      <c r="AT74" s="292">
        <f>SUM('PER BULAN'!BA121)</f>
        <v>0</v>
      </c>
      <c r="AU74" s="292">
        <f>SUM('PER BULAN'!BB121)</f>
        <v>0</v>
      </c>
      <c r="AV74" s="292">
        <f>SUM('PER BULAN'!BC121)</f>
        <v>0</v>
      </c>
      <c r="AW74" s="292">
        <f>SUM('PER BULAN'!BD121)</f>
        <v>14000000</v>
      </c>
      <c r="AX74" s="292">
        <f>SUM('PER BULAN'!BE121)</f>
        <v>0</v>
      </c>
    </row>
    <row r="75" spans="1:50" s="278" customFormat="1" x14ac:dyDescent="0.3">
      <c r="A75" s="277" t="s">
        <v>4693</v>
      </c>
      <c r="B75" s="277" t="s">
        <v>4694</v>
      </c>
      <c r="C75" s="277" t="s">
        <v>4720</v>
      </c>
      <c r="D75" s="277" t="s">
        <v>4721</v>
      </c>
      <c r="E75" s="277" t="s">
        <v>197</v>
      </c>
      <c r="F75" s="277" t="s">
        <v>4722</v>
      </c>
      <c r="G75" s="277" t="s">
        <v>4748</v>
      </c>
      <c r="H75" s="277" t="s">
        <v>4749</v>
      </c>
      <c r="I75" s="277">
        <v>301</v>
      </c>
      <c r="J75" s="277" t="s">
        <v>4754</v>
      </c>
      <c r="K75" s="277">
        <v>301</v>
      </c>
      <c r="L75" s="277" t="s">
        <v>4753</v>
      </c>
      <c r="M75" s="277" t="s">
        <v>581</v>
      </c>
      <c r="N75" s="277" t="s">
        <v>4761</v>
      </c>
      <c r="O75" s="277" t="s">
        <v>513</v>
      </c>
      <c r="P75" s="277" t="s">
        <v>4702</v>
      </c>
      <c r="Q75" s="278">
        <v>25062000</v>
      </c>
      <c r="R75" s="292">
        <f>SUM('PER BULAN'!G125:I125)</f>
        <v>0</v>
      </c>
      <c r="S75" s="292">
        <f>SUM('PER BULAN'!J122:L122)</f>
        <v>0</v>
      </c>
      <c r="T75" s="292">
        <f>SUM('PER BULAN'!M122:O122)</f>
        <v>25062000</v>
      </c>
      <c r="U75" s="292">
        <f>SUM('PER BULAN'!P122:R122)</f>
        <v>0</v>
      </c>
      <c r="V75" s="292">
        <f>SUM('PER BULAN'!S122:U122)</f>
        <v>0</v>
      </c>
      <c r="W75" s="292">
        <f>SUM('PER BULAN'!V122:X122)</f>
        <v>0</v>
      </c>
      <c r="X75" s="292">
        <f>SUM('PER BULAN'!Y122:AA122)</f>
        <v>0</v>
      </c>
      <c r="Y75" s="292">
        <f>SUM('PER BULAN'!AB122:AD122)</f>
        <v>0</v>
      </c>
      <c r="Z75" s="292">
        <f>SUM('PER BULAN'!AE122:AG122)</f>
        <v>0</v>
      </c>
      <c r="AA75" s="292">
        <f>SUM('PER BULAN'!AH122:AJ122)</f>
        <v>0</v>
      </c>
      <c r="AB75" s="292">
        <f>SUM('PER BULAN'!AK122:AM122)</f>
        <v>0</v>
      </c>
      <c r="AC75" s="292">
        <f>SUM('PER BULAN'!AN122:AP122)</f>
        <v>0</v>
      </c>
      <c r="AD75" s="277" t="s">
        <v>530</v>
      </c>
      <c r="AE75" s="277" t="s">
        <v>531</v>
      </c>
      <c r="AF75" s="277" t="s">
        <v>534</v>
      </c>
      <c r="AG75" s="277" t="s">
        <v>4699</v>
      </c>
      <c r="AH75" s="277" t="s">
        <v>4700</v>
      </c>
      <c r="AI75" s="277">
        <f t="shared" si="6"/>
        <v>25062000</v>
      </c>
      <c r="AJ75" s="291">
        <f t="shared" si="7"/>
        <v>100</v>
      </c>
      <c r="AK75" s="277">
        <f t="shared" si="8"/>
        <v>0</v>
      </c>
      <c r="AL75" s="291">
        <f t="shared" si="9"/>
        <v>0</v>
      </c>
      <c r="AM75" s="277" t="s">
        <v>1553</v>
      </c>
      <c r="AN75" s="277" t="s">
        <v>4730</v>
      </c>
      <c r="AO75" s="277" t="s">
        <v>4736</v>
      </c>
      <c r="AP75" s="277" t="s">
        <v>4732</v>
      </c>
      <c r="AQ75" s="292">
        <f>SUM('PER BULAN'!AX122)</f>
        <v>0</v>
      </c>
      <c r="AR75" s="292">
        <f>SUM('PER BULAN'!AY122)</f>
        <v>15982000</v>
      </c>
      <c r="AS75" s="292">
        <f>SUM('PER BULAN'!AZ122)</f>
        <v>9080000</v>
      </c>
      <c r="AT75" s="292">
        <f>SUM('PER BULAN'!BA122)</f>
        <v>0</v>
      </c>
      <c r="AU75" s="292">
        <f>SUM('PER BULAN'!BB122)</f>
        <v>0</v>
      </c>
      <c r="AV75" s="292">
        <f>SUM('PER BULAN'!BC122)</f>
        <v>0</v>
      </c>
      <c r="AW75" s="292">
        <f>SUM('PER BULAN'!BD122)</f>
        <v>0</v>
      </c>
      <c r="AX75" s="292">
        <f>SUM('PER BULAN'!BE122)</f>
        <v>0</v>
      </c>
    </row>
    <row r="76" spans="1:50" s="278" customFormat="1" x14ac:dyDescent="0.3">
      <c r="A76" s="277" t="s">
        <v>4693</v>
      </c>
      <c r="B76" s="277" t="s">
        <v>4694</v>
      </c>
      <c r="C76" s="277" t="s">
        <v>4720</v>
      </c>
      <c r="D76" s="277" t="s">
        <v>4721</v>
      </c>
      <c r="E76" s="277" t="s">
        <v>197</v>
      </c>
      <c r="F76" s="277" t="s">
        <v>4722</v>
      </c>
      <c r="G76" s="277" t="s">
        <v>4748</v>
      </c>
      <c r="H76" s="277" t="s">
        <v>4749</v>
      </c>
      <c r="I76" s="277" t="s">
        <v>557</v>
      </c>
      <c r="J76" s="277" t="s">
        <v>4762</v>
      </c>
      <c r="K76" s="277" t="s">
        <v>501</v>
      </c>
      <c r="L76" s="277" t="s">
        <v>4654</v>
      </c>
      <c r="M76" s="277" t="s">
        <v>1807</v>
      </c>
      <c r="N76" s="277" t="s">
        <v>4763</v>
      </c>
      <c r="O76" s="277">
        <v>521111</v>
      </c>
      <c r="P76" s="277" t="s">
        <v>4764</v>
      </c>
      <c r="Q76" s="278">
        <v>1076220000</v>
      </c>
      <c r="R76" s="292">
        <f>SUM('PER BULAN'!G126:I126)</f>
        <v>0</v>
      </c>
      <c r="S76" s="292">
        <f>SUM('PER BULAN'!J126:L126)</f>
        <v>63640000</v>
      </c>
      <c r="T76" s="292">
        <f>SUM('PER BULAN'!M126:O126)</f>
        <v>80776487</v>
      </c>
      <c r="U76" s="292">
        <f>SUM('PER BULAN'!P126:R126)</f>
        <v>135515096</v>
      </c>
      <c r="V76" s="292">
        <f>SUM('PER BULAN'!S126:U126)</f>
        <v>79486568</v>
      </c>
      <c r="W76" s="292">
        <f>SUM('PER BULAN'!V126:X126)</f>
        <v>63640000</v>
      </c>
      <c r="X76" s="292">
        <f>SUM('PER BULAN'!Y126:AA126)</f>
        <v>0</v>
      </c>
      <c r="Y76" s="292">
        <f>SUM('PER BULAN'!AB126:AD126)</f>
        <v>0</v>
      </c>
      <c r="Z76" s="292">
        <f>SUM('PER BULAN'!AE126:AG126)</f>
        <v>0</v>
      </c>
      <c r="AA76" s="292">
        <f>SUM('PER BULAN'!AH126:AJ126)</f>
        <v>0</v>
      </c>
      <c r="AB76" s="292">
        <f>SUM('PER BULAN'!AK126:AM126)</f>
        <v>0</v>
      </c>
      <c r="AC76" s="292">
        <f>SUM('PER BULAN'!AN126:AP126)</f>
        <v>0</v>
      </c>
      <c r="AD76" s="277" t="s">
        <v>530</v>
      </c>
      <c r="AE76" s="277" t="s">
        <v>576</v>
      </c>
      <c r="AF76" s="277" t="s">
        <v>560</v>
      </c>
      <c r="AG76" s="277" t="s">
        <v>4699</v>
      </c>
      <c r="AH76" s="277" t="s">
        <v>4700</v>
      </c>
      <c r="AI76" s="277">
        <f t="shared" si="6"/>
        <v>423058151</v>
      </c>
      <c r="AJ76" s="291">
        <f t="shared" si="7"/>
        <v>39.309634740108898</v>
      </c>
      <c r="AK76" s="277">
        <f t="shared" si="8"/>
        <v>653161849</v>
      </c>
      <c r="AL76" s="291">
        <f t="shared" si="9"/>
        <v>60.690365259891102</v>
      </c>
      <c r="AM76" s="277" t="s">
        <v>2172</v>
      </c>
      <c r="AN76" s="277" t="s">
        <v>4730</v>
      </c>
      <c r="AO76" s="277" t="s">
        <v>4731</v>
      </c>
      <c r="AP76" s="277" t="s">
        <v>4739</v>
      </c>
      <c r="AQ76" s="292">
        <f>SUM('PER BULAN'!AX126)</f>
        <v>2178865</v>
      </c>
      <c r="AR76" s="292">
        <f>SUM('PER BULAN'!AY126)</f>
        <v>8107900</v>
      </c>
      <c r="AS76" s="292">
        <f>SUM('PER BULAN'!AZ126)</f>
        <v>6849722</v>
      </c>
      <c r="AT76" s="292">
        <f>SUM('PER BULAN'!BA126)</f>
        <v>8235096</v>
      </c>
      <c r="AU76" s="292">
        <f>SUM('PER BULAN'!BB126)</f>
        <v>8616711</v>
      </c>
      <c r="AV76" s="292">
        <f>SUM('PER BULAN'!BC126)</f>
        <v>7229857</v>
      </c>
      <c r="AW76" s="292">
        <f>SUM('PER BULAN'!BD126)</f>
        <v>0</v>
      </c>
      <c r="AX76" s="292">
        <f>SUM('PER BULAN'!BE126)</f>
        <v>0</v>
      </c>
    </row>
    <row r="77" spans="1:50" s="278" customFormat="1" x14ac:dyDescent="0.3">
      <c r="A77" s="277" t="s">
        <v>4693</v>
      </c>
      <c r="B77" s="277" t="s">
        <v>4694</v>
      </c>
      <c r="C77" s="277" t="s">
        <v>4720</v>
      </c>
      <c r="D77" s="277" t="s">
        <v>4721</v>
      </c>
      <c r="E77" s="277" t="s">
        <v>197</v>
      </c>
      <c r="F77" s="277" t="s">
        <v>4722</v>
      </c>
      <c r="G77" s="277" t="s">
        <v>4748</v>
      </c>
      <c r="H77" s="277" t="s">
        <v>4749</v>
      </c>
      <c r="I77" s="277" t="s">
        <v>557</v>
      </c>
      <c r="J77" s="277" t="s">
        <v>4762</v>
      </c>
      <c r="K77" s="277" t="s">
        <v>501</v>
      </c>
      <c r="L77" s="277" t="s">
        <v>4654</v>
      </c>
      <c r="M77" s="277" t="s">
        <v>1807</v>
      </c>
      <c r="N77" s="277" t="s">
        <v>4763</v>
      </c>
      <c r="O77" s="277">
        <v>521811</v>
      </c>
      <c r="P77" s="277" t="s">
        <v>4716</v>
      </c>
      <c r="Q77" s="278">
        <v>178160000</v>
      </c>
      <c r="R77" s="292">
        <f>SUM('PER BULAN'!G128:I128)</f>
        <v>0</v>
      </c>
      <c r="S77" s="292">
        <f>SUM('PER BULAN'!J127:L127)</f>
        <v>0</v>
      </c>
      <c r="T77" s="292">
        <f>SUM('PER BULAN'!M127:O127)</f>
        <v>32474000</v>
      </c>
      <c r="U77" s="292">
        <f>SUM('PER BULAN'!P127:R127)</f>
        <v>8952000</v>
      </c>
      <c r="V77" s="292">
        <f>SUM('PER BULAN'!S127:U127)</f>
        <v>23282000</v>
      </c>
      <c r="W77" s="292">
        <f>SUM('PER BULAN'!V127:X127)</f>
        <v>0</v>
      </c>
      <c r="X77" s="292">
        <f>SUM('PER BULAN'!Y127:AA127)</f>
        <v>0</v>
      </c>
      <c r="Y77" s="292">
        <f>SUM('PER BULAN'!AB127:AD127)</f>
        <v>0</v>
      </c>
      <c r="Z77" s="292">
        <f>SUM('PER BULAN'!AE127:AG127)</f>
        <v>0</v>
      </c>
      <c r="AA77" s="292">
        <f>SUM('PER BULAN'!AH127:AJ127)</f>
        <v>0</v>
      </c>
      <c r="AB77" s="292">
        <f>SUM('PER BULAN'!AK127:AM127)</f>
        <v>0</v>
      </c>
      <c r="AC77" s="292">
        <f>SUM('PER BULAN'!AN127:AP127)</f>
        <v>0</v>
      </c>
      <c r="AD77" s="277" t="s">
        <v>530</v>
      </c>
      <c r="AE77" s="277" t="s">
        <v>576</v>
      </c>
      <c r="AF77" s="277" t="s">
        <v>560</v>
      </c>
      <c r="AG77" s="277" t="s">
        <v>4699</v>
      </c>
      <c r="AH77" s="277" t="s">
        <v>4700</v>
      </c>
      <c r="AI77" s="277">
        <f t="shared" si="6"/>
        <v>64708000</v>
      </c>
      <c r="AJ77" s="291">
        <f t="shared" si="7"/>
        <v>36.320161652447233</v>
      </c>
      <c r="AK77" s="277">
        <f t="shared" si="8"/>
        <v>113452000</v>
      </c>
      <c r="AL77" s="291">
        <f t="shared" si="9"/>
        <v>63.679838347552767</v>
      </c>
      <c r="AM77" s="277" t="s">
        <v>2189</v>
      </c>
      <c r="AN77" s="277" t="s">
        <v>4730</v>
      </c>
      <c r="AO77" s="277" t="s">
        <v>4826</v>
      </c>
      <c r="AP77" s="277" t="s">
        <v>4739</v>
      </c>
      <c r="AQ77" s="292">
        <f>SUM('PER BULAN'!AX127)</f>
        <v>13175000</v>
      </c>
      <c r="AR77" s="292">
        <f>SUM('PER BULAN'!AY127)</f>
        <v>19299000</v>
      </c>
      <c r="AS77" s="292">
        <f>SUM('PER BULAN'!AZ127)</f>
        <v>0</v>
      </c>
      <c r="AT77" s="292">
        <f>SUM('PER BULAN'!BA127)</f>
        <v>8952000</v>
      </c>
      <c r="AU77" s="292">
        <f>SUM('PER BULAN'!BB127)</f>
        <v>1680000</v>
      </c>
      <c r="AV77" s="292">
        <f>SUM('PER BULAN'!BC127)</f>
        <v>21602000</v>
      </c>
      <c r="AW77" s="292">
        <f>SUM('PER BULAN'!BD127)</f>
        <v>0</v>
      </c>
      <c r="AX77" s="292">
        <f>SUM('PER BULAN'!BE127)</f>
        <v>0</v>
      </c>
    </row>
    <row r="78" spans="1:50" s="278" customFormat="1" x14ac:dyDescent="0.3">
      <c r="A78" s="277" t="s">
        <v>4693</v>
      </c>
      <c r="B78" s="277" t="s">
        <v>4694</v>
      </c>
      <c r="C78" s="277" t="s">
        <v>4720</v>
      </c>
      <c r="D78" s="277" t="s">
        <v>4721</v>
      </c>
      <c r="E78" s="277" t="s">
        <v>197</v>
      </c>
      <c r="F78" s="277" t="s">
        <v>4722</v>
      </c>
      <c r="G78" s="277" t="s">
        <v>4723</v>
      </c>
      <c r="H78" s="277" t="s">
        <v>4749</v>
      </c>
      <c r="I78" s="277" t="s">
        <v>557</v>
      </c>
      <c r="J78" s="277" t="s">
        <v>4762</v>
      </c>
      <c r="K78" s="277" t="s">
        <v>501</v>
      </c>
      <c r="L78" s="277" t="s">
        <v>4654</v>
      </c>
      <c r="M78" s="277" t="s">
        <v>2208</v>
      </c>
      <c r="N78" s="277" t="s">
        <v>4765</v>
      </c>
      <c r="O78" s="277">
        <v>521114</v>
      </c>
      <c r="P78" s="277" t="s">
        <v>4766</v>
      </c>
      <c r="Q78" s="278">
        <v>30000000</v>
      </c>
      <c r="R78" s="292">
        <f>SUM('PER BULAN'!G129:I129)</f>
        <v>0</v>
      </c>
      <c r="S78" s="292">
        <f>SUM('PER BULAN'!J129:L129)</f>
        <v>0</v>
      </c>
      <c r="T78" s="292">
        <f>SUM('PER BULAN'!M129:O129)</f>
        <v>354050</v>
      </c>
      <c r="U78" s="292">
        <f>SUM('PER BULAN'!P129:R129)</f>
        <v>603000</v>
      </c>
      <c r="V78" s="292">
        <f>SUM('PER BULAN'!S129:U129)</f>
        <v>1329000</v>
      </c>
      <c r="W78" s="292">
        <f>SUM('PER BULAN'!V129:X129)</f>
        <v>0</v>
      </c>
      <c r="X78" s="292">
        <f>SUM('PER BULAN'!Y129:AA129)</f>
        <v>0</v>
      </c>
      <c r="Y78" s="292">
        <f>SUM('PER BULAN'!AB129:AD129)</f>
        <v>0</v>
      </c>
      <c r="Z78" s="292">
        <f>SUM('PER BULAN'!AE129:AG129)</f>
        <v>0</v>
      </c>
      <c r="AA78" s="292">
        <f>SUM('PER BULAN'!AH129:AJ129)</f>
        <v>0</v>
      </c>
      <c r="AB78" s="292">
        <f>SUM('PER BULAN'!AK129:AM129)</f>
        <v>0</v>
      </c>
      <c r="AC78" s="292">
        <f>SUM('PER BULAN'!AN129:AP129)</f>
        <v>0</v>
      </c>
      <c r="AD78" s="277" t="s">
        <v>530</v>
      </c>
      <c r="AE78" s="277" t="s">
        <v>576</v>
      </c>
      <c r="AF78" s="277" t="s">
        <v>560</v>
      </c>
      <c r="AG78" s="277" t="s">
        <v>4699</v>
      </c>
      <c r="AH78" s="277" t="s">
        <v>4700</v>
      </c>
      <c r="AI78" s="277">
        <f t="shared" si="6"/>
        <v>2286050</v>
      </c>
      <c r="AJ78" s="291">
        <f t="shared" si="7"/>
        <v>7.620166666666667</v>
      </c>
      <c r="AK78" s="277">
        <f t="shared" si="8"/>
        <v>27713950</v>
      </c>
      <c r="AL78" s="291">
        <f t="shared" si="9"/>
        <v>92.379833333333337</v>
      </c>
      <c r="AM78" s="277" t="s">
        <v>2210</v>
      </c>
      <c r="AN78" s="277" t="s">
        <v>4730</v>
      </c>
      <c r="AO78" s="277" t="s">
        <v>4827</v>
      </c>
      <c r="AP78" s="277" t="s">
        <v>4739</v>
      </c>
      <c r="AQ78" s="292">
        <f>SUM('PER BULAN'!AX129)</f>
        <v>295050</v>
      </c>
      <c r="AR78" s="292">
        <f>SUM('PER BULAN'!AY129)</f>
        <v>0</v>
      </c>
      <c r="AS78" s="292">
        <f>SUM('PER BULAN'!AZ129)</f>
        <v>59000</v>
      </c>
      <c r="AT78" s="292">
        <f>SUM('PER BULAN'!BA129)</f>
        <v>603000</v>
      </c>
      <c r="AU78" s="292">
        <f>SUM('PER BULAN'!BB129)</f>
        <v>276000</v>
      </c>
      <c r="AV78" s="292">
        <f>SUM('PER BULAN'!BC129)</f>
        <v>1053000</v>
      </c>
      <c r="AW78" s="292">
        <f>SUM('PER BULAN'!BD129)</f>
        <v>0</v>
      </c>
      <c r="AX78" s="292">
        <f>SUM('PER BULAN'!BE129)</f>
        <v>0</v>
      </c>
    </row>
    <row r="79" spans="1:50" s="278" customFormat="1" x14ac:dyDescent="0.3">
      <c r="A79" s="277" t="s">
        <v>4693</v>
      </c>
      <c r="B79" s="277" t="s">
        <v>4694</v>
      </c>
      <c r="C79" s="277" t="s">
        <v>4720</v>
      </c>
      <c r="D79" s="277" t="s">
        <v>4721</v>
      </c>
      <c r="E79" s="277" t="s">
        <v>197</v>
      </c>
      <c r="F79" s="277" t="s">
        <v>4722</v>
      </c>
      <c r="G79" s="277" t="s">
        <v>4723</v>
      </c>
      <c r="H79" s="277" t="s">
        <v>4749</v>
      </c>
      <c r="I79" s="277" t="s">
        <v>557</v>
      </c>
      <c r="J79" s="277" t="s">
        <v>4762</v>
      </c>
      <c r="K79" s="277" t="s">
        <v>501</v>
      </c>
      <c r="L79" s="277" t="s">
        <v>4654</v>
      </c>
      <c r="M79" s="277" t="s">
        <v>2208</v>
      </c>
      <c r="N79" s="277" t="s">
        <v>4765</v>
      </c>
      <c r="O79" s="277">
        <v>522141</v>
      </c>
      <c r="P79" s="277" t="s">
        <v>4704</v>
      </c>
      <c r="Q79" s="278">
        <v>118852000</v>
      </c>
      <c r="R79" s="292">
        <f>SUM('PER BULAN'!G131:I131)</f>
        <v>0</v>
      </c>
      <c r="S79" s="292">
        <f>SUM('PER BULAN'!J130:L130)</f>
        <v>0</v>
      </c>
      <c r="T79" s="292">
        <f>SUM('PER BULAN'!M130:O130)</f>
        <v>4950000</v>
      </c>
      <c r="U79" s="292">
        <f>SUM('PER BULAN'!P130:R130)</f>
        <v>9900000</v>
      </c>
      <c r="V79" s="292">
        <f>SUM('PER BULAN'!S130:U130)</f>
        <v>4950000</v>
      </c>
      <c r="W79" s="292">
        <f>SUM('PER BULAN'!V130:X130)</f>
        <v>0</v>
      </c>
      <c r="X79" s="292">
        <f>SUM('PER BULAN'!Y130:AA130)</f>
        <v>0</v>
      </c>
      <c r="Y79" s="292">
        <f>SUM('PER BULAN'!AB130:AD130)</f>
        <v>0</v>
      </c>
      <c r="Z79" s="292">
        <f>SUM('PER BULAN'!AE130:AG130)</f>
        <v>0</v>
      </c>
      <c r="AA79" s="292">
        <f>SUM('PER BULAN'!AH130:AJ130)</f>
        <v>0</v>
      </c>
      <c r="AB79" s="292">
        <f>SUM('PER BULAN'!AK130:AM130)</f>
        <v>0</v>
      </c>
      <c r="AC79" s="292">
        <f>SUM('PER BULAN'!AN130:AP130)</f>
        <v>0</v>
      </c>
      <c r="AD79" s="277" t="s">
        <v>530</v>
      </c>
      <c r="AE79" s="277" t="s">
        <v>576</v>
      </c>
      <c r="AF79" s="277" t="s">
        <v>560</v>
      </c>
      <c r="AG79" s="277" t="s">
        <v>4699</v>
      </c>
      <c r="AH79" s="277" t="s">
        <v>4700</v>
      </c>
      <c r="AI79" s="277">
        <f t="shared" si="6"/>
        <v>19800000</v>
      </c>
      <c r="AJ79" s="291">
        <f t="shared" si="7"/>
        <v>16.659374684481541</v>
      </c>
      <c r="AK79" s="277">
        <f t="shared" si="8"/>
        <v>99052000</v>
      </c>
      <c r="AL79" s="291">
        <f t="shared" si="9"/>
        <v>83.340625315518452</v>
      </c>
      <c r="AM79" s="277" t="s">
        <v>2213</v>
      </c>
      <c r="AN79" s="277" t="s">
        <v>4730</v>
      </c>
      <c r="AO79" s="277" t="s">
        <v>4740</v>
      </c>
      <c r="AP79" s="277" t="s">
        <v>4739</v>
      </c>
      <c r="AQ79" s="292">
        <f>SUM('PER BULAN'!AX130)</f>
        <v>0</v>
      </c>
      <c r="AR79" s="292">
        <f>SUM('PER BULAN'!AY130)</f>
        <v>4950000</v>
      </c>
      <c r="AS79" s="292">
        <f>SUM('PER BULAN'!AZ130)</f>
        <v>0</v>
      </c>
      <c r="AT79" s="292">
        <f>SUM('PER BULAN'!BA130)</f>
        <v>9900000</v>
      </c>
      <c r="AU79" s="292">
        <f>SUM('PER BULAN'!BB130)</f>
        <v>0</v>
      </c>
      <c r="AV79" s="292">
        <f>SUM('PER BULAN'!BC130)</f>
        <v>4950000</v>
      </c>
      <c r="AW79" s="292">
        <f>SUM('PER BULAN'!BD130)</f>
        <v>0</v>
      </c>
      <c r="AX79" s="292">
        <f>SUM('PER BULAN'!BE130)</f>
        <v>0</v>
      </c>
    </row>
    <row r="80" spans="1:50" s="278" customFormat="1" x14ac:dyDescent="0.3">
      <c r="A80" s="277" t="s">
        <v>4693</v>
      </c>
      <c r="B80" s="277" t="s">
        <v>4694</v>
      </c>
      <c r="C80" s="277" t="s">
        <v>4720</v>
      </c>
      <c r="D80" s="277" t="s">
        <v>4721</v>
      </c>
      <c r="E80" s="277" t="s">
        <v>197</v>
      </c>
      <c r="F80" s="277" t="s">
        <v>4722</v>
      </c>
      <c r="G80" s="277" t="s">
        <v>4723</v>
      </c>
      <c r="H80" s="277" t="s">
        <v>4749</v>
      </c>
      <c r="I80" s="277" t="s">
        <v>557</v>
      </c>
      <c r="J80" s="277" t="s">
        <v>4762</v>
      </c>
      <c r="K80" s="277" t="s">
        <v>501</v>
      </c>
      <c r="L80" s="277" t="s">
        <v>4654</v>
      </c>
      <c r="M80" s="277" t="s">
        <v>2219</v>
      </c>
      <c r="N80" s="277" t="s">
        <v>4767</v>
      </c>
      <c r="O80" s="277">
        <v>523121</v>
      </c>
      <c r="P80" s="277" t="s">
        <v>4768</v>
      </c>
      <c r="Q80" s="278">
        <v>497050000</v>
      </c>
      <c r="R80" s="292">
        <f>SUM('PER BULAN'!G132:I132)</f>
        <v>0</v>
      </c>
      <c r="S80" s="292">
        <f>SUM('PER BULAN'!J132:L132)</f>
        <v>0</v>
      </c>
      <c r="T80" s="292">
        <f>SUM('PER BULAN'!M132:O132)</f>
        <v>59591400</v>
      </c>
      <c r="U80" s="292">
        <f>SUM('PER BULAN'!P132:R132)</f>
        <v>7448700</v>
      </c>
      <c r="V80" s="292">
        <f>SUM('PER BULAN'!S132:U132)</f>
        <v>18835340</v>
      </c>
      <c r="W80" s="292">
        <f>SUM('PER BULAN'!V132:X132)</f>
        <v>0</v>
      </c>
      <c r="X80" s="292">
        <f>SUM('PER BULAN'!Y132:AA132)</f>
        <v>0</v>
      </c>
      <c r="Y80" s="292">
        <f>SUM('PER BULAN'!AB132:AD132)</f>
        <v>0</v>
      </c>
      <c r="Z80" s="292">
        <f>SUM('PER BULAN'!AE132:AG132)</f>
        <v>0</v>
      </c>
      <c r="AA80" s="292">
        <f>SUM('PER BULAN'!AH132:AJ132)</f>
        <v>0</v>
      </c>
      <c r="AB80" s="292">
        <f>SUM('PER BULAN'!AK132:AM132)</f>
        <v>0</v>
      </c>
      <c r="AC80" s="292">
        <f>SUM('PER BULAN'!AN132:AP132)</f>
        <v>0</v>
      </c>
      <c r="AD80" s="277" t="s">
        <v>530</v>
      </c>
      <c r="AE80" s="277" t="s">
        <v>576</v>
      </c>
      <c r="AF80" s="277" t="s">
        <v>560</v>
      </c>
      <c r="AG80" s="277" t="s">
        <v>4699</v>
      </c>
      <c r="AH80" s="277" t="s">
        <v>4700</v>
      </c>
      <c r="AI80" s="277">
        <f t="shared" si="6"/>
        <v>85875440</v>
      </c>
      <c r="AJ80" s="291">
        <f t="shared" si="7"/>
        <v>17.277022432350869</v>
      </c>
      <c r="AK80" s="277">
        <f t="shared" si="8"/>
        <v>411174560</v>
      </c>
      <c r="AL80" s="291">
        <f t="shared" si="9"/>
        <v>82.722977567649124</v>
      </c>
      <c r="AM80" s="277" t="s">
        <v>2221</v>
      </c>
      <c r="AN80" s="277" t="s">
        <v>4730</v>
      </c>
      <c r="AO80" s="277" t="s">
        <v>4828</v>
      </c>
      <c r="AP80" s="277" t="s">
        <v>4739</v>
      </c>
      <c r="AQ80" s="292">
        <f>SUM('PER BULAN'!AX132)</f>
        <v>25004200</v>
      </c>
      <c r="AR80" s="292">
        <f>SUM('PER BULAN'!AY132)</f>
        <v>32727500</v>
      </c>
      <c r="AS80" s="292">
        <f>SUM('PER BULAN'!AZ132)</f>
        <v>1859700</v>
      </c>
      <c r="AT80" s="292">
        <f>SUM('PER BULAN'!BA132)</f>
        <v>7448700</v>
      </c>
      <c r="AU80" s="292">
        <f>SUM('PER BULAN'!BB132)</f>
        <v>6968000</v>
      </c>
      <c r="AV80" s="292">
        <f>SUM('PER BULAN'!BC132)</f>
        <v>11867340</v>
      </c>
      <c r="AW80" s="292">
        <f>SUM('PER BULAN'!BD132)</f>
        <v>0</v>
      </c>
      <c r="AX80" s="292">
        <f>SUM('PER BULAN'!BE132)</f>
        <v>0</v>
      </c>
    </row>
    <row r="81" spans="1:50" s="278" customFormat="1" x14ac:dyDescent="0.3">
      <c r="A81" s="277" t="s">
        <v>4693</v>
      </c>
      <c r="B81" s="277" t="s">
        <v>4694</v>
      </c>
      <c r="C81" s="277" t="s">
        <v>4720</v>
      </c>
      <c r="D81" s="277" t="s">
        <v>4721</v>
      </c>
      <c r="E81" s="277" t="s">
        <v>197</v>
      </c>
      <c r="F81" s="277" t="s">
        <v>4722</v>
      </c>
      <c r="G81" s="277" t="s">
        <v>4723</v>
      </c>
      <c r="H81" s="277" t="s">
        <v>4749</v>
      </c>
      <c r="I81" s="277" t="s">
        <v>557</v>
      </c>
      <c r="J81" s="277" t="s">
        <v>4762</v>
      </c>
      <c r="K81" s="277" t="s">
        <v>501</v>
      </c>
      <c r="L81" s="277" t="s">
        <v>4654</v>
      </c>
      <c r="M81" s="277" t="s">
        <v>2219</v>
      </c>
      <c r="N81" s="277" t="s">
        <v>4767</v>
      </c>
      <c r="O81" s="277">
        <v>523199</v>
      </c>
      <c r="P81" s="277" t="s">
        <v>4769</v>
      </c>
      <c r="Q81" s="278">
        <v>36000000</v>
      </c>
      <c r="R81" s="292">
        <f>SUM('PER BULAN'!G134:I134)</f>
        <v>0</v>
      </c>
      <c r="S81" s="292">
        <f>SUM('PER BULAN'!J133:L133)</f>
        <v>0</v>
      </c>
      <c r="T81" s="292">
        <f>SUM('PER BULAN'!M133:O133)</f>
        <v>6000000</v>
      </c>
      <c r="U81" s="292">
        <f>SUM('PER BULAN'!P133:R133)</f>
        <v>0</v>
      </c>
      <c r="V81" s="292">
        <f>SUM('PER BULAN'!S133:U133)</f>
        <v>3000000</v>
      </c>
      <c r="W81" s="292">
        <f>SUM('PER BULAN'!V133:X133)</f>
        <v>0</v>
      </c>
      <c r="X81" s="292">
        <f>SUM('PER BULAN'!Y133:AA133)</f>
        <v>0</v>
      </c>
      <c r="Y81" s="292">
        <f>SUM('PER BULAN'!AB133:AD133)</f>
        <v>0</v>
      </c>
      <c r="Z81" s="292">
        <f>SUM('PER BULAN'!AE133:AG133)</f>
        <v>0</v>
      </c>
      <c r="AA81" s="292">
        <f>SUM('PER BULAN'!AH133:AJ133)</f>
        <v>0</v>
      </c>
      <c r="AB81" s="292">
        <f>SUM('PER BULAN'!AK133:AM133)</f>
        <v>0</v>
      </c>
      <c r="AC81" s="292">
        <f>SUM('PER BULAN'!AN133:AP133)</f>
        <v>0</v>
      </c>
      <c r="AD81" s="277" t="s">
        <v>530</v>
      </c>
      <c r="AE81" s="277" t="s">
        <v>576</v>
      </c>
      <c r="AF81" s="277" t="s">
        <v>560</v>
      </c>
      <c r="AG81" s="277" t="s">
        <v>4699</v>
      </c>
      <c r="AH81" s="277" t="s">
        <v>4700</v>
      </c>
      <c r="AI81" s="277">
        <f t="shared" si="6"/>
        <v>9000000</v>
      </c>
      <c r="AJ81" s="291">
        <f t="shared" si="7"/>
        <v>25</v>
      </c>
      <c r="AK81" s="277">
        <f t="shared" si="8"/>
        <v>27000000</v>
      </c>
      <c r="AL81" s="291">
        <f t="shared" si="9"/>
        <v>75</v>
      </c>
      <c r="AM81" s="277" t="s">
        <v>2235</v>
      </c>
      <c r="AN81" s="277" t="s">
        <v>4730</v>
      </c>
      <c r="AO81" s="277" t="s">
        <v>4828</v>
      </c>
      <c r="AP81" s="277" t="s">
        <v>4739</v>
      </c>
      <c r="AQ81" s="292">
        <f>SUM('PER BULAN'!AX133)</f>
        <v>0</v>
      </c>
      <c r="AR81" s="292">
        <f>SUM('PER BULAN'!AY133)</f>
        <v>6000000</v>
      </c>
      <c r="AS81" s="292">
        <f>SUM('PER BULAN'!AZ133)</f>
        <v>0</v>
      </c>
      <c r="AT81" s="292">
        <f>SUM('PER BULAN'!BA133)</f>
        <v>0</v>
      </c>
      <c r="AU81" s="292">
        <f>SUM('PER BULAN'!BB133)</f>
        <v>3000000</v>
      </c>
      <c r="AV81" s="292">
        <f>SUM('PER BULAN'!BC133)</f>
        <v>0</v>
      </c>
      <c r="AW81" s="292">
        <f>SUM('PER BULAN'!BD133)</f>
        <v>0</v>
      </c>
      <c r="AX81" s="292">
        <f>SUM('PER BULAN'!BE133)</f>
        <v>0</v>
      </c>
    </row>
    <row r="82" spans="1:50" s="278" customFormat="1" x14ac:dyDescent="0.3">
      <c r="A82" s="277" t="s">
        <v>4693</v>
      </c>
      <c r="B82" s="277" t="s">
        <v>4694</v>
      </c>
      <c r="C82" s="277" t="s">
        <v>4720</v>
      </c>
      <c r="D82" s="277" t="s">
        <v>4721</v>
      </c>
      <c r="E82" s="277" t="s">
        <v>197</v>
      </c>
      <c r="F82" s="277" t="s">
        <v>4722</v>
      </c>
      <c r="G82" s="277" t="s">
        <v>4723</v>
      </c>
      <c r="H82" s="277" t="s">
        <v>4749</v>
      </c>
      <c r="I82" s="277" t="s">
        <v>557</v>
      </c>
      <c r="J82" s="277" t="s">
        <v>4762</v>
      </c>
      <c r="K82" s="277" t="s">
        <v>501</v>
      </c>
      <c r="L82" s="277" t="s">
        <v>4654</v>
      </c>
      <c r="M82" s="277" t="s">
        <v>2239</v>
      </c>
      <c r="N82" s="277" t="s">
        <v>4770</v>
      </c>
      <c r="O82" s="277">
        <v>521111</v>
      </c>
      <c r="P82" s="277" t="s">
        <v>4764</v>
      </c>
      <c r="Q82" s="278">
        <v>101040000</v>
      </c>
      <c r="R82" s="292">
        <f>SUM('PER BULAN'!G135:I135)</f>
        <v>0</v>
      </c>
      <c r="S82" s="292">
        <f>SUM('PER BULAN'!J135:L135)</f>
        <v>0</v>
      </c>
      <c r="T82" s="292">
        <f>SUM('PER BULAN'!M135:O135)</f>
        <v>0</v>
      </c>
      <c r="U82" s="292">
        <f>SUM('PER BULAN'!P135:R135)</f>
        <v>0</v>
      </c>
      <c r="V82" s="292">
        <f>SUM('PER BULAN'!S135:U135)</f>
        <v>44410000</v>
      </c>
      <c r="W82" s="292">
        <f>SUM('PER BULAN'!V135:X135)</f>
        <v>0</v>
      </c>
      <c r="X82" s="292">
        <f>SUM('PER BULAN'!Y135:AA135)</f>
        <v>0</v>
      </c>
      <c r="Y82" s="292">
        <f>SUM('PER BULAN'!AB135:AD135)</f>
        <v>0</v>
      </c>
      <c r="Z82" s="292">
        <f>SUM('PER BULAN'!AE135:AG135)</f>
        <v>0</v>
      </c>
      <c r="AA82" s="292">
        <f>SUM('PER BULAN'!AH135:AJ135)</f>
        <v>0</v>
      </c>
      <c r="AB82" s="292">
        <f>SUM('PER BULAN'!AK135:AM135)</f>
        <v>0</v>
      </c>
      <c r="AC82" s="292">
        <f>SUM('PER BULAN'!AN135:AP135)</f>
        <v>0</v>
      </c>
      <c r="AD82" s="277" t="s">
        <v>530</v>
      </c>
      <c r="AE82" s="277" t="s">
        <v>576</v>
      </c>
      <c r="AF82" s="277" t="s">
        <v>560</v>
      </c>
      <c r="AG82" s="277" t="s">
        <v>4699</v>
      </c>
      <c r="AH82" s="277" t="s">
        <v>4700</v>
      </c>
      <c r="AI82" s="277">
        <f t="shared" si="6"/>
        <v>44410000</v>
      </c>
      <c r="AJ82" s="291">
        <f t="shared" si="7"/>
        <v>43.952889944576405</v>
      </c>
      <c r="AK82" s="277">
        <f t="shared" si="8"/>
        <v>56630000</v>
      </c>
      <c r="AL82" s="291">
        <f t="shared" si="9"/>
        <v>56.047110055423602</v>
      </c>
      <c r="AM82" s="277" t="s">
        <v>2241</v>
      </c>
      <c r="AN82" s="277" t="s">
        <v>4730</v>
      </c>
      <c r="AO82" s="277" t="s">
        <v>4736</v>
      </c>
      <c r="AP82" s="277" t="s">
        <v>4739</v>
      </c>
      <c r="AQ82" s="292">
        <f>SUM('PER BULAN'!AX135)</f>
        <v>0</v>
      </c>
      <c r="AR82" s="292">
        <f>SUM('PER BULAN'!AY135)</f>
        <v>0</v>
      </c>
      <c r="AS82" s="292">
        <f>SUM('PER BULAN'!AZ135)</f>
        <v>0</v>
      </c>
      <c r="AT82" s="292">
        <f>SUM('PER BULAN'!BA135)</f>
        <v>0</v>
      </c>
      <c r="AU82" s="292">
        <f>SUM('PER BULAN'!BB135)</f>
        <v>44410000</v>
      </c>
      <c r="AV82" s="292">
        <f>SUM('PER BULAN'!BC135)</f>
        <v>0</v>
      </c>
      <c r="AW82" s="292">
        <f>SUM('PER BULAN'!BD135)</f>
        <v>0</v>
      </c>
      <c r="AX82" s="292">
        <f>SUM('PER BULAN'!BE135)</f>
        <v>0</v>
      </c>
    </row>
    <row r="83" spans="1:50" s="278" customFormat="1" x14ac:dyDescent="0.3">
      <c r="A83" s="277" t="s">
        <v>4693</v>
      </c>
      <c r="B83" s="277" t="s">
        <v>4694</v>
      </c>
      <c r="C83" s="277" t="s">
        <v>4720</v>
      </c>
      <c r="D83" s="277" t="s">
        <v>4721</v>
      </c>
      <c r="E83" s="277" t="s">
        <v>197</v>
      </c>
      <c r="F83" s="277" t="s">
        <v>4722</v>
      </c>
      <c r="G83" s="277" t="s">
        <v>4723</v>
      </c>
      <c r="H83" s="277" t="s">
        <v>4749</v>
      </c>
      <c r="I83" s="277" t="s">
        <v>557</v>
      </c>
      <c r="J83" s="277" t="s">
        <v>4762</v>
      </c>
      <c r="K83" s="277" t="s">
        <v>501</v>
      </c>
      <c r="L83" s="277" t="s">
        <v>4654</v>
      </c>
      <c r="M83" s="277" t="s">
        <v>2239</v>
      </c>
      <c r="N83" s="277" t="s">
        <v>4770</v>
      </c>
      <c r="O83" s="277">
        <v>521115</v>
      </c>
      <c r="P83" s="277" t="s">
        <v>4771</v>
      </c>
      <c r="Q83" s="278">
        <v>58336000</v>
      </c>
      <c r="R83" s="292">
        <f>SUM('PER BULAN'!G137:I137)</f>
        <v>0</v>
      </c>
      <c r="S83" s="292">
        <f>SUM('PER BULAN'!J136:L136)</f>
        <v>0</v>
      </c>
      <c r="T83" s="292">
        <f>SUM('PER BULAN'!M136:O136)</f>
        <v>9456000</v>
      </c>
      <c r="U83" s="292">
        <f>SUM('PER BULAN'!P136:R136)</f>
        <v>0</v>
      </c>
      <c r="V83" s="292">
        <f>SUM('PER BULAN'!S136:U136)</f>
        <v>4728000</v>
      </c>
      <c r="W83" s="292">
        <f>SUM('PER BULAN'!V136:X136)</f>
        <v>0</v>
      </c>
      <c r="X83" s="292">
        <f>SUM('PER BULAN'!Y136:AA136)</f>
        <v>0</v>
      </c>
      <c r="Y83" s="292">
        <f>SUM('PER BULAN'!AB136:AD136)</f>
        <v>0</v>
      </c>
      <c r="Z83" s="292">
        <f>SUM('PER BULAN'!AE136:AG136)</f>
        <v>0</v>
      </c>
      <c r="AA83" s="292">
        <f>SUM('PER BULAN'!AH136:AJ136)</f>
        <v>0</v>
      </c>
      <c r="AB83" s="292">
        <f>SUM('PER BULAN'!AK136:AM136)</f>
        <v>0</v>
      </c>
      <c r="AC83" s="292">
        <f>SUM('PER BULAN'!AN136:AP136)</f>
        <v>0</v>
      </c>
      <c r="AD83" s="277" t="s">
        <v>530</v>
      </c>
      <c r="AE83" s="277" t="s">
        <v>576</v>
      </c>
      <c r="AF83" s="277" t="s">
        <v>560</v>
      </c>
      <c r="AG83" s="277" t="s">
        <v>4699</v>
      </c>
      <c r="AH83" s="277" t="s">
        <v>4700</v>
      </c>
      <c r="AI83" s="277">
        <f t="shared" si="6"/>
        <v>14184000</v>
      </c>
      <c r="AJ83" s="291">
        <f t="shared" si="7"/>
        <v>24.314317059791552</v>
      </c>
      <c r="AK83" s="277">
        <f t="shared" si="8"/>
        <v>44152000</v>
      </c>
      <c r="AL83" s="291">
        <f t="shared" si="9"/>
        <v>75.685682940208437</v>
      </c>
      <c r="AM83" s="277" t="s">
        <v>2247</v>
      </c>
      <c r="AN83" s="277" t="s">
        <v>4730</v>
      </c>
      <c r="AO83" s="277" t="s">
        <v>4829</v>
      </c>
      <c r="AP83" s="277" t="s">
        <v>4739</v>
      </c>
      <c r="AQ83" s="292">
        <f>SUM('PER BULAN'!AX136)</f>
        <v>0</v>
      </c>
      <c r="AR83" s="292">
        <f>SUM('PER BULAN'!AY136)</f>
        <v>9456000</v>
      </c>
      <c r="AS83" s="292">
        <f>SUM('PER BULAN'!AZ136)</f>
        <v>0</v>
      </c>
      <c r="AT83" s="292">
        <f>SUM('PER BULAN'!BA136)</f>
        <v>0</v>
      </c>
      <c r="AU83" s="292">
        <f>SUM('PER BULAN'!BB136)</f>
        <v>0</v>
      </c>
      <c r="AV83" s="292">
        <f>SUM('PER BULAN'!BC136)</f>
        <v>4728000</v>
      </c>
      <c r="AW83" s="292">
        <f>SUM('PER BULAN'!BD136)</f>
        <v>0</v>
      </c>
      <c r="AX83" s="292">
        <f>SUM('PER BULAN'!BE136)</f>
        <v>0</v>
      </c>
    </row>
    <row r="84" spans="1:50" s="278" customFormat="1" x14ac:dyDescent="0.3">
      <c r="A84" s="277" t="s">
        <v>4693</v>
      </c>
      <c r="B84" s="277" t="s">
        <v>4694</v>
      </c>
      <c r="C84" s="277" t="s">
        <v>4720</v>
      </c>
      <c r="D84" s="277" t="s">
        <v>4721</v>
      </c>
      <c r="E84" s="277" t="s">
        <v>197</v>
      </c>
      <c r="F84" s="277" t="s">
        <v>4722</v>
      </c>
      <c r="G84" s="277" t="s">
        <v>4723</v>
      </c>
      <c r="H84" s="277" t="s">
        <v>4749</v>
      </c>
      <c r="I84" s="277" t="s">
        <v>557</v>
      </c>
      <c r="J84" s="277" t="s">
        <v>4762</v>
      </c>
      <c r="K84" s="277" t="s">
        <v>501</v>
      </c>
      <c r="L84" s="277" t="s">
        <v>4654</v>
      </c>
      <c r="M84" s="277" t="s">
        <v>4224</v>
      </c>
      <c r="N84" s="277" t="s">
        <v>4772</v>
      </c>
      <c r="O84" s="277">
        <v>521111</v>
      </c>
      <c r="P84" s="277" t="s">
        <v>4764</v>
      </c>
      <c r="Q84" s="278">
        <v>45000000</v>
      </c>
      <c r="R84" s="292">
        <f>SUM('PER BULAN'!G138:I138)</f>
        <v>0</v>
      </c>
      <c r="S84" s="292">
        <f>SUM('PER BULAN'!J138:L138)</f>
        <v>0</v>
      </c>
      <c r="T84" s="292">
        <f>SUM('PER BULAN'!M138:O138)</f>
        <v>0</v>
      </c>
      <c r="U84" s="292">
        <f>SUM('PER BULAN'!P138:R138)</f>
        <v>0</v>
      </c>
      <c r="V84" s="292">
        <f>SUM('PER BULAN'!S138:U138)</f>
        <v>0</v>
      </c>
      <c r="W84" s="292">
        <f>SUM('PER BULAN'!V138:X138)</f>
        <v>0</v>
      </c>
      <c r="X84" s="292">
        <f>SUM('PER BULAN'!Y138:AA138)</f>
        <v>0</v>
      </c>
      <c r="Y84" s="292">
        <f>SUM('PER BULAN'!AB138:AD138)</f>
        <v>0</v>
      </c>
      <c r="Z84" s="292">
        <f>SUM('PER BULAN'!AE138:AG138)</f>
        <v>0</v>
      </c>
      <c r="AA84" s="292">
        <f>SUM('PER BULAN'!AH138:AJ138)</f>
        <v>0</v>
      </c>
      <c r="AB84" s="292">
        <f>SUM('PER BULAN'!AK138:AM138)</f>
        <v>0</v>
      </c>
      <c r="AC84" s="292">
        <f>SUM('PER BULAN'!AN138:AP138)</f>
        <v>0</v>
      </c>
      <c r="AD84" s="277" t="s">
        <v>530</v>
      </c>
      <c r="AE84" s="277" t="s">
        <v>576</v>
      </c>
      <c r="AF84" s="277" t="s">
        <v>560</v>
      </c>
      <c r="AG84" s="277" t="s">
        <v>4699</v>
      </c>
      <c r="AH84" s="277" t="s">
        <v>4700</v>
      </c>
      <c r="AI84" s="277">
        <f t="shared" si="6"/>
        <v>0</v>
      </c>
      <c r="AJ84" s="291">
        <f t="shared" si="7"/>
        <v>0</v>
      </c>
      <c r="AK84" s="277">
        <f t="shared" si="8"/>
        <v>45000000</v>
      </c>
      <c r="AL84" s="291">
        <f t="shared" si="9"/>
        <v>100</v>
      </c>
      <c r="AM84" s="277" t="s">
        <v>2241</v>
      </c>
      <c r="AN84" s="277" t="s">
        <v>4730</v>
      </c>
      <c r="AO84" s="277" t="s">
        <v>4832</v>
      </c>
      <c r="AP84" s="277" t="s">
        <v>4739</v>
      </c>
      <c r="AQ84" s="292">
        <f>SUM('PER BULAN'!AX138)</f>
        <v>0</v>
      </c>
      <c r="AR84" s="292">
        <f>SUM('PER BULAN'!AY138)</f>
        <v>0</v>
      </c>
      <c r="AS84" s="292">
        <f>SUM('PER BULAN'!AZ138)</f>
        <v>0</v>
      </c>
      <c r="AT84" s="292">
        <f>SUM('PER BULAN'!BA138)</f>
        <v>0</v>
      </c>
      <c r="AU84" s="292">
        <f>SUM('PER BULAN'!BB138)</f>
        <v>0</v>
      </c>
      <c r="AV84" s="292">
        <f>SUM('PER BULAN'!BC138)</f>
        <v>0</v>
      </c>
      <c r="AW84" s="292">
        <f>SUM('PER BULAN'!BD138)</f>
        <v>0</v>
      </c>
      <c r="AX84" s="292">
        <f>SUM('PER BULAN'!BE138)</f>
        <v>0</v>
      </c>
    </row>
    <row r="85" spans="1:50" s="278" customFormat="1" x14ac:dyDescent="0.3">
      <c r="A85" s="277" t="s">
        <v>4693</v>
      </c>
      <c r="B85" s="277" t="s">
        <v>4694</v>
      </c>
      <c r="C85" s="277" t="s">
        <v>4720</v>
      </c>
      <c r="D85" s="277" t="s">
        <v>4721</v>
      </c>
      <c r="E85" s="277" t="s">
        <v>197</v>
      </c>
      <c r="F85" s="277" t="s">
        <v>4722</v>
      </c>
      <c r="G85" s="277" t="s">
        <v>4723</v>
      </c>
      <c r="H85" s="277" t="s">
        <v>4749</v>
      </c>
      <c r="I85" s="277" t="s">
        <v>557</v>
      </c>
      <c r="J85" s="277" t="s">
        <v>4762</v>
      </c>
      <c r="K85" s="277" t="s">
        <v>501</v>
      </c>
      <c r="L85" s="277" t="s">
        <v>4654</v>
      </c>
      <c r="M85" s="277" t="s">
        <v>4224</v>
      </c>
      <c r="N85" s="277" t="s">
        <v>4772</v>
      </c>
      <c r="O85" s="277">
        <v>521811</v>
      </c>
      <c r="P85" s="277" t="s">
        <v>4716</v>
      </c>
      <c r="Q85" s="278">
        <v>26000000</v>
      </c>
      <c r="R85" s="292">
        <f>SUM('PER BULAN'!G139:I139)</f>
        <v>0</v>
      </c>
      <c r="S85" s="292">
        <f>SUM('PER BULAN'!J139:L139)</f>
        <v>0</v>
      </c>
      <c r="T85" s="292">
        <f>SUM('PER BULAN'!M139:O139)</f>
        <v>0</v>
      </c>
      <c r="U85" s="292">
        <f>SUM('PER BULAN'!P139:R139)</f>
        <v>0</v>
      </c>
      <c r="V85" s="292">
        <f>SUM('PER BULAN'!S139:U139)</f>
        <v>0</v>
      </c>
      <c r="W85" s="292">
        <f>SUM('PER BULAN'!V139:X139)</f>
        <v>0</v>
      </c>
      <c r="X85" s="292">
        <f>SUM('PER BULAN'!Y139:AA139)</f>
        <v>0</v>
      </c>
      <c r="Y85" s="292">
        <f>SUM('PER BULAN'!AB139:AD139)</f>
        <v>0</v>
      </c>
      <c r="Z85" s="292">
        <f>SUM('PER BULAN'!AE139:AG139)</f>
        <v>0</v>
      </c>
      <c r="AA85" s="292">
        <f>SUM('PER BULAN'!AH139:AJ139)</f>
        <v>0</v>
      </c>
      <c r="AB85" s="292">
        <f>SUM('PER BULAN'!AK139:AM139)</f>
        <v>0</v>
      </c>
      <c r="AC85" s="292">
        <f>SUM('PER BULAN'!AN139:AP139)</f>
        <v>0</v>
      </c>
      <c r="AD85" s="277" t="s">
        <v>530</v>
      </c>
      <c r="AE85" s="277" t="s">
        <v>576</v>
      </c>
      <c r="AF85" s="277" t="s">
        <v>560</v>
      </c>
      <c r="AG85" s="277" t="s">
        <v>4699</v>
      </c>
      <c r="AH85" s="277" t="s">
        <v>4700</v>
      </c>
      <c r="AI85" s="277">
        <f t="shared" si="6"/>
        <v>0</v>
      </c>
      <c r="AJ85" s="291">
        <f t="shared" si="7"/>
        <v>0</v>
      </c>
      <c r="AK85" s="277">
        <f t="shared" si="8"/>
        <v>26000000</v>
      </c>
      <c r="AL85" s="291">
        <f t="shared" si="9"/>
        <v>100</v>
      </c>
      <c r="AM85" s="277" t="s">
        <v>4830</v>
      </c>
      <c r="AN85" s="277" t="s">
        <v>4730</v>
      </c>
      <c r="AO85" s="277" t="s">
        <v>4826</v>
      </c>
      <c r="AP85" s="277" t="s">
        <v>4739</v>
      </c>
      <c r="AQ85" s="292">
        <f>SUM('PER BULAN'!AX139)</f>
        <v>0</v>
      </c>
      <c r="AR85" s="292">
        <f>SUM('PER BULAN'!AY139)</f>
        <v>0</v>
      </c>
      <c r="AS85" s="292">
        <f>SUM('PER BULAN'!AZ139)</f>
        <v>0</v>
      </c>
      <c r="AT85" s="292">
        <f>SUM('PER BULAN'!BA139)</f>
        <v>0</v>
      </c>
      <c r="AU85" s="292">
        <f>SUM('PER BULAN'!BB139)</f>
        <v>0</v>
      </c>
      <c r="AV85" s="292">
        <f>SUM('PER BULAN'!BC139)</f>
        <v>0</v>
      </c>
      <c r="AW85" s="292">
        <f>SUM('PER BULAN'!BD139)</f>
        <v>0</v>
      </c>
      <c r="AX85" s="292">
        <f>SUM('PER BULAN'!BE139)</f>
        <v>0</v>
      </c>
    </row>
    <row r="86" spans="1:50" s="278" customFormat="1" x14ac:dyDescent="0.3">
      <c r="A86" s="277" t="s">
        <v>4693</v>
      </c>
      <c r="B86" s="277" t="s">
        <v>4694</v>
      </c>
      <c r="C86" s="277" t="s">
        <v>4720</v>
      </c>
      <c r="D86" s="277" t="s">
        <v>4721</v>
      </c>
      <c r="E86" s="277" t="s">
        <v>197</v>
      </c>
      <c r="F86" s="277" t="s">
        <v>4722</v>
      </c>
      <c r="G86" s="277" t="s">
        <v>4723</v>
      </c>
      <c r="H86" s="277" t="s">
        <v>4749</v>
      </c>
      <c r="I86" s="277" t="s">
        <v>557</v>
      </c>
      <c r="J86" s="277" t="s">
        <v>4762</v>
      </c>
      <c r="K86" s="277" t="s">
        <v>501</v>
      </c>
      <c r="L86" s="277" t="s">
        <v>4654</v>
      </c>
      <c r="M86" s="277" t="s">
        <v>4224</v>
      </c>
      <c r="N86" s="277" t="s">
        <v>4772</v>
      </c>
      <c r="O86" s="277">
        <v>523121</v>
      </c>
      <c r="P86" s="277" t="s">
        <v>4768</v>
      </c>
      <c r="Q86" s="278">
        <v>29000000</v>
      </c>
      <c r="R86" s="292">
        <f>SUM('PER BULAN'!G144:I144)</f>
        <v>0</v>
      </c>
      <c r="S86" s="292">
        <f>SUM('PER BULAN'!J140:L140)</f>
        <v>0</v>
      </c>
      <c r="T86" s="292">
        <f>SUM('PER BULAN'!M140:O140)</f>
        <v>0</v>
      </c>
      <c r="U86" s="292">
        <f>SUM('PER BULAN'!P140:R140)</f>
        <v>0</v>
      </c>
      <c r="V86" s="292">
        <f>SUM('PER BULAN'!S140:U140)</f>
        <v>0</v>
      </c>
      <c r="W86" s="292">
        <f>SUM('PER BULAN'!V140:X140)</f>
        <v>0</v>
      </c>
      <c r="X86" s="292">
        <f>SUM('PER BULAN'!Y140:AA140)</f>
        <v>0</v>
      </c>
      <c r="Y86" s="292">
        <f>SUM('PER BULAN'!AB140:AD140)</f>
        <v>0</v>
      </c>
      <c r="Z86" s="292">
        <f>SUM('PER BULAN'!AE140:AG140)</f>
        <v>0</v>
      </c>
      <c r="AA86" s="292">
        <f>SUM('PER BULAN'!AH140:AJ140)</f>
        <v>0</v>
      </c>
      <c r="AB86" s="292">
        <f>SUM('PER BULAN'!AK140:AM140)</f>
        <v>0</v>
      </c>
      <c r="AC86" s="292">
        <f>SUM('PER BULAN'!AN140:AP140)</f>
        <v>0</v>
      </c>
      <c r="AD86" s="277" t="s">
        <v>530</v>
      </c>
      <c r="AE86" s="277" t="s">
        <v>576</v>
      </c>
      <c r="AF86" s="277" t="s">
        <v>560</v>
      </c>
      <c r="AG86" s="277" t="s">
        <v>4699</v>
      </c>
      <c r="AH86" s="277" t="s">
        <v>4700</v>
      </c>
      <c r="AI86" s="277">
        <f t="shared" si="6"/>
        <v>0</v>
      </c>
      <c r="AJ86" s="291">
        <f t="shared" si="7"/>
        <v>0</v>
      </c>
      <c r="AK86" s="277">
        <f t="shared" si="8"/>
        <v>29000000</v>
      </c>
      <c r="AL86" s="291">
        <f t="shared" si="9"/>
        <v>100</v>
      </c>
      <c r="AM86" s="277" t="s">
        <v>4831</v>
      </c>
      <c r="AN86" s="277" t="s">
        <v>4730</v>
      </c>
      <c r="AO86" s="277" t="s">
        <v>4828</v>
      </c>
      <c r="AP86" s="277" t="s">
        <v>4739</v>
      </c>
      <c r="AQ86" s="292">
        <f>SUM('PER BULAN'!AX140)</f>
        <v>0</v>
      </c>
      <c r="AR86" s="292">
        <f>SUM('PER BULAN'!AY140)</f>
        <v>0</v>
      </c>
      <c r="AS86" s="292">
        <f>SUM('PER BULAN'!AZ140)</f>
        <v>0</v>
      </c>
      <c r="AT86" s="292">
        <f>SUM('PER BULAN'!BA140)</f>
        <v>0</v>
      </c>
      <c r="AU86" s="292">
        <f>SUM('PER BULAN'!BB140)</f>
        <v>0</v>
      </c>
      <c r="AV86" s="292">
        <f>SUM('PER BULAN'!BC140)</f>
        <v>0</v>
      </c>
      <c r="AW86" s="292">
        <f>SUM('PER BULAN'!BD140)</f>
        <v>0</v>
      </c>
      <c r="AX86" s="292">
        <f>SUM('PER BULAN'!BE140)</f>
        <v>0</v>
      </c>
    </row>
    <row r="87" spans="1:50" s="278" customFormat="1" x14ac:dyDescent="0.3">
      <c r="A87" s="277" t="s">
        <v>4693</v>
      </c>
      <c r="B87" s="277" t="s">
        <v>4694</v>
      </c>
      <c r="C87" s="277" t="s">
        <v>4720</v>
      </c>
      <c r="D87" s="277" t="s">
        <v>4721</v>
      </c>
      <c r="E87" s="277" t="s">
        <v>197</v>
      </c>
      <c r="F87" s="277" t="s">
        <v>4722</v>
      </c>
      <c r="G87" s="277" t="s">
        <v>4773</v>
      </c>
      <c r="H87" s="277" t="s">
        <v>4774</v>
      </c>
      <c r="I87" s="277">
        <v>951</v>
      </c>
      <c r="J87" s="277" t="s">
        <v>4775</v>
      </c>
      <c r="K87" s="277">
        <v>301</v>
      </c>
      <c r="L87" s="277" t="s">
        <v>4776</v>
      </c>
      <c r="M87" s="277" t="s">
        <v>8</v>
      </c>
      <c r="N87" s="277" t="s">
        <v>4777</v>
      </c>
      <c r="O87" s="277">
        <v>532111</v>
      </c>
      <c r="P87" s="277" t="s">
        <v>4705</v>
      </c>
      <c r="Q87" s="278">
        <v>540934000</v>
      </c>
      <c r="R87" s="292">
        <f>SUM('PER BULAN'!G149:I149)</f>
        <v>0</v>
      </c>
      <c r="S87" s="292">
        <f>SUM('PER BULAN'!J145:L145)</f>
        <v>0</v>
      </c>
      <c r="T87" s="292">
        <f>SUM('PER BULAN'!M145:O145)</f>
        <v>0</v>
      </c>
      <c r="U87" s="292">
        <f>SUM('PER BULAN'!P145:R145)</f>
        <v>0</v>
      </c>
      <c r="V87" s="292">
        <f>SUM('PER BULAN'!S145:U145)</f>
        <v>540000000</v>
      </c>
      <c r="W87" s="292">
        <f>SUM('PER BULAN'!V145:X145)</f>
        <v>0</v>
      </c>
      <c r="X87" s="292">
        <f>SUM('PER BULAN'!Y145:AA145)</f>
        <v>0</v>
      </c>
      <c r="Y87" s="292">
        <f>SUM('PER BULAN'!AB145:AD145)</f>
        <v>0</v>
      </c>
      <c r="Z87" s="292">
        <f>SUM('PER BULAN'!AE145:AG145)</f>
        <v>0</v>
      </c>
      <c r="AA87" s="292">
        <f>SUM('PER BULAN'!AH145:AJ145)</f>
        <v>0</v>
      </c>
      <c r="AB87" s="292">
        <f>SUM('PER BULAN'!AK145:AM145)</f>
        <v>0</v>
      </c>
      <c r="AC87" s="292">
        <f>SUM('PER BULAN'!AN145:AP145)</f>
        <v>0</v>
      </c>
      <c r="AD87" s="277" t="s">
        <v>530</v>
      </c>
      <c r="AE87" s="277" t="s">
        <v>576</v>
      </c>
      <c r="AF87" s="277" t="s">
        <v>560</v>
      </c>
      <c r="AG87" s="277">
        <v>53</v>
      </c>
      <c r="AH87" s="277" t="s">
        <v>4700</v>
      </c>
      <c r="AI87" s="277">
        <f t="shared" si="6"/>
        <v>540000000</v>
      </c>
      <c r="AJ87" s="291">
        <f t="shared" si="7"/>
        <v>99.827335682356804</v>
      </c>
      <c r="AK87" s="277">
        <f t="shared" si="8"/>
        <v>934000</v>
      </c>
      <c r="AL87" s="291">
        <f t="shared" si="9"/>
        <v>0.17266431764318754</v>
      </c>
      <c r="AM87" s="277" t="s">
        <v>2293</v>
      </c>
      <c r="AN87" s="277" t="s">
        <v>4730</v>
      </c>
      <c r="AO87" s="277" t="s">
        <v>4814</v>
      </c>
      <c r="AP87" s="277" t="s">
        <v>4732</v>
      </c>
      <c r="AQ87" s="292">
        <f>SUM('PER BULAN'!AX145)</f>
        <v>0</v>
      </c>
      <c r="AR87" s="292">
        <f>SUM('PER BULAN'!AY145)</f>
        <v>0</v>
      </c>
      <c r="AS87" s="292">
        <f>SUM('PER BULAN'!AZ145)</f>
        <v>0</v>
      </c>
      <c r="AT87" s="292">
        <f>SUM('PER BULAN'!BA145)</f>
        <v>0</v>
      </c>
      <c r="AU87" s="292">
        <f>SUM('PER BULAN'!BB145)</f>
        <v>0</v>
      </c>
      <c r="AV87" s="292">
        <f>SUM('PER BULAN'!BC145)</f>
        <v>0</v>
      </c>
      <c r="AW87" s="292">
        <f>SUM('PER BULAN'!BD145)</f>
        <v>0</v>
      </c>
      <c r="AX87" s="292">
        <f>SUM('PER BULAN'!BE145)</f>
        <v>0</v>
      </c>
    </row>
    <row r="88" spans="1:50" s="278" customFormat="1" x14ac:dyDescent="0.3">
      <c r="A88" s="277" t="s">
        <v>4693</v>
      </c>
      <c r="B88" s="277" t="s">
        <v>4694</v>
      </c>
      <c r="C88" s="277" t="s">
        <v>4720</v>
      </c>
      <c r="D88" s="277" t="s">
        <v>4721</v>
      </c>
      <c r="E88" s="277" t="s">
        <v>197</v>
      </c>
      <c r="F88" s="277" t="s">
        <v>4722</v>
      </c>
      <c r="G88" s="277" t="s">
        <v>4778</v>
      </c>
      <c r="H88" s="277" t="s">
        <v>4779</v>
      </c>
      <c r="I88" s="277">
        <v>952</v>
      </c>
      <c r="J88" s="277" t="s">
        <v>4780</v>
      </c>
      <c r="K88" s="277">
        <v>301</v>
      </c>
      <c r="L88" s="277" t="s">
        <v>4781</v>
      </c>
      <c r="M88" s="277" t="s">
        <v>8</v>
      </c>
      <c r="N88" s="277" t="s">
        <v>4782</v>
      </c>
      <c r="O88" s="277">
        <v>521211</v>
      </c>
      <c r="P88" s="277" t="s">
        <v>4698</v>
      </c>
      <c r="Q88" s="278">
        <v>22650000</v>
      </c>
      <c r="R88" s="292">
        <f>SUM('PER BULAN'!G150:I150)</f>
        <v>0</v>
      </c>
      <c r="S88" s="292">
        <f>SUM('PER BULAN'!J150:L150)</f>
        <v>0</v>
      </c>
      <c r="T88" s="292">
        <f>SUM('PER BULAN'!M150:O150)</f>
        <v>1498000</v>
      </c>
      <c r="U88" s="292">
        <f>SUM('PER BULAN'!P150:R150)</f>
        <v>0</v>
      </c>
      <c r="V88" s="292">
        <f>SUM('PER BULAN'!S150:U150)</f>
        <v>1493000</v>
      </c>
      <c r="W88" s="292">
        <f>SUM('PER BULAN'!V150:X150)</f>
        <v>0</v>
      </c>
      <c r="X88" s="292">
        <f>SUM('PER BULAN'!Y150:AA150)</f>
        <v>0</v>
      </c>
      <c r="Y88" s="292">
        <f>SUM('PER BULAN'!AB150:AD150)</f>
        <v>0</v>
      </c>
      <c r="Z88" s="292">
        <f>SUM('PER BULAN'!AE150:AG150)</f>
        <v>0</v>
      </c>
      <c r="AA88" s="292">
        <f>SUM('PER BULAN'!AH150:AJ150)</f>
        <v>0</v>
      </c>
      <c r="AB88" s="292">
        <f>SUM('PER BULAN'!AK150:AM150)</f>
        <v>0</v>
      </c>
      <c r="AC88" s="292">
        <f>SUM('PER BULAN'!AN150:AP150)</f>
        <v>0</v>
      </c>
      <c r="AD88" s="277" t="s">
        <v>530</v>
      </c>
      <c r="AE88" s="277" t="s">
        <v>542</v>
      </c>
      <c r="AF88" s="277" t="s">
        <v>543</v>
      </c>
      <c r="AG88" s="277" t="s">
        <v>4699</v>
      </c>
      <c r="AH88" s="277" t="s">
        <v>4700</v>
      </c>
      <c r="AI88" s="277">
        <f t="shared" si="6"/>
        <v>2991000</v>
      </c>
      <c r="AJ88" s="291">
        <f t="shared" si="7"/>
        <v>13.205298013245034</v>
      </c>
      <c r="AK88" s="277">
        <f t="shared" si="8"/>
        <v>19659000</v>
      </c>
      <c r="AL88" s="291">
        <f t="shared" si="9"/>
        <v>86.794701986754959</v>
      </c>
      <c r="AM88" s="277" t="s">
        <v>2742</v>
      </c>
      <c r="AN88" s="277" t="s">
        <v>4730</v>
      </c>
      <c r="AO88" s="277" t="s">
        <v>4731</v>
      </c>
      <c r="AP88" s="277" t="s">
        <v>4732</v>
      </c>
      <c r="AQ88" s="292">
        <f>SUM('PER BULAN'!AX150)</f>
        <v>0</v>
      </c>
      <c r="AR88" s="292">
        <f>SUM('PER BULAN'!AY150)</f>
        <v>1498000</v>
      </c>
      <c r="AS88" s="292">
        <f>SUM('PER BULAN'!AZ150)</f>
        <v>0</v>
      </c>
      <c r="AT88" s="292">
        <f>SUM('PER BULAN'!BA150)</f>
        <v>0</v>
      </c>
      <c r="AU88" s="292">
        <f>SUM('PER BULAN'!BB150)</f>
        <v>0</v>
      </c>
      <c r="AV88" s="292">
        <f>SUM('PER BULAN'!BC150)</f>
        <v>0</v>
      </c>
      <c r="AW88" s="292">
        <f>SUM('PER BULAN'!BD150)</f>
        <v>1493000</v>
      </c>
      <c r="AX88" s="292">
        <f>SUM('PER BULAN'!BE150)</f>
        <v>0</v>
      </c>
    </row>
    <row r="89" spans="1:50" s="278" customFormat="1" x14ac:dyDescent="0.3">
      <c r="A89" s="277" t="s">
        <v>4693</v>
      </c>
      <c r="B89" s="277" t="s">
        <v>4694</v>
      </c>
      <c r="C89" s="277" t="s">
        <v>4720</v>
      </c>
      <c r="D89" s="277" t="s">
        <v>4721</v>
      </c>
      <c r="E89" s="277" t="s">
        <v>197</v>
      </c>
      <c r="F89" s="277" t="s">
        <v>4722</v>
      </c>
      <c r="G89" s="277" t="s">
        <v>4778</v>
      </c>
      <c r="H89" s="277" t="s">
        <v>4779</v>
      </c>
      <c r="I89" s="277">
        <v>952</v>
      </c>
      <c r="J89" s="277" t="s">
        <v>4780</v>
      </c>
      <c r="K89" s="277">
        <v>301</v>
      </c>
      <c r="L89" s="277" t="s">
        <v>4781</v>
      </c>
      <c r="M89" s="277" t="s">
        <v>8</v>
      </c>
      <c r="N89" s="277" t="s">
        <v>4782</v>
      </c>
      <c r="O89" s="277">
        <v>521219</v>
      </c>
      <c r="P89" s="277" t="s">
        <v>4711</v>
      </c>
      <c r="Q89" s="278">
        <v>1000000</v>
      </c>
      <c r="R89" s="292">
        <f>SUM('PER BULAN'!G151:I151)</f>
        <v>0</v>
      </c>
      <c r="S89" s="292">
        <f>SUM('PER BULAN'!J151:L151)</f>
        <v>0</v>
      </c>
      <c r="T89" s="292">
        <f>SUM('PER BULAN'!M151:O151)</f>
        <v>346915</v>
      </c>
      <c r="U89" s="292">
        <f>SUM('PER BULAN'!P151:R151)</f>
        <v>0</v>
      </c>
      <c r="V89" s="292">
        <f>SUM('PER BULAN'!S151:U151)</f>
        <v>355980</v>
      </c>
      <c r="W89" s="292">
        <f>SUM('PER BULAN'!V151:X151)</f>
        <v>0</v>
      </c>
      <c r="X89" s="292">
        <f>SUM('PER BULAN'!Y151:AA151)</f>
        <v>0</v>
      </c>
      <c r="Y89" s="292">
        <f>SUM('PER BULAN'!AB151:AD151)</f>
        <v>0</v>
      </c>
      <c r="Z89" s="292">
        <f>SUM('PER BULAN'!AE151:AG151)</f>
        <v>0</v>
      </c>
      <c r="AA89" s="292">
        <f>SUM('PER BULAN'!AH151:AJ151)</f>
        <v>0</v>
      </c>
      <c r="AB89" s="292">
        <f>SUM('PER BULAN'!AK151:AM151)</f>
        <v>0</v>
      </c>
      <c r="AC89" s="292">
        <f>SUM('PER BULAN'!AN151:AP151)</f>
        <v>0</v>
      </c>
      <c r="AD89" s="277" t="s">
        <v>530</v>
      </c>
      <c r="AE89" s="277" t="s">
        <v>542</v>
      </c>
      <c r="AF89" s="277" t="s">
        <v>543</v>
      </c>
      <c r="AG89" s="277" t="s">
        <v>4699</v>
      </c>
      <c r="AH89" s="277" t="s">
        <v>4700</v>
      </c>
      <c r="AI89" s="277">
        <f t="shared" si="6"/>
        <v>702895</v>
      </c>
      <c r="AJ89" s="291">
        <f t="shared" si="7"/>
        <v>70.289500000000004</v>
      </c>
      <c r="AK89" s="277">
        <f t="shared" si="8"/>
        <v>297105</v>
      </c>
      <c r="AL89" s="291">
        <f t="shared" si="9"/>
        <v>29.7105</v>
      </c>
      <c r="AM89" s="277" t="s">
        <v>2747</v>
      </c>
      <c r="AN89" s="277" t="s">
        <v>4730</v>
      </c>
      <c r="AO89" s="277" t="s">
        <v>4733</v>
      </c>
      <c r="AP89" s="277" t="s">
        <v>4732</v>
      </c>
      <c r="AQ89" s="292">
        <f>SUM('PER BULAN'!AX151)</f>
        <v>0</v>
      </c>
      <c r="AR89" s="292">
        <f>SUM('PER BULAN'!AY151)</f>
        <v>346915</v>
      </c>
      <c r="AS89" s="292">
        <f>SUM('PER BULAN'!AZ151)</f>
        <v>0</v>
      </c>
      <c r="AT89" s="292">
        <f>SUM('PER BULAN'!BA151)</f>
        <v>0</v>
      </c>
      <c r="AU89" s="292">
        <f>SUM('PER BULAN'!BB151)</f>
        <v>0</v>
      </c>
      <c r="AV89" s="292">
        <f>SUM('PER BULAN'!BC151)</f>
        <v>0</v>
      </c>
      <c r="AW89" s="292">
        <f>SUM('PER BULAN'!BD151)</f>
        <v>355980</v>
      </c>
      <c r="AX89" s="292">
        <f>SUM('PER BULAN'!BE151)</f>
        <v>0</v>
      </c>
    </row>
    <row r="90" spans="1:50" s="278" customFormat="1" x14ac:dyDescent="0.3">
      <c r="A90" s="277" t="s">
        <v>4693</v>
      </c>
      <c r="B90" s="277" t="s">
        <v>4694</v>
      </c>
      <c r="C90" s="277" t="s">
        <v>4720</v>
      </c>
      <c r="D90" s="277" t="s">
        <v>4721</v>
      </c>
      <c r="E90" s="277" t="s">
        <v>197</v>
      </c>
      <c r="F90" s="277" t="s">
        <v>4722</v>
      </c>
      <c r="G90" s="277" t="s">
        <v>4778</v>
      </c>
      <c r="H90" s="277" t="s">
        <v>4779</v>
      </c>
      <c r="I90" s="277">
        <v>952</v>
      </c>
      <c r="J90" s="277" t="s">
        <v>4780</v>
      </c>
      <c r="K90" s="277">
        <v>301</v>
      </c>
      <c r="L90" s="277" t="s">
        <v>4781</v>
      </c>
      <c r="M90" s="277" t="s">
        <v>8</v>
      </c>
      <c r="N90" s="277" t="s">
        <v>4782</v>
      </c>
      <c r="O90" s="277">
        <v>521811</v>
      </c>
      <c r="P90" s="277" t="s">
        <v>4716</v>
      </c>
      <c r="Q90" s="278">
        <v>15000000</v>
      </c>
      <c r="R90" s="292">
        <f>SUM('PER BULAN'!G152:I152)</f>
        <v>0</v>
      </c>
      <c r="S90" s="292">
        <f>SUM('PER BULAN'!J152:L152)</f>
        <v>0</v>
      </c>
      <c r="T90" s="292">
        <f>SUM('PER BULAN'!M152:O152)</f>
        <v>2459000</v>
      </c>
      <c r="U90" s="292">
        <f>SUM('PER BULAN'!P152:R152)</f>
        <v>0</v>
      </c>
      <c r="V90" s="292">
        <f>SUM('PER BULAN'!S152:U152)</f>
        <v>2390000</v>
      </c>
      <c r="W90" s="292">
        <f>SUM('PER BULAN'!V152:X152)</f>
        <v>0</v>
      </c>
      <c r="X90" s="292">
        <f>SUM('PER BULAN'!Y152:AA152)</f>
        <v>0</v>
      </c>
      <c r="Y90" s="292">
        <f>SUM('PER BULAN'!AB152:AD152)</f>
        <v>0</v>
      </c>
      <c r="Z90" s="292">
        <f>SUM('PER BULAN'!AE152:AG152)</f>
        <v>0</v>
      </c>
      <c r="AA90" s="292">
        <f>SUM('PER BULAN'!AH152:AJ152)</f>
        <v>0</v>
      </c>
      <c r="AB90" s="292">
        <f>SUM('PER BULAN'!AK152:AM152)</f>
        <v>0</v>
      </c>
      <c r="AC90" s="292">
        <f>SUM('PER BULAN'!AN152:AP152)</f>
        <v>0</v>
      </c>
      <c r="AD90" s="277" t="s">
        <v>530</v>
      </c>
      <c r="AE90" s="277" t="s">
        <v>542</v>
      </c>
      <c r="AF90" s="277" t="s">
        <v>543</v>
      </c>
      <c r="AG90" s="277" t="s">
        <v>4699</v>
      </c>
      <c r="AH90" s="277" t="s">
        <v>4700</v>
      </c>
      <c r="AI90" s="277">
        <f t="shared" si="6"/>
        <v>4849000</v>
      </c>
      <c r="AJ90" s="291">
        <f t="shared" si="7"/>
        <v>32.326666666666668</v>
      </c>
      <c r="AK90" s="277">
        <f t="shared" si="8"/>
        <v>10151000</v>
      </c>
      <c r="AL90" s="291">
        <f t="shared" si="9"/>
        <v>67.673333333333332</v>
      </c>
      <c r="AM90" s="277" t="s">
        <v>2750</v>
      </c>
      <c r="AN90" s="277" t="s">
        <v>4730</v>
      </c>
      <c r="AO90" s="277" t="s">
        <v>4826</v>
      </c>
      <c r="AP90" s="277" t="s">
        <v>4732</v>
      </c>
      <c r="AQ90" s="292">
        <f>SUM('PER BULAN'!AX152)</f>
        <v>0</v>
      </c>
      <c r="AR90" s="292">
        <f>SUM('PER BULAN'!AY152)</f>
        <v>2459000</v>
      </c>
      <c r="AS90" s="292">
        <f>SUM('PER BULAN'!AZ152)</f>
        <v>0</v>
      </c>
      <c r="AT90" s="292">
        <f>SUM('PER BULAN'!BA152)</f>
        <v>0</v>
      </c>
      <c r="AU90" s="292">
        <f>SUM('PER BULAN'!BB152)</f>
        <v>0</v>
      </c>
      <c r="AV90" s="292">
        <f>SUM('PER BULAN'!BC152)</f>
        <v>0</v>
      </c>
      <c r="AW90" s="292">
        <f>SUM('PER BULAN'!BD152)</f>
        <v>2390000</v>
      </c>
      <c r="AX90" s="292">
        <f>SUM('PER BULAN'!BE152)</f>
        <v>0</v>
      </c>
    </row>
    <row r="91" spans="1:50" s="278" customFormat="1" x14ac:dyDescent="0.3">
      <c r="A91" s="277" t="s">
        <v>4693</v>
      </c>
      <c r="B91" s="277" t="s">
        <v>4694</v>
      </c>
      <c r="C91" s="277" t="s">
        <v>4720</v>
      </c>
      <c r="D91" s="277" t="s">
        <v>4721</v>
      </c>
      <c r="E91" s="277" t="s">
        <v>197</v>
      </c>
      <c r="F91" s="277" t="s">
        <v>4722</v>
      </c>
      <c r="G91" s="277" t="s">
        <v>4778</v>
      </c>
      <c r="H91" s="277" t="s">
        <v>4779</v>
      </c>
      <c r="I91" s="277">
        <v>952</v>
      </c>
      <c r="J91" s="277" t="s">
        <v>4780</v>
      </c>
      <c r="K91" s="277">
        <v>301</v>
      </c>
      <c r="L91" s="277" t="s">
        <v>4781</v>
      </c>
      <c r="M91" s="277" t="s">
        <v>8</v>
      </c>
      <c r="N91" s="277" t="s">
        <v>4782</v>
      </c>
      <c r="O91" s="277">
        <v>524111</v>
      </c>
      <c r="P91" s="277" t="s">
        <v>4702</v>
      </c>
      <c r="Q91" s="278">
        <v>62400000</v>
      </c>
      <c r="R91" s="292">
        <f>SUM('PER BULAN'!G154:I154)</f>
        <v>0</v>
      </c>
      <c r="S91" s="292">
        <f>SUM('PER BULAN'!J153:L153)</f>
        <v>1010000</v>
      </c>
      <c r="T91" s="292">
        <f>SUM('PER BULAN'!M153:O153)</f>
        <v>2805000</v>
      </c>
      <c r="U91" s="292">
        <f>SUM('PER BULAN'!P153:R153)</f>
        <v>0</v>
      </c>
      <c r="V91" s="292">
        <f>SUM('PER BULAN'!S153:U153)</f>
        <v>1348500</v>
      </c>
      <c r="W91" s="292">
        <f>SUM('PER BULAN'!V153:X153)</f>
        <v>0</v>
      </c>
      <c r="X91" s="292">
        <f>SUM('PER BULAN'!Y153:AA153)</f>
        <v>0</v>
      </c>
      <c r="Y91" s="292">
        <f>SUM('PER BULAN'!AB153:AD153)</f>
        <v>0</v>
      </c>
      <c r="Z91" s="292">
        <f>SUM('PER BULAN'!AE153:AG153)</f>
        <v>0</v>
      </c>
      <c r="AA91" s="292">
        <f>SUM('PER BULAN'!AH153:AJ153)</f>
        <v>0</v>
      </c>
      <c r="AB91" s="292">
        <f>SUM('PER BULAN'!AK153:AM153)</f>
        <v>0</v>
      </c>
      <c r="AC91" s="292">
        <f>SUM('PER BULAN'!AN153:AP153)</f>
        <v>0</v>
      </c>
      <c r="AD91" s="277" t="s">
        <v>530</v>
      </c>
      <c r="AE91" s="277" t="s">
        <v>542</v>
      </c>
      <c r="AF91" s="277" t="s">
        <v>543</v>
      </c>
      <c r="AG91" s="277" t="s">
        <v>4699</v>
      </c>
      <c r="AH91" s="277" t="s">
        <v>4700</v>
      </c>
      <c r="AI91" s="277">
        <f t="shared" si="6"/>
        <v>5163500</v>
      </c>
      <c r="AJ91" s="291">
        <f t="shared" si="7"/>
        <v>8.2748397435897427</v>
      </c>
      <c r="AK91" s="277">
        <f t="shared" si="8"/>
        <v>57236500</v>
      </c>
      <c r="AL91" s="291">
        <f t="shared" si="9"/>
        <v>91.725160256410248</v>
      </c>
      <c r="AM91" s="277" t="s">
        <v>2753</v>
      </c>
      <c r="AN91" s="277" t="s">
        <v>4730</v>
      </c>
      <c r="AO91" s="277" t="s">
        <v>4736</v>
      </c>
      <c r="AP91" s="277" t="s">
        <v>4732</v>
      </c>
      <c r="AQ91" s="292">
        <f>SUM('PER BULAN'!AX153)</f>
        <v>0</v>
      </c>
      <c r="AR91" s="292">
        <f>SUM('PER BULAN'!AY153)</f>
        <v>0</v>
      </c>
      <c r="AS91" s="292">
        <f>SUM('PER BULAN'!AZ153)</f>
        <v>2805000</v>
      </c>
      <c r="AT91" s="292">
        <f>SUM('PER BULAN'!BA153)</f>
        <v>0</v>
      </c>
      <c r="AU91" s="292">
        <f>SUM('PER BULAN'!BB153)</f>
        <v>0</v>
      </c>
      <c r="AV91" s="292">
        <f>SUM('PER BULAN'!BC153)</f>
        <v>0</v>
      </c>
      <c r="AW91" s="292">
        <f>SUM('PER BULAN'!BD153)</f>
        <v>0</v>
      </c>
      <c r="AX91" s="292">
        <f>SUM('PER BULAN'!BE153)</f>
        <v>0</v>
      </c>
    </row>
    <row r="92" spans="1:50" s="278" customFormat="1" x14ac:dyDescent="0.3">
      <c r="A92" s="277" t="s">
        <v>4693</v>
      </c>
      <c r="B92" s="277" t="s">
        <v>4694</v>
      </c>
      <c r="C92" s="277" t="s">
        <v>4720</v>
      </c>
      <c r="D92" s="277" t="s">
        <v>4721</v>
      </c>
      <c r="E92" s="277" t="s">
        <v>197</v>
      </c>
      <c r="F92" s="277" t="s">
        <v>4722</v>
      </c>
      <c r="G92" s="277" t="s">
        <v>4778</v>
      </c>
      <c r="H92" s="277" t="s">
        <v>4779</v>
      </c>
      <c r="I92" s="277">
        <v>952</v>
      </c>
      <c r="J92" s="277" t="s">
        <v>4780</v>
      </c>
      <c r="K92" s="277">
        <v>301</v>
      </c>
      <c r="L92" s="277" t="s">
        <v>4781</v>
      </c>
      <c r="M92" s="277" t="s">
        <v>511</v>
      </c>
      <c r="N92" s="277" t="s">
        <v>4783</v>
      </c>
      <c r="O92" s="277">
        <v>521211</v>
      </c>
      <c r="P92" s="277" t="s">
        <v>4698</v>
      </c>
      <c r="Q92" s="278">
        <v>49300000</v>
      </c>
      <c r="R92" s="292">
        <f>SUM('PER BULAN'!G155:I155)</f>
        <v>0</v>
      </c>
      <c r="S92" s="292">
        <f>SUM('PER BULAN'!J155:L155)</f>
        <v>0</v>
      </c>
      <c r="T92" s="292">
        <f>SUM('PER BULAN'!M155:O155)</f>
        <v>2964000</v>
      </c>
      <c r="U92" s="292">
        <f>SUM('PER BULAN'!P155:R155)</f>
        <v>0</v>
      </c>
      <c r="V92" s="292">
        <f>SUM('PER BULAN'!S155:U155)</f>
        <v>2975000</v>
      </c>
      <c r="W92" s="292">
        <f>SUM('PER BULAN'!V155:X155)</f>
        <v>0</v>
      </c>
      <c r="X92" s="292">
        <f>SUM('PER BULAN'!Y155:AA155)</f>
        <v>0</v>
      </c>
      <c r="Y92" s="292">
        <f>SUM('PER BULAN'!AB155:AD155)</f>
        <v>0</v>
      </c>
      <c r="Z92" s="292">
        <f>SUM('PER BULAN'!AE155:AG155)</f>
        <v>0</v>
      </c>
      <c r="AA92" s="292">
        <f>SUM('PER BULAN'!AH155:AJ155)</f>
        <v>0</v>
      </c>
      <c r="AB92" s="292">
        <f>SUM('PER BULAN'!AK155:AM155)</f>
        <v>0</v>
      </c>
      <c r="AC92" s="292">
        <f>SUM('PER BULAN'!AN155:AP155)</f>
        <v>0</v>
      </c>
      <c r="AD92" s="277" t="s">
        <v>530</v>
      </c>
      <c r="AE92" s="277" t="s">
        <v>542</v>
      </c>
      <c r="AF92" s="277" t="s">
        <v>543</v>
      </c>
      <c r="AG92" s="277" t="s">
        <v>4699</v>
      </c>
      <c r="AH92" s="277" t="s">
        <v>4700</v>
      </c>
      <c r="AI92" s="277">
        <f t="shared" si="6"/>
        <v>5939000</v>
      </c>
      <c r="AJ92" s="291">
        <f t="shared" si="7"/>
        <v>12.046653144016227</v>
      </c>
      <c r="AK92" s="277">
        <f t="shared" si="8"/>
        <v>43361000</v>
      </c>
      <c r="AL92" s="291">
        <f t="shared" si="9"/>
        <v>87.953346855983767</v>
      </c>
      <c r="AM92" s="277" t="s">
        <v>2757</v>
      </c>
      <c r="AN92" s="277" t="s">
        <v>4730</v>
      </c>
      <c r="AO92" s="277" t="s">
        <v>4731</v>
      </c>
      <c r="AP92" s="277" t="s">
        <v>4732</v>
      </c>
      <c r="AQ92" s="292">
        <f>SUM('PER BULAN'!AX155)</f>
        <v>0</v>
      </c>
      <c r="AR92" s="292">
        <f>SUM('PER BULAN'!AY155)</f>
        <v>2964000</v>
      </c>
      <c r="AS92" s="292">
        <f>SUM('PER BULAN'!AZ155)</f>
        <v>0</v>
      </c>
      <c r="AT92" s="292">
        <f>SUM('PER BULAN'!BA155)</f>
        <v>0</v>
      </c>
      <c r="AU92" s="292">
        <f>SUM('PER BULAN'!BB155)</f>
        <v>0</v>
      </c>
      <c r="AV92" s="292">
        <f>SUM('PER BULAN'!BC155)</f>
        <v>0</v>
      </c>
      <c r="AW92" s="292">
        <f>SUM('PER BULAN'!BD155)</f>
        <v>2975000</v>
      </c>
      <c r="AX92" s="292">
        <f>SUM('PER BULAN'!BE155)</f>
        <v>0</v>
      </c>
    </row>
    <row r="93" spans="1:50" s="278" customFormat="1" x14ac:dyDescent="0.3">
      <c r="A93" s="277" t="s">
        <v>4693</v>
      </c>
      <c r="B93" s="277" t="s">
        <v>4694</v>
      </c>
      <c r="C93" s="277" t="s">
        <v>4720</v>
      </c>
      <c r="D93" s="277" t="s">
        <v>4721</v>
      </c>
      <c r="E93" s="277" t="s">
        <v>197</v>
      </c>
      <c r="F93" s="277" t="s">
        <v>4722</v>
      </c>
      <c r="G93" s="277" t="s">
        <v>4778</v>
      </c>
      <c r="H93" s="277" t="s">
        <v>4779</v>
      </c>
      <c r="I93" s="277">
        <v>952</v>
      </c>
      <c r="J93" s="277" t="s">
        <v>4780</v>
      </c>
      <c r="K93" s="277">
        <v>301</v>
      </c>
      <c r="L93" s="277" t="s">
        <v>4781</v>
      </c>
      <c r="M93" s="277" t="s">
        <v>511</v>
      </c>
      <c r="N93" s="277" t="s">
        <v>4783</v>
      </c>
      <c r="O93" s="277">
        <v>521219</v>
      </c>
      <c r="P93" s="277" t="s">
        <v>4711</v>
      </c>
      <c r="Q93" s="278">
        <v>1000000</v>
      </c>
      <c r="R93" s="292">
        <f>SUM('PER BULAN'!G156:I156)</f>
        <v>0</v>
      </c>
      <c r="S93" s="292">
        <f>SUM('PER BULAN'!J156:L156)</f>
        <v>0</v>
      </c>
      <c r="T93" s="292">
        <f>SUM('PER BULAN'!M156:O156)</f>
        <v>0</v>
      </c>
      <c r="U93" s="292">
        <f>SUM('PER BULAN'!P156:R156)</f>
        <v>0</v>
      </c>
      <c r="V93" s="292">
        <f>SUM('PER BULAN'!S156:U156)</f>
        <v>0</v>
      </c>
      <c r="W93" s="292">
        <f>SUM('PER BULAN'!V156:X156)</f>
        <v>0</v>
      </c>
      <c r="X93" s="292">
        <f>SUM('PER BULAN'!Y156:AA156)</f>
        <v>0</v>
      </c>
      <c r="Y93" s="292">
        <f>SUM('PER BULAN'!AB156:AD156)</f>
        <v>0</v>
      </c>
      <c r="Z93" s="292">
        <f>SUM('PER BULAN'!AE156:AG156)</f>
        <v>0</v>
      </c>
      <c r="AA93" s="292">
        <f>SUM('PER BULAN'!AH156:AJ156)</f>
        <v>0</v>
      </c>
      <c r="AB93" s="292">
        <f>SUM('PER BULAN'!AK156:AM156)</f>
        <v>0</v>
      </c>
      <c r="AC93" s="292">
        <f>SUM('PER BULAN'!AN156:AP156)</f>
        <v>0</v>
      </c>
      <c r="AD93" s="277" t="s">
        <v>530</v>
      </c>
      <c r="AE93" s="277" t="s">
        <v>542</v>
      </c>
      <c r="AF93" s="277" t="s">
        <v>543</v>
      </c>
      <c r="AG93" s="277" t="s">
        <v>4699</v>
      </c>
      <c r="AH93" s="277" t="s">
        <v>4700</v>
      </c>
      <c r="AI93" s="277">
        <f t="shared" si="6"/>
        <v>0</v>
      </c>
      <c r="AJ93" s="291">
        <f t="shared" si="7"/>
        <v>0</v>
      </c>
      <c r="AK93" s="277">
        <f t="shared" si="8"/>
        <v>1000000</v>
      </c>
      <c r="AL93" s="291">
        <f t="shared" si="9"/>
        <v>100</v>
      </c>
      <c r="AM93" s="277" t="s">
        <v>2761</v>
      </c>
      <c r="AN93" s="277" t="s">
        <v>4730</v>
      </c>
      <c r="AO93" s="277" t="s">
        <v>4733</v>
      </c>
      <c r="AP93" s="277" t="s">
        <v>4732</v>
      </c>
      <c r="AQ93" s="292">
        <f>SUM('PER BULAN'!AX156)</f>
        <v>0</v>
      </c>
      <c r="AR93" s="292">
        <f>SUM('PER BULAN'!AY156)</f>
        <v>0</v>
      </c>
      <c r="AS93" s="292">
        <f>SUM('PER BULAN'!AZ156)</f>
        <v>0</v>
      </c>
      <c r="AT93" s="292">
        <f>SUM('PER BULAN'!BA156)</f>
        <v>0</v>
      </c>
      <c r="AU93" s="292">
        <f>SUM('PER BULAN'!BB156)</f>
        <v>0</v>
      </c>
      <c r="AV93" s="292">
        <f>SUM('PER BULAN'!BC156)</f>
        <v>0</v>
      </c>
      <c r="AW93" s="292">
        <f>SUM('PER BULAN'!BD156)</f>
        <v>0</v>
      </c>
      <c r="AX93" s="292">
        <f>SUM('PER BULAN'!BE156)</f>
        <v>0</v>
      </c>
    </row>
    <row r="94" spans="1:50" s="278" customFormat="1" x14ac:dyDescent="0.3">
      <c r="A94" s="277" t="s">
        <v>4693</v>
      </c>
      <c r="B94" s="277" t="s">
        <v>4694</v>
      </c>
      <c r="C94" s="277" t="s">
        <v>4720</v>
      </c>
      <c r="D94" s="277" t="s">
        <v>4721</v>
      </c>
      <c r="E94" s="277" t="s">
        <v>197</v>
      </c>
      <c r="F94" s="277" t="s">
        <v>4722</v>
      </c>
      <c r="G94" s="277" t="s">
        <v>4778</v>
      </c>
      <c r="H94" s="277" t="s">
        <v>4779</v>
      </c>
      <c r="I94" s="277">
        <v>952</v>
      </c>
      <c r="J94" s="277" t="s">
        <v>4780</v>
      </c>
      <c r="K94" s="277">
        <v>301</v>
      </c>
      <c r="L94" s="277" t="s">
        <v>4781</v>
      </c>
      <c r="M94" s="277" t="s">
        <v>511</v>
      </c>
      <c r="N94" s="277" t="s">
        <v>4783</v>
      </c>
      <c r="O94" s="277">
        <v>521811</v>
      </c>
      <c r="P94" s="277" t="s">
        <v>4716</v>
      </c>
      <c r="Q94" s="278">
        <v>25000000</v>
      </c>
      <c r="R94" s="292">
        <f>SUM('PER BULAN'!G157:I157)</f>
        <v>0</v>
      </c>
      <c r="S94" s="292">
        <f>SUM('PER BULAN'!J157:L157)</f>
        <v>0</v>
      </c>
      <c r="T94" s="292">
        <f>SUM('PER BULAN'!M157:O157)</f>
        <v>4910000</v>
      </c>
      <c r="U94" s="292">
        <f>SUM('PER BULAN'!P157:R157)</f>
        <v>0</v>
      </c>
      <c r="V94" s="292">
        <f>SUM('PER BULAN'!S157:U157)</f>
        <v>4873000</v>
      </c>
      <c r="W94" s="292">
        <f>SUM('PER BULAN'!V157:X157)</f>
        <v>0</v>
      </c>
      <c r="X94" s="292">
        <f>SUM('PER BULAN'!Y157:AA157)</f>
        <v>0</v>
      </c>
      <c r="Y94" s="292">
        <f>SUM('PER BULAN'!AB157:AD157)</f>
        <v>0</v>
      </c>
      <c r="Z94" s="292">
        <f>SUM('PER BULAN'!AE157:AG157)</f>
        <v>0</v>
      </c>
      <c r="AA94" s="292">
        <f>SUM('PER BULAN'!AH157:AJ157)</f>
        <v>0</v>
      </c>
      <c r="AB94" s="292">
        <f>SUM('PER BULAN'!AK157:AM157)</f>
        <v>0</v>
      </c>
      <c r="AC94" s="292">
        <f>SUM('PER BULAN'!AN157:AP157)</f>
        <v>0</v>
      </c>
      <c r="AD94" s="277" t="s">
        <v>530</v>
      </c>
      <c r="AE94" s="277" t="s">
        <v>542</v>
      </c>
      <c r="AF94" s="277" t="s">
        <v>543</v>
      </c>
      <c r="AG94" s="277" t="s">
        <v>4699</v>
      </c>
      <c r="AH94" s="277" t="s">
        <v>4700</v>
      </c>
      <c r="AI94" s="277">
        <f t="shared" si="6"/>
        <v>9783000</v>
      </c>
      <c r="AJ94" s="291">
        <f t="shared" si="7"/>
        <v>39.131999999999998</v>
      </c>
      <c r="AK94" s="277">
        <f t="shared" si="8"/>
        <v>15217000</v>
      </c>
      <c r="AL94" s="291">
        <f t="shared" si="9"/>
        <v>60.868000000000002</v>
      </c>
      <c r="AM94" s="277" t="s">
        <v>2763</v>
      </c>
      <c r="AN94" s="277" t="s">
        <v>4730</v>
      </c>
      <c r="AO94" s="277" t="s">
        <v>4826</v>
      </c>
      <c r="AP94" s="277" t="s">
        <v>4732</v>
      </c>
      <c r="AQ94" s="292">
        <f>SUM('PER BULAN'!AX157)</f>
        <v>0</v>
      </c>
      <c r="AR94" s="292">
        <f>SUM('PER BULAN'!AY157)</f>
        <v>4910000</v>
      </c>
      <c r="AS94" s="292">
        <f>SUM('PER BULAN'!AZ157)</f>
        <v>0</v>
      </c>
      <c r="AT94" s="292">
        <f>SUM('PER BULAN'!BA157)</f>
        <v>0</v>
      </c>
      <c r="AU94" s="292">
        <f>SUM('PER BULAN'!BB157)</f>
        <v>0</v>
      </c>
      <c r="AV94" s="292">
        <f>SUM('PER BULAN'!BC157)</f>
        <v>0</v>
      </c>
      <c r="AW94" s="292">
        <f>SUM('PER BULAN'!BD157)</f>
        <v>4873000</v>
      </c>
      <c r="AX94" s="292">
        <f>SUM('PER BULAN'!BE157)</f>
        <v>0</v>
      </c>
    </row>
    <row r="95" spans="1:50" s="278" customFormat="1" x14ac:dyDescent="0.3">
      <c r="A95" s="277" t="s">
        <v>4693</v>
      </c>
      <c r="B95" s="277" t="s">
        <v>4694</v>
      </c>
      <c r="C95" s="277" t="s">
        <v>4720</v>
      </c>
      <c r="D95" s="277" t="s">
        <v>4721</v>
      </c>
      <c r="E95" s="277" t="s">
        <v>197</v>
      </c>
      <c r="F95" s="277" t="s">
        <v>4722</v>
      </c>
      <c r="G95" s="277" t="s">
        <v>4778</v>
      </c>
      <c r="H95" s="277" t="s">
        <v>4779</v>
      </c>
      <c r="I95" s="277">
        <v>952</v>
      </c>
      <c r="J95" s="277" t="s">
        <v>4780</v>
      </c>
      <c r="K95" s="277">
        <v>301</v>
      </c>
      <c r="L95" s="277" t="s">
        <v>4781</v>
      </c>
      <c r="M95" s="277" t="s">
        <v>511</v>
      </c>
      <c r="N95" s="277" t="s">
        <v>4783</v>
      </c>
      <c r="O95" s="277">
        <v>522151</v>
      </c>
      <c r="P95" s="277" t="s">
        <v>4701</v>
      </c>
      <c r="Q95" s="278">
        <v>12000000</v>
      </c>
      <c r="R95" s="292">
        <f>SUM('PER BULAN'!G158:I158)</f>
        <v>0</v>
      </c>
      <c r="S95" s="292">
        <f>SUM('PER BULAN'!J158:L158)</f>
        <v>0</v>
      </c>
      <c r="T95" s="292">
        <f>SUM('PER BULAN'!M158:O158)</f>
        <v>0</v>
      </c>
      <c r="U95" s="292">
        <f>SUM('PER BULAN'!P158:R158)</f>
        <v>0</v>
      </c>
      <c r="V95" s="292">
        <f>SUM('PER BULAN'!S158:U158)</f>
        <v>0</v>
      </c>
      <c r="W95" s="292">
        <f>SUM('PER BULAN'!V158:X158)</f>
        <v>0</v>
      </c>
      <c r="X95" s="292">
        <f>SUM('PER BULAN'!Y158:AA158)</f>
        <v>0</v>
      </c>
      <c r="Y95" s="292">
        <f>SUM('PER BULAN'!AB158:AD158)</f>
        <v>0</v>
      </c>
      <c r="Z95" s="292">
        <f>SUM('PER BULAN'!AE158:AG158)</f>
        <v>0</v>
      </c>
      <c r="AA95" s="292">
        <f>SUM('PER BULAN'!AH158:AJ158)</f>
        <v>0</v>
      </c>
      <c r="AB95" s="292">
        <f>SUM('PER BULAN'!AK158:AM158)</f>
        <v>0</v>
      </c>
      <c r="AC95" s="292">
        <f>SUM('PER BULAN'!AN158:AP158)</f>
        <v>0</v>
      </c>
      <c r="AD95" s="277" t="s">
        <v>530</v>
      </c>
      <c r="AE95" s="277" t="s">
        <v>542</v>
      </c>
      <c r="AF95" s="277" t="s">
        <v>543</v>
      </c>
      <c r="AG95" s="277" t="s">
        <v>4699</v>
      </c>
      <c r="AH95" s="277" t="s">
        <v>4700</v>
      </c>
      <c r="AI95" s="277">
        <f t="shared" si="6"/>
        <v>0</v>
      </c>
      <c r="AJ95" s="291">
        <f t="shared" si="7"/>
        <v>0</v>
      </c>
      <c r="AK95" s="277">
        <f t="shared" si="8"/>
        <v>12000000</v>
      </c>
      <c r="AL95" s="291">
        <f t="shared" si="9"/>
        <v>100</v>
      </c>
      <c r="AM95" s="277" t="s">
        <v>2766</v>
      </c>
      <c r="AN95" s="277" t="s">
        <v>4730</v>
      </c>
      <c r="AO95" s="277" t="s">
        <v>4735</v>
      </c>
      <c r="AP95" s="277" t="s">
        <v>4732</v>
      </c>
      <c r="AQ95" s="292">
        <f>SUM('PER BULAN'!AX158)</f>
        <v>0</v>
      </c>
      <c r="AR95" s="292">
        <f>SUM('PER BULAN'!AY158)</f>
        <v>0</v>
      </c>
      <c r="AS95" s="292">
        <f>SUM('PER BULAN'!AZ158)</f>
        <v>0</v>
      </c>
      <c r="AT95" s="292">
        <f>SUM('PER BULAN'!BA158)</f>
        <v>0</v>
      </c>
      <c r="AU95" s="292">
        <f>SUM('PER BULAN'!BB158)</f>
        <v>0</v>
      </c>
      <c r="AV95" s="292">
        <f>SUM('PER BULAN'!BC158)</f>
        <v>0</v>
      </c>
      <c r="AW95" s="292">
        <f>SUM('PER BULAN'!BD158)</f>
        <v>0</v>
      </c>
      <c r="AX95" s="292">
        <f>SUM('PER BULAN'!BE158)</f>
        <v>0</v>
      </c>
    </row>
    <row r="96" spans="1:50" s="278" customFormat="1" x14ac:dyDescent="0.3">
      <c r="A96" s="277" t="s">
        <v>4693</v>
      </c>
      <c r="B96" s="277" t="s">
        <v>4694</v>
      </c>
      <c r="C96" s="277" t="s">
        <v>4720</v>
      </c>
      <c r="D96" s="277" t="s">
        <v>4721</v>
      </c>
      <c r="E96" s="277" t="s">
        <v>197</v>
      </c>
      <c r="F96" s="277" t="s">
        <v>4722</v>
      </c>
      <c r="G96" s="277" t="s">
        <v>4778</v>
      </c>
      <c r="H96" s="277" t="s">
        <v>4779</v>
      </c>
      <c r="I96" s="277">
        <v>952</v>
      </c>
      <c r="J96" s="277" t="s">
        <v>4780</v>
      </c>
      <c r="K96" s="277">
        <v>301</v>
      </c>
      <c r="L96" s="277" t="s">
        <v>4781</v>
      </c>
      <c r="M96" s="277" t="s">
        <v>511</v>
      </c>
      <c r="N96" s="277" t="s">
        <v>4783</v>
      </c>
      <c r="O96" s="277">
        <v>524111</v>
      </c>
      <c r="P96" s="277" t="s">
        <v>4702</v>
      </c>
      <c r="Q96" s="278">
        <v>258688000</v>
      </c>
      <c r="R96" s="292">
        <f>SUM('PER BULAN'!G160:I160)</f>
        <v>0</v>
      </c>
      <c r="S96" s="292">
        <f>SUM('PER BULAN'!J159:L159)</f>
        <v>0</v>
      </c>
      <c r="T96" s="292">
        <f>SUM('PER BULAN'!M159:O159)</f>
        <v>0</v>
      </c>
      <c r="U96" s="292">
        <f>SUM('PER BULAN'!P159:R159)</f>
        <v>205000</v>
      </c>
      <c r="V96" s="292">
        <f>SUM('PER BULAN'!S159:U159)</f>
        <v>4224000</v>
      </c>
      <c r="W96" s="292">
        <f>SUM('PER BULAN'!V159:X159)</f>
        <v>0</v>
      </c>
      <c r="X96" s="292">
        <f>SUM('PER BULAN'!Y159:AA159)</f>
        <v>0</v>
      </c>
      <c r="Y96" s="292">
        <f>SUM('PER BULAN'!AB159:AD159)</f>
        <v>0</v>
      </c>
      <c r="Z96" s="292">
        <f>SUM('PER BULAN'!AE159:AG159)</f>
        <v>0</v>
      </c>
      <c r="AA96" s="292">
        <f>SUM('PER BULAN'!AH159:AJ159)</f>
        <v>0</v>
      </c>
      <c r="AB96" s="292">
        <f>SUM('PER BULAN'!AK159:AM159)</f>
        <v>0</v>
      </c>
      <c r="AC96" s="292">
        <f>SUM('PER BULAN'!AN159:AP159)</f>
        <v>0</v>
      </c>
      <c r="AD96" s="277" t="s">
        <v>530</v>
      </c>
      <c r="AE96" s="277" t="s">
        <v>542</v>
      </c>
      <c r="AF96" s="277" t="s">
        <v>543</v>
      </c>
      <c r="AG96" s="277" t="s">
        <v>4699</v>
      </c>
      <c r="AH96" s="277" t="s">
        <v>4700</v>
      </c>
      <c r="AI96" s="277">
        <f t="shared" si="6"/>
        <v>4429000</v>
      </c>
      <c r="AJ96" s="291">
        <f t="shared" si="7"/>
        <v>1.7121010638297871</v>
      </c>
      <c r="AK96" s="277">
        <f t="shared" si="8"/>
        <v>254259000</v>
      </c>
      <c r="AL96" s="291">
        <f t="shared" si="9"/>
        <v>98.287898936170208</v>
      </c>
      <c r="AM96" s="277" t="s">
        <v>2768</v>
      </c>
      <c r="AN96" s="277" t="s">
        <v>4730</v>
      </c>
      <c r="AO96" s="277" t="s">
        <v>4736</v>
      </c>
      <c r="AP96" s="277" t="s">
        <v>4732</v>
      </c>
      <c r="AQ96" s="292">
        <f>SUM('PER BULAN'!AX159)</f>
        <v>0</v>
      </c>
      <c r="AR96" s="292">
        <f>SUM('PER BULAN'!AY159)</f>
        <v>0</v>
      </c>
      <c r="AS96" s="292">
        <f>SUM('PER BULAN'!AZ159)</f>
        <v>0</v>
      </c>
      <c r="AT96" s="292">
        <f>SUM('PER BULAN'!BA159)</f>
        <v>0</v>
      </c>
      <c r="AU96" s="292">
        <f>SUM('PER BULAN'!BB159)</f>
        <v>0</v>
      </c>
      <c r="AV96" s="292">
        <f>SUM('PER BULAN'!BC159)</f>
        <v>0</v>
      </c>
      <c r="AW96" s="292">
        <f>SUM('PER BULAN'!BD159)</f>
        <v>0</v>
      </c>
      <c r="AX96" s="292">
        <f>SUM('PER BULAN'!BE159)</f>
        <v>0</v>
      </c>
    </row>
    <row r="97" spans="1:50" s="278" customFormat="1" x14ac:dyDescent="0.3">
      <c r="A97" s="277" t="s">
        <v>4693</v>
      </c>
      <c r="B97" s="277" t="s">
        <v>4694</v>
      </c>
      <c r="C97" s="277" t="s">
        <v>4720</v>
      </c>
      <c r="D97" s="277" t="s">
        <v>4721</v>
      </c>
      <c r="E97" s="277" t="s">
        <v>197</v>
      </c>
      <c r="F97" s="277" t="s">
        <v>4722</v>
      </c>
      <c r="G97" s="277" t="s">
        <v>4778</v>
      </c>
      <c r="H97" s="277" t="s">
        <v>4779</v>
      </c>
      <c r="I97" s="277">
        <v>952</v>
      </c>
      <c r="J97" s="277" t="s">
        <v>4780</v>
      </c>
      <c r="K97" s="277">
        <v>301</v>
      </c>
      <c r="L97" s="277" t="s">
        <v>4781</v>
      </c>
      <c r="M97" s="277" t="s">
        <v>512</v>
      </c>
      <c r="N97" s="277" t="s">
        <v>4784</v>
      </c>
      <c r="O97" s="277">
        <v>521211</v>
      </c>
      <c r="P97" s="277" t="s">
        <v>4698</v>
      </c>
      <c r="Q97" s="278">
        <v>39500000</v>
      </c>
      <c r="R97" s="292">
        <f>SUM('PER BULAN'!G161:I161)</f>
        <v>0</v>
      </c>
      <c r="S97" s="292">
        <f>SUM('PER BULAN'!J161:L161)</f>
        <v>0</v>
      </c>
      <c r="T97" s="292">
        <f>SUM('PER BULAN'!M161:O161)</f>
        <v>2955000</v>
      </c>
      <c r="U97" s="292">
        <f>SUM('PER BULAN'!P161:R161)</f>
        <v>0</v>
      </c>
      <c r="V97" s="292">
        <f>SUM('PER BULAN'!S161:U161)</f>
        <v>2933500</v>
      </c>
      <c r="W97" s="292">
        <f>SUM('PER BULAN'!V161:X161)</f>
        <v>10500000</v>
      </c>
      <c r="X97" s="292">
        <f>SUM('PER BULAN'!Y161:AA161)</f>
        <v>0</v>
      </c>
      <c r="Y97" s="292">
        <f>SUM('PER BULAN'!AB161:AD161)</f>
        <v>0</v>
      </c>
      <c r="Z97" s="292">
        <f>SUM('PER BULAN'!AE161:AG161)</f>
        <v>0</v>
      </c>
      <c r="AA97" s="292">
        <f>SUM('PER BULAN'!AH161:AJ161)</f>
        <v>0</v>
      </c>
      <c r="AB97" s="292">
        <f>SUM('PER BULAN'!AK161:AM161)</f>
        <v>0</v>
      </c>
      <c r="AC97" s="292">
        <f>SUM('PER BULAN'!AN161:AP161)</f>
        <v>0</v>
      </c>
      <c r="AD97" s="277" t="s">
        <v>530</v>
      </c>
      <c r="AE97" s="277" t="s">
        <v>542</v>
      </c>
      <c r="AF97" s="277" t="s">
        <v>543</v>
      </c>
      <c r="AG97" s="277" t="s">
        <v>4699</v>
      </c>
      <c r="AH97" s="277" t="s">
        <v>4700</v>
      </c>
      <c r="AI97" s="277">
        <f t="shared" si="6"/>
        <v>16388500</v>
      </c>
      <c r="AJ97" s="291">
        <f t="shared" si="7"/>
        <v>41.489873417721519</v>
      </c>
      <c r="AK97" s="277">
        <f t="shared" si="8"/>
        <v>23111500</v>
      </c>
      <c r="AL97" s="291">
        <f t="shared" si="9"/>
        <v>58.510126582278474</v>
      </c>
      <c r="AM97" s="277" t="s">
        <v>2772</v>
      </c>
      <c r="AN97" s="277" t="s">
        <v>4730</v>
      </c>
      <c r="AO97" s="277" t="s">
        <v>4731</v>
      </c>
      <c r="AP97" s="277" t="s">
        <v>4732</v>
      </c>
      <c r="AQ97" s="292">
        <f>SUM('PER BULAN'!AX161)</f>
        <v>0</v>
      </c>
      <c r="AR97" s="292">
        <f>SUM('PER BULAN'!AY161)</f>
        <v>2955000</v>
      </c>
      <c r="AS97" s="292">
        <f>SUM('PER BULAN'!AZ161)</f>
        <v>0</v>
      </c>
      <c r="AT97" s="292">
        <f>SUM('PER BULAN'!BA161)</f>
        <v>0</v>
      </c>
      <c r="AU97" s="292">
        <f>SUM('PER BULAN'!BB161)</f>
        <v>0</v>
      </c>
      <c r="AV97" s="292">
        <f>SUM('PER BULAN'!BC161)</f>
        <v>0</v>
      </c>
      <c r="AW97" s="292">
        <f>SUM('PER BULAN'!BD161)</f>
        <v>2933500</v>
      </c>
      <c r="AX97" s="292">
        <f>SUM('PER BULAN'!BE161)</f>
        <v>0</v>
      </c>
    </row>
    <row r="98" spans="1:50" s="278" customFormat="1" x14ac:dyDescent="0.3">
      <c r="A98" s="277" t="s">
        <v>4693</v>
      </c>
      <c r="B98" s="277" t="s">
        <v>4694</v>
      </c>
      <c r="C98" s="277" t="s">
        <v>4720</v>
      </c>
      <c r="D98" s="277" t="s">
        <v>4721</v>
      </c>
      <c r="E98" s="277" t="s">
        <v>197</v>
      </c>
      <c r="F98" s="277" t="s">
        <v>4722</v>
      </c>
      <c r="G98" s="277" t="s">
        <v>4778</v>
      </c>
      <c r="H98" s="277" t="s">
        <v>4779</v>
      </c>
      <c r="I98" s="277">
        <v>952</v>
      </c>
      <c r="J98" s="277" t="s">
        <v>4780</v>
      </c>
      <c r="K98" s="277">
        <v>301</v>
      </c>
      <c r="L98" s="277" t="s">
        <v>4781</v>
      </c>
      <c r="M98" s="277" t="s">
        <v>512</v>
      </c>
      <c r="N98" s="277" t="s">
        <v>4784</v>
      </c>
      <c r="O98" s="277">
        <v>521811</v>
      </c>
      <c r="P98" s="277" t="s">
        <v>4716</v>
      </c>
      <c r="Q98" s="278">
        <v>25000000</v>
      </c>
      <c r="R98" s="292">
        <f>SUM('PER BULAN'!G162:I162)</f>
        <v>0</v>
      </c>
      <c r="S98" s="292">
        <f>SUM('PER BULAN'!J162:L162)</f>
        <v>0</v>
      </c>
      <c r="T98" s="292">
        <f>SUM('PER BULAN'!M162:O162)</f>
        <v>4947750</v>
      </c>
      <c r="U98" s="292">
        <f>SUM('PER BULAN'!P162:R162)</f>
        <v>0</v>
      </c>
      <c r="V98" s="292">
        <f>SUM('PER BULAN'!S162:U162)</f>
        <v>4878000</v>
      </c>
      <c r="W98" s="292">
        <f>SUM('PER BULAN'!V162:X162)</f>
        <v>0</v>
      </c>
      <c r="X98" s="292">
        <f>SUM('PER BULAN'!Y162:AA162)</f>
        <v>0</v>
      </c>
      <c r="Y98" s="292">
        <f>SUM('PER BULAN'!AB162:AD162)</f>
        <v>0</v>
      </c>
      <c r="Z98" s="292">
        <f>SUM('PER BULAN'!AE162:AG162)</f>
        <v>0</v>
      </c>
      <c r="AA98" s="292">
        <f>SUM('PER BULAN'!AH162:AJ162)</f>
        <v>0</v>
      </c>
      <c r="AB98" s="292">
        <f>SUM('PER BULAN'!AK162:AM162)</f>
        <v>0</v>
      </c>
      <c r="AC98" s="292">
        <f>SUM('PER BULAN'!AN162:AP162)</f>
        <v>0</v>
      </c>
      <c r="AD98" s="277" t="s">
        <v>530</v>
      </c>
      <c r="AE98" s="277" t="s">
        <v>542</v>
      </c>
      <c r="AF98" s="277" t="s">
        <v>543</v>
      </c>
      <c r="AG98" s="277" t="s">
        <v>4699</v>
      </c>
      <c r="AH98" s="277" t="s">
        <v>4700</v>
      </c>
      <c r="AI98" s="277">
        <f t="shared" si="6"/>
        <v>9825750</v>
      </c>
      <c r="AJ98" s="291">
        <f t="shared" si="7"/>
        <v>39.302999999999997</v>
      </c>
      <c r="AK98" s="277">
        <f t="shared" si="8"/>
        <v>15174250</v>
      </c>
      <c r="AL98" s="291">
        <f t="shared" si="9"/>
        <v>60.697000000000003</v>
      </c>
      <c r="AM98" s="277" t="s">
        <v>2776</v>
      </c>
      <c r="AN98" s="277" t="s">
        <v>4730</v>
      </c>
      <c r="AO98" s="277" t="s">
        <v>4826</v>
      </c>
      <c r="AP98" s="277" t="s">
        <v>4732</v>
      </c>
      <c r="AQ98" s="292">
        <f>SUM('PER BULAN'!AX162)</f>
        <v>0</v>
      </c>
      <c r="AR98" s="292">
        <f>SUM('PER BULAN'!AY162)</f>
        <v>4947750</v>
      </c>
      <c r="AS98" s="292">
        <f>SUM('PER BULAN'!AZ162)</f>
        <v>0</v>
      </c>
      <c r="AT98" s="292">
        <f>SUM('PER BULAN'!BA162)</f>
        <v>0</v>
      </c>
      <c r="AU98" s="292">
        <f>SUM('PER BULAN'!BB162)</f>
        <v>0</v>
      </c>
      <c r="AV98" s="292">
        <f>SUM('PER BULAN'!BC162)</f>
        <v>0</v>
      </c>
      <c r="AW98" s="292">
        <f>SUM('PER BULAN'!BD162)</f>
        <v>4878000</v>
      </c>
      <c r="AX98" s="292">
        <f>SUM('PER BULAN'!BE162)</f>
        <v>0</v>
      </c>
    </row>
    <row r="99" spans="1:50" s="278" customFormat="1" x14ac:dyDescent="0.3">
      <c r="A99" s="277" t="s">
        <v>4693</v>
      </c>
      <c r="B99" s="277" t="s">
        <v>4694</v>
      </c>
      <c r="C99" s="277" t="s">
        <v>4720</v>
      </c>
      <c r="D99" s="277" t="s">
        <v>4721</v>
      </c>
      <c r="E99" s="277" t="s">
        <v>197</v>
      </c>
      <c r="F99" s="277" t="s">
        <v>4722</v>
      </c>
      <c r="G99" s="277" t="s">
        <v>4778</v>
      </c>
      <c r="H99" s="277" t="s">
        <v>4779</v>
      </c>
      <c r="I99" s="277">
        <v>952</v>
      </c>
      <c r="J99" s="277" t="s">
        <v>4780</v>
      </c>
      <c r="K99" s="277">
        <v>301</v>
      </c>
      <c r="L99" s="277" t="s">
        <v>4781</v>
      </c>
      <c r="M99" s="277" t="s">
        <v>512</v>
      </c>
      <c r="N99" s="277" t="s">
        <v>4784</v>
      </c>
      <c r="O99" s="277">
        <v>522151</v>
      </c>
      <c r="P99" s="277" t="s">
        <v>4701</v>
      </c>
      <c r="Q99" s="278">
        <v>10000000</v>
      </c>
      <c r="R99" s="292">
        <f>SUM('PER BULAN'!G163:I163)</f>
        <v>0</v>
      </c>
      <c r="S99" s="292">
        <f>SUM('PER BULAN'!J163:L163)</f>
        <v>0</v>
      </c>
      <c r="T99" s="292">
        <f>SUM('PER BULAN'!M163:O163)</f>
        <v>0</v>
      </c>
      <c r="U99" s="292">
        <f>SUM('PER BULAN'!P163:R163)</f>
        <v>0</v>
      </c>
      <c r="V99" s="292">
        <f>SUM('PER BULAN'!S163:U163)</f>
        <v>0</v>
      </c>
      <c r="W99" s="292">
        <f>SUM('PER BULAN'!V163:X163)</f>
        <v>0</v>
      </c>
      <c r="X99" s="292">
        <f>SUM('PER BULAN'!Y163:AA163)</f>
        <v>0</v>
      </c>
      <c r="Y99" s="292">
        <f>SUM('PER BULAN'!AB163:AD163)</f>
        <v>0</v>
      </c>
      <c r="Z99" s="292">
        <f>SUM('PER BULAN'!AE163:AG163)</f>
        <v>0</v>
      </c>
      <c r="AA99" s="292">
        <f>SUM('PER BULAN'!AH163:AJ163)</f>
        <v>0</v>
      </c>
      <c r="AB99" s="292">
        <f>SUM('PER BULAN'!AK163:AM163)</f>
        <v>0</v>
      </c>
      <c r="AC99" s="292">
        <f>SUM('PER BULAN'!AN163:AP163)</f>
        <v>0</v>
      </c>
      <c r="AD99" s="277" t="s">
        <v>530</v>
      </c>
      <c r="AE99" s="277" t="s">
        <v>542</v>
      </c>
      <c r="AF99" s="277" t="s">
        <v>543</v>
      </c>
      <c r="AG99" s="277" t="s">
        <v>4699</v>
      </c>
      <c r="AH99" s="277" t="s">
        <v>4700</v>
      </c>
      <c r="AI99" s="277">
        <f t="shared" si="6"/>
        <v>0</v>
      </c>
      <c r="AJ99" s="291">
        <f t="shared" si="7"/>
        <v>0</v>
      </c>
      <c r="AK99" s="277">
        <f t="shared" si="8"/>
        <v>10000000</v>
      </c>
      <c r="AL99" s="291">
        <f t="shared" si="9"/>
        <v>100</v>
      </c>
      <c r="AM99" s="277" t="s">
        <v>2779</v>
      </c>
      <c r="AN99" s="277" t="s">
        <v>4730</v>
      </c>
      <c r="AO99" s="277" t="s">
        <v>4735</v>
      </c>
      <c r="AP99" s="277" t="s">
        <v>4732</v>
      </c>
      <c r="AQ99" s="292">
        <f>SUM('PER BULAN'!AX163)</f>
        <v>0</v>
      </c>
      <c r="AR99" s="292">
        <f>SUM('PER BULAN'!AY163)</f>
        <v>0</v>
      </c>
      <c r="AS99" s="292">
        <f>SUM('PER BULAN'!AZ163)</f>
        <v>0</v>
      </c>
      <c r="AT99" s="292">
        <f>SUM('PER BULAN'!BA163)</f>
        <v>0</v>
      </c>
      <c r="AU99" s="292">
        <f>SUM('PER BULAN'!BB163)</f>
        <v>0</v>
      </c>
      <c r="AV99" s="292">
        <f>SUM('PER BULAN'!BC163)</f>
        <v>0</v>
      </c>
      <c r="AW99" s="292">
        <f>SUM('PER BULAN'!BD163)</f>
        <v>0</v>
      </c>
      <c r="AX99" s="292">
        <f>SUM('PER BULAN'!BE163)</f>
        <v>0</v>
      </c>
    </row>
    <row r="100" spans="1:50" s="278" customFormat="1" x14ac:dyDescent="0.3">
      <c r="A100" s="277" t="s">
        <v>4693</v>
      </c>
      <c r="B100" s="277" t="s">
        <v>4694</v>
      </c>
      <c r="C100" s="277" t="s">
        <v>4720</v>
      </c>
      <c r="D100" s="277" t="s">
        <v>4721</v>
      </c>
      <c r="E100" s="277" t="s">
        <v>197</v>
      </c>
      <c r="F100" s="277" t="s">
        <v>4722</v>
      </c>
      <c r="G100" s="277" t="s">
        <v>4778</v>
      </c>
      <c r="H100" s="277" t="s">
        <v>4779</v>
      </c>
      <c r="I100" s="277">
        <v>952</v>
      </c>
      <c r="J100" s="277" t="s">
        <v>4780</v>
      </c>
      <c r="K100" s="277">
        <v>301</v>
      </c>
      <c r="L100" s="277" t="s">
        <v>4781</v>
      </c>
      <c r="M100" s="277" t="s">
        <v>512</v>
      </c>
      <c r="N100" s="277" t="s">
        <v>4784</v>
      </c>
      <c r="O100" s="277">
        <v>524111</v>
      </c>
      <c r="P100" s="277" t="s">
        <v>4702</v>
      </c>
      <c r="Q100" s="278">
        <v>93600000</v>
      </c>
      <c r="R100" s="292">
        <f>SUM('PER BULAN'!G167:I167)</f>
        <v>0</v>
      </c>
      <c r="S100" s="292">
        <f>SUM('PER BULAN'!J164:L164)</f>
        <v>9587800</v>
      </c>
      <c r="T100" s="292">
        <f>SUM('PER BULAN'!M164:O164)</f>
        <v>22390000</v>
      </c>
      <c r="U100" s="292">
        <f>SUM('PER BULAN'!P164:R164)</f>
        <v>6330000</v>
      </c>
      <c r="V100" s="292">
        <f>SUM('PER BULAN'!S164:U164)</f>
        <v>3600000</v>
      </c>
      <c r="W100" s="292">
        <f>SUM('PER BULAN'!V164:X164)</f>
        <v>0</v>
      </c>
      <c r="X100" s="292">
        <f>SUM('PER BULAN'!Y164:AA164)</f>
        <v>0</v>
      </c>
      <c r="Y100" s="292">
        <f>SUM('PER BULAN'!AB164:AD164)</f>
        <v>0</v>
      </c>
      <c r="Z100" s="292">
        <f>SUM('PER BULAN'!AE164:AG164)</f>
        <v>0</v>
      </c>
      <c r="AA100" s="292">
        <f>SUM('PER BULAN'!AH164:AJ164)</f>
        <v>0</v>
      </c>
      <c r="AB100" s="292">
        <f>SUM('PER BULAN'!AK164:AM164)</f>
        <v>0</v>
      </c>
      <c r="AC100" s="292">
        <f>SUM('PER BULAN'!AN164:AP164)</f>
        <v>0</v>
      </c>
      <c r="AD100" s="277" t="s">
        <v>530</v>
      </c>
      <c r="AE100" s="277" t="s">
        <v>542</v>
      </c>
      <c r="AF100" s="277" t="s">
        <v>543</v>
      </c>
      <c r="AG100" s="277" t="s">
        <v>4699</v>
      </c>
      <c r="AH100" s="277" t="s">
        <v>4700</v>
      </c>
      <c r="AI100" s="277">
        <f t="shared" si="6"/>
        <v>41907800</v>
      </c>
      <c r="AJ100" s="291">
        <f t="shared" si="7"/>
        <v>44.7732905982906</v>
      </c>
      <c r="AK100" s="277">
        <f t="shared" si="8"/>
        <v>51692200</v>
      </c>
      <c r="AL100" s="291">
        <f t="shared" si="9"/>
        <v>55.226709401709407</v>
      </c>
      <c r="AM100" s="277" t="s">
        <v>2781</v>
      </c>
      <c r="AN100" s="277" t="s">
        <v>4730</v>
      </c>
      <c r="AO100" s="277" t="s">
        <v>4736</v>
      </c>
      <c r="AP100" s="277" t="s">
        <v>4732</v>
      </c>
      <c r="AQ100" s="292">
        <f>SUM('PER BULAN'!AX164)</f>
        <v>0</v>
      </c>
      <c r="AR100" s="292">
        <f>SUM('PER BULAN'!AY164)</f>
        <v>17350000</v>
      </c>
      <c r="AS100" s="292">
        <f>SUM('PER BULAN'!AZ164)</f>
        <v>5040000</v>
      </c>
      <c r="AT100" s="292">
        <f>SUM('PER BULAN'!BA164)</f>
        <v>0</v>
      </c>
      <c r="AU100" s="292">
        <f>SUM('PER BULAN'!BB164)</f>
        <v>0</v>
      </c>
      <c r="AV100" s="292">
        <f>SUM('PER BULAN'!BC164)</f>
        <v>0</v>
      </c>
      <c r="AW100" s="292">
        <f>SUM('PER BULAN'!BD164)</f>
        <v>0</v>
      </c>
      <c r="AX100" s="292">
        <f>SUM('PER BULAN'!BE164)</f>
        <v>0</v>
      </c>
    </row>
    <row r="101" spans="1:50" s="278" customFormat="1" x14ac:dyDescent="0.3">
      <c r="A101" s="277" t="s">
        <v>4693</v>
      </c>
      <c r="B101" s="277" t="s">
        <v>4694</v>
      </c>
      <c r="C101" s="277" t="s">
        <v>4720</v>
      </c>
      <c r="D101" s="277" t="s">
        <v>4721</v>
      </c>
      <c r="E101" s="277" t="s">
        <v>197</v>
      </c>
      <c r="F101" s="277" t="s">
        <v>4722</v>
      </c>
      <c r="G101" s="277" t="s">
        <v>4778</v>
      </c>
      <c r="H101" s="277" t="s">
        <v>4779</v>
      </c>
      <c r="I101" s="277">
        <v>953</v>
      </c>
      <c r="J101" s="277" t="s">
        <v>4786</v>
      </c>
      <c r="K101" s="277">
        <v>301</v>
      </c>
      <c r="L101" s="277" t="s">
        <v>4785</v>
      </c>
      <c r="M101" s="277" t="s">
        <v>8</v>
      </c>
      <c r="N101" s="277" t="s">
        <v>4727</v>
      </c>
      <c r="O101" s="277">
        <v>521211</v>
      </c>
      <c r="P101" s="277" t="s">
        <v>4698</v>
      </c>
      <c r="Q101" s="278">
        <v>46000000</v>
      </c>
      <c r="R101" s="292">
        <f>SUM('PER BULAN'!G168:I168)</f>
        <v>0</v>
      </c>
      <c r="S101" s="292">
        <f>SUM('PER BULAN'!J168:L168)</f>
        <v>0</v>
      </c>
      <c r="T101" s="292">
        <f>SUM('PER BULAN'!M168:O168)</f>
        <v>0</v>
      </c>
      <c r="U101" s="292">
        <f>SUM('PER BULAN'!P168:R168)</f>
        <v>0</v>
      </c>
      <c r="V101" s="292">
        <f>SUM('PER BULAN'!S168:U168)</f>
        <v>6278500</v>
      </c>
      <c r="W101" s="292">
        <f>SUM('PER BULAN'!V168:X168)</f>
        <v>0</v>
      </c>
      <c r="X101" s="292">
        <f>SUM('PER BULAN'!Y168:AA168)</f>
        <v>0</v>
      </c>
      <c r="Y101" s="292">
        <f>SUM('PER BULAN'!AB168:AD168)</f>
        <v>0</v>
      </c>
      <c r="Z101" s="292">
        <f>SUM('PER BULAN'!AE168:AG168)</f>
        <v>0</v>
      </c>
      <c r="AA101" s="292">
        <f>SUM('PER BULAN'!AH168:AJ168)</f>
        <v>0</v>
      </c>
      <c r="AB101" s="292">
        <f>SUM('PER BULAN'!AK168:AM168)</f>
        <v>0</v>
      </c>
      <c r="AC101" s="292">
        <f>SUM('PER BULAN'!AN168:AP168)</f>
        <v>0</v>
      </c>
      <c r="AD101" s="277" t="s">
        <v>530</v>
      </c>
      <c r="AE101" s="277" t="s">
        <v>542</v>
      </c>
      <c r="AF101" s="277" t="s">
        <v>591</v>
      </c>
      <c r="AG101" s="277" t="s">
        <v>4699</v>
      </c>
      <c r="AH101" s="277" t="s">
        <v>4700</v>
      </c>
      <c r="AI101" s="277">
        <f t="shared" si="6"/>
        <v>6278500</v>
      </c>
      <c r="AJ101" s="291">
        <f t="shared" si="7"/>
        <v>13.648913043478261</v>
      </c>
      <c r="AK101" s="277">
        <f t="shared" si="8"/>
        <v>39721500</v>
      </c>
      <c r="AL101" s="291">
        <f t="shared" si="9"/>
        <v>86.35108695652174</v>
      </c>
      <c r="AM101" s="277" t="s">
        <v>3055</v>
      </c>
      <c r="AN101" s="277" t="s">
        <v>4730</v>
      </c>
      <c r="AO101" s="277" t="s">
        <v>4731</v>
      </c>
      <c r="AP101" s="277" t="s">
        <v>4732</v>
      </c>
      <c r="AQ101" s="292">
        <f>SUM('PER BULAN'!AX168)</f>
        <v>0</v>
      </c>
      <c r="AR101" s="292">
        <f>SUM('PER BULAN'!AY168)</f>
        <v>0</v>
      </c>
      <c r="AS101" s="292">
        <f>SUM('PER BULAN'!AZ168)</f>
        <v>0</v>
      </c>
      <c r="AT101" s="292">
        <f>SUM('PER BULAN'!BA168)</f>
        <v>0</v>
      </c>
      <c r="AU101" s="292">
        <f>SUM('PER BULAN'!BB168)</f>
        <v>0</v>
      </c>
      <c r="AV101" s="292">
        <f>SUM('PER BULAN'!BC168)</f>
        <v>0</v>
      </c>
      <c r="AW101" s="292">
        <f>SUM('PER BULAN'!BD168)</f>
        <v>6278500</v>
      </c>
      <c r="AX101" s="292">
        <f>SUM('PER BULAN'!BE168)</f>
        <v>0</v>
      </c>
    </row>
    <row r="102" spans="1:50" s="278" customFormat="1" x14ac:dyDescent="0.3">
      <c r="A102" s="277" t="s">
        <v>4693</v>
      </c>
      <c r="B102" s="277" t="s">
        <v>4694</v>
      </c>
      <c r="C102" s="277" t="s">
        <v>4720</v>
      </c>
      <c r="D102" s="277" t="s">
        <v>4721</v>
      </c>
      <c r="E102" s="277" t="s">
        <v>197</v>
      </c>
      <c r="F102" s="277" t="s">
        <v>4722</v>
      </c>
      <c r="G102" s="277" t="s">
        <v>4778</v>
      </c>
      <c r="H102" s="277" t="s">
        <v>4779</v>
      </c>
      <c r="I102" s="277">
        <v>953</v>
      </c>
      <c r="J102" s="277" t="s">
        <v>4786</v>
      </c>
      <c r="K102" s="277">
        <v>301</v>
      </c>
      <c r="L102" s="277" t="s">
        <v>4785</v>
      </c>
      <c r="M102" s="277" t="s">
        <v>8</v>
      </c>
      <c r="N102" s="277" t="s">
        <v>4727</v>
      </c>
      <c r="O102" s="277">
        <v>521219</v>
      </c>
      <c r="P102" s="277" t="s">
        <v>4711</v>
      </c>
      <c r="Q102" s="278">
        <v>2000000</v>
      </c>
      <c r="R102" s="292">
        <f>SUM('PER BULAN'!G169:I169)</f>
        <v>0</v>
      </c>
      <c r="S102" s="292">
        <f>SUM('PER BULAN'!J169:L169)</f>
        <v>0</v>
      </c>
      <c r="T102" s="292">
        <f>SUM('PER BULAN'!M169:O169)</f>
        <v>499528</v>
      </c>
      <c r="U102" s="292">
        <f>SUM('PER BULAN'!P169:R169)</f>
        <v>0</v>
      </c>
      <c r="V102" s="292">
        <f>SUM('PER BULAN'!S169:U169)</f>
        <v>0</v>
      </c>
      <c r="W102" s="292">
        <f>SUM('PER BULAN'!V169:X169)</f>
        <v>0</v>
      </c>
      <c r="X102" s="292">
        <f>SUM('PER BULAN'!Y169:AA169)</f>
        <v>0</v>
      </c>
      <c r="Y102" s="292">
        <f>SUM('PER BULAN'!AB169:AD169)</f>
        <v>0</v>
      </c>
      <c r="Z102" s="292">
        <f>SUM('PER BULAN'!AE169:AG169)</f>
        <v>0</v>
      </c>
      <c r="AA102" s="292">
        <f>SUM('PER BULAN'!AH169:AJ169)</f>
        <v>0</v>
      </c>
      <c r="AB102" s="292">
        <f>SUM('PER BULAN'!AK169:AM169)</f>
        <v>0</v>
      </c>
      <c r="AC102" s="292">
        <f>SUM('PER BULAN'!AN169:AP169)</f>
        <v>0</v>
      </c>
      <c r="AD102" s="277" t="s">
        <v>530</v>
      </c>
      <c r="AE102" s="277" t="s">
        <v>542</v>
      </c>
      <c r="AF102" s="277" t="s">
        <v>591</v>
      </c>
      <c r="AG102" s="277" t="s">
        <v>4699</v>
      </c>
      <c r="AH102" s="277" t="s">
        <v>4700</v>
      </c>
      <c r="AI102" s="277">
        <f t="shared" si="6"/>
        <v>499528</v>
      </c>
      <c r="AJ102" s="291">
        <f t="shared" si="7"/>
        <v>24.976400000000002</v>
      </c>
      <c r="AK102" s="277">
        <f t="shared" si="8"/>
        <v>1500472</v>
      </c>
      <c r="AL102" s="291">
        <f t="shared" si="9"/>
        <v>75.023600000000002</v>
      </c>
      <c r="AM102" s="277" t="s">
        <v>3061</v>
      </c>
      <c r="AN102" s="277" t="s">
        <v>4730</v>
      </c>
      <c r="AO102" s="277" t="s">
        <v>4733</v>
      </c>
      <c r="AP102" s="277" t="s">
        <v>4732</v>
      </c>
      <c r="AQ102" s="292">
        <f>SUM('PER BULAN'!AX169)</f>
        <v>0</v>
      </c>
      <c r="AR102" s="292">
        <f>SUM('PER BULAN'!AY169)</f>
        <v>499528</v>
      </c>
      <c r="AS102" s="292">
        <f>SUM('PER BULAN'!AZ169)</f>
        <v>0</v>
      </c>
      <c r="AT102" s="292">
        <f>SUM('PER BULAN'!BA169)</f>
        <v>0</v>
      </c>
      <c r="AU102" s="292">
        <f>SUM('PER BULAN'!BB169)</f>
        <v>0</v>
      </c>
      <c r="AV102" s="292">
        <f>SUM('PER BULAN'!BC169)</f>
        <v>0</v>
      </c>
      <c r="AW102" s="292">
        <f>SUM('PER BULAN'!BD169)</f>
        <v>0</v>
      </c>
      <c r="AX102" s="292">
        <f>SUM('PER BULAN'!BE169)</f>
        <v>0</v>
      </c>
    </row>
    <row r="103" spans="1:50" s="278" customFormat="1" x14ac:dyDescent="0.3">
      <c r="A103" s="277" t="s">
        <v>4693</v>
      </c>
      <c r="B103" s="277" t="s">
        <v>4694</v>
      </c>
      <c r="C103" s="277" t="s">
        <v>4720</v>
      </c>
      <c r="D103" s="277" t="s">
        <v>4721</v>
      </c>
      <c r="E103" s="277" t="s">
        <v>197</v>
      </c>
      <c r="F103" s="277" t="s">
        <v>4722</v>
      </c>
      <c r="G103" s="277" t="s">
        <v>4778</v>
      </c>
      <c r="H103" s="277" t="s">
        <v>4779</v>
      </c>
      <c r="I103" s="277">
        <v>953</v>
      </c>
      <c r="J103" s="277" t="s">
        <v>4786</v>
      </c>
      <c r="K103" s="277">
        <v>301</v>
      </c>
      <c r="L103" s="277" t="s">
        <v>4785</v>
      </c>
      <c r="M103" s="277" t="s">
        <v>8</v>
      </c>
      <c r="N103" s="277" t="s">
        <v>4727</v>
      </c>
      <c r="O103" s="277">
        <v>524111</v>
      </c>
      <c r="P103" s="277" t="s">
        <v>4702</v>
      </c>
      <c r="Q103" s="278">
        <v>247200000</v>
      </c>
      <c r="R103" s="292">
        <f>SUM('PER BULAN'!G171:I171)</f>
        <v>0</v>
      </c>
      <c r="S103" s="292">
        <f>SUM('PER BULAN'!J170:L170)</f>
        <v>0</v>
      </c>
      <c r="T103" s="292">
        <f>SUM('PER BULAN'!M170:O170)</f>
        <v>0</v>
      </c>
      <c r="U103" s="292">
        <f>SUM('PER BULAN'!P170:R170)</f>
        <v>0</v>
      </c>
      <c r="V103" s="292">
        <f>SUM('PER BULAN'!S170:U170)</f>
        <v>0</v>
      </c>
      <c r="W103" s="292">
        <f>SUM('PER BULAN'!V170:X170)</f>
        <v>0</v>
      </c>
      <c r="X103" s="292">
        <f>SUM('PER BULAN'!Y170:AA170)</f>
        <v>0</v>
      </c>
      <c r="Y103" s="292">
        <f>SUM('PER BULAN'!AB170:AD170)</f>
        <v>0</v>
      </c>
      <c r="Z103" s="292">
        <f>SUM('PER BULAN'!AE170:AG170)</f>
        <v>0</v>
      </c>
      <c r="AA103" s="292">
        <f>SUM('PER BULAN'!AH170:AJ170)</f>
        <v>0</v>
      </c>
      <c r="AB103" s="292">
        <f>SUM('PER BULAN'!AK170:AM170)</f>
        <v>0</v>
      </c>
      <c r="AC103" s="292">
        <f>SUM('PER BULAN'!AN170:AP170)</f>
        <v>0</v>
      </c>
      <c r="AD103" s="277" t="s">
        <v>530</v>
      </c>
      <c r="AE103" s="277" t="s">
        <v>542</v>
      </c>
      <c r="AF103" s="277" t="s">
        <v>591</v>
      </c>
      <c r="AG103" s="277" t="s">
        <v>4699</v>
      </c>
      <c r="AH103" s="277" t="s">
        <v>4700</v>
      </c>
      <c r="AI103" s="277">
        <f t="shared" si="6"/>
        <v>0</v>
      </c>
      <c r="AJ103" s="291">
        <f t="shared" si="7"/>
        <v>0</v>
      </c>
      <c r="AK103" s="277">
        <f t="shared" si="8"/>
        <v>247200000</v>
      </c>
      <c r="AL103" s="291">
        <f t="shared" si="9"/>
        <v>100</v>
      </c>
      <c r="AM103" s="277" t="s">
        <v>3064</v>
      </c>
      <c r="AN103" s="277" t="s">
        <v>4730</v>
      </c>
      <c r="AO103" s="277" t="s">
        <v>4736</v>
      </c>
      <c r="AP103" s="277" t="s">
        <v>4732</v>
      </c>
      <c r="AQ103" s="292">
        <f>SUM('PER BULAN'!AX170)</f>
        <v>0</v>
      </c>
      <c r="AR103" s="292">
        <f>SUM('PER BULAN'!AY170)</f>
        <v>0</v>
      </c>
      <c r="AS103" s="292">
        <f>SUM('PER BULAN'!AZ170)</f>
        <v>0</v>
      </c>
      <c r="AT103" s="292">
        <f>SUM('PER BULAN'!BA170)</f>
        <v>0</v>
      </c>
      <c r="AU103" s="292">
        <f>SUM('PER BULAN'!BB170)</f>
        <v>0</v>
      </c>
      <c r="AV103" s="292">
        <f>SUM('PER BULAN'!BC170)</f>
        <v>0</v>
      </c>
      <c r="AW103" s="292">
        <f>SUM('PER BULAN'!BD170)</f>
        <v>0</v>
      </c>
      <c r="AX103" s="292">
        <f>SUM('PER BULAN'!BE170)</f>
        <v>0</v>
      </c>
    </row>
    <row r="104" spans="1:50" s="278" customFormat="1" x14ac:dyDescent="0.3">
      <c r="A104" s="277" t="s">
        <v>4693</v>
      </c>
      <c r="B104" s="277" t="s">
        <v>4694</v>
      </c>
      <c r="C104" s="277" t="s">
        <v>4720</v>
      </c>
      <c r="D104" s="277" t="s">
        <v>4721</v>
      </c>
      <c r="E104" s="277" t="s">
        <v>197</v>
      </c>
      <c r="F104" s="277" t="s">
        <v>4722</v>
      </c>
      <c r="G104" s="277" t="s">
        <v>4778</v>
      </c>
      <c r="H104" s="277" t="s">
        <v>4779</v>
      </c>
      <c r="I104" s="277">
        <v>953</v>
      </c>
      <c r="J104" s="277" t="s">
        <v>4786</v>
      </c>
      <c r="K104" s="277">
        <v>301</v>
      </c>
      <c r="L104" s="277" t="s">
        <v>4785</v>
      </c>
      <c r="M104" s="277" t="s">
        <v>511</v>
      </c>
      <c r="N104" s="277" t="s">
        <v>4728</v>
      </c>
      <c r="O104" s="277">
        <v>521211</v>
      </c>
      <c r="P104" s="277" t="s">
        <v>4698</v>
      </c>
      <c r="Q104" s="278">
        <v>41000000</v>
      </c>
      <c r="R104" s="292">
        <f>SUM('PER BULAN'!G172:I172)</f>
        <v>0</v>
      </c>
      <c r="S104" s="292">
        <f>SUM('PER BULAN'!J172:L172)</f>
        <v>0</v>
      </c>
      <c r="T104" s="292">
        <f>SUM('PER BULAN'!M172:O172)</f>
        <v>3379000</v>
      </c>
      <c r="U104" s="292">
        <f>SUM('PER BULAN'!P172:R172)</f>
        <v>0</v>
      </c>
      <c r="V104" s="292">
        <f>SUM('PER BULAN'!S172:U172)</f>
        <v>3500000</v>
      </c>
      <c r="W104" s="292">
        <f>SUM('PER BULAN'!V172:X172)</f>
        <v>2640000</v>
      </c>
      <c r="X104" s="292">
        <f>SUM('PER BULAN'!Y172:AA172)</f>
        <v>0</v>
      </c>
      <c r="Y104" s="292">
        <f>SUM('PER BULAN'!AB172:AD172)</f>
        <v>0</v>
      </c>
      <c r="Z104" s="292">
        <f>SUM('PER BULAN'!AE172:AG172)</f>
        <v>0</v>
      </c>
      <c r="AA104" s="292">
        <f>SUM('PER BULAN'!AH172:AJ172)</f>
        <v>0</v>
      </c>
      <c r="AB104" s="292">
        <f>SUM('PER BULAN'!AK172:AM172)</f>
        <v>0</v>
      </c>
      <c r="AC104" s="292">
        <f>SUM('PER BULAN'!AN172:AP172)</f>
        <v>0</v>
      </c>
      <c r="AD104" s="277" t="s">
        <v>530</v>
      </c>
      <c r="AE104" s="277" t="s">
        <v>542</v>
      </c>
      <c r="AF104" s="277" t="s">
        <v>591</v>
      </c>
      <c r="AG104" s="277" t="s">
        <v>4699</v>
      </c>
      <c r="AH104" s="277" t="s">
        <v>4700</v>
      </c>
      <c r="AI104" s="277">
        <f t="shared" si="6"/>
        <v>9519000</v>
      </c>
      <c r="AJ104" s="291">
        <f t="shared" si="7"/>
        <v>23.217073170731709</v>
      </c>
      <c r="AK104" s="277">
        <f t="shared" si="8"/>
        <v>31481000</v>
      </c>
      <c r="AL104" s="291">
        <f t="shared" si="9"/>
        <v>76.782926829268291</v>
      </c>
      <c r="AM104" s="277" t="s">
        <v>3068</v>
      </c>
      <c r="AN104" s="277" t="s">
        <v>4730</v>
      </c>
      <c r="AO104" s="277" t="s">
        <v>4731</v>
      </c>
      <c r="AP104" s="277" t="s">
        <v>4732</v>
      </c>
      <c r="AQ104" s="292">
        <f>SUM('PER BULAN'!AX172)</f>
        <v>0</v>
      </c>
      <c r="AR104" s="292">
        <f>SUM('PER BULAN'!AY172)</f>
        <v>2499000</v>
      </c>
      <c r="AS104" s="292">
        <f>SUM('PER BULAN'!AZ172)</f>
        <v>880000</v>
      </c>
      <c r="AT104" s="292">
        <f>SUM('PER BULAN'!BA172)</f>
        <v>0</v>
      </c>
      <c r="AU104" s="292">
        <f>SUM('PER BULAN'!BB172)</f>
        <v>0</v>
      </c>
      <c r="AV104" s="292">
        <f>SUM('PER BULAN'!BC172)</f>
        <v>0</v>
      </c>
      <c r="AW104" s="292">
        <f>SUM('PER BULAN'!BD172)</f>
        <v>3500000</v>
      </c>
      <c r="AX104" s="292">
        <f>SUM('PER BULAN'!BE172)</f>
        <v>2640000</v>
      </c>
    </row>
    <row r="105" spans="1:50" s="278" customFormat="1" x14ac:dyDescent="0.3">
      <c r="A105" s="277" t="s">
        <v>4693</v>
      </c>
      <c r="B105" s="277" t="s">
        <v>4694</v>
      </c>
      <c r="C105" s="277" t="s">
        <v>4720</v>
      </c>
      <c r="D105" s="277" t="s">
        <v>4721</v>
      </c>
      <c r="E105" s="277" t="s">
        <v>197</v>
      </c>
      <c r="F105" s="277" t="s">
        <v>4722</v>
      </c>
      <c r="G105" s="277" t="s">
        <v>4778</v>
      </c>
      <c r="H105" s="277" t="s">
        <v>4779</v>
      </c>
      <c r="I105" s="277">
        <v>953</v>
      </c>
      <c r="J105" s="277" t="s">
        <v>4786</v>
      </c>
      <c r="K105" s="277">
        <v>301</v>
      </c>
      <c r="L105" s="277" t="s">
        <v>4785</v>
      </c>
      <c r="M105" s="277" t="s">
        <v>511</v>
      </c>
      <c r="N105" s="277" t="s">
        <v>4728</v>
      </c>
      <c r="O105" s="277">
        <v>521219</v>
      </c>
      <c r="P105" s="277" t="s">
        <v>4711</v>
      </c>
      <c r="Q105" s="278">
        <v>32000000</v>
      </c>
      <c r="R105" s="292">
        <f>SUM('PER BULAN'!G173:I173)</f>
        <v>0</v>
      </c>
      <c r="S105" s="292">
        <f>SUM('PER BULAN'!J173:L173)</f>
        <v>0</v>
      </c>
      <c r="T105" s="292">
        <f>SUM('PER BULAN'!M173:O173)</f>
        <v>0</v>
      </c>
      <c r="U105" s="292">
        <f>SUM('PER BULAN'!P173:R173)</f>
        <v>0</v>
      </c>
      <c r="V105" s="292">
        <f>SUM('PER BULAN'!S173:U173)</f>
        <v>603014</v>
      </c>
      <c r="W105" s="292">
        <f>SUM('PER BULAN'!V173:X173)</f>
        <v>0</v>
      </c>
      <c r="X105" s="292">
        <f>SUM('PER BULAN'!Y173:AA173)</f>
        <v>0</v>
      </c>
      <c r="Y105" s="292">
        <f>SUM('PER BULAN'!AB173:AD173)</f>
        <v>0</v>
      </c>
      <c r="Z105" s="292">
        <f>SUM('PER BULAN'!AE173:AG173)</f>
        <v>0</v>
      </c>
      <c r="AA105" s="292">
        <f>SUM('PER BULAN'!AH173:AJ173)</f>
        <v>0</v>
      </c>
      <c r="AB105" s="292">
        <f>SUM('PER BULAN'!AK173:AM173)</f>
        <v>0</v>
      </c>
      <c r="AC105" s="292">
        <f>SUM('PER BULAN'!AN173:AP173)</f>
        <v>0</v>
      </c>
      <c r="AD105" s="277" t="s">
        <v>530</v>
      </c>
      <c r="AE105" s="277" t="s">
        <v>542</v>
      </c>
      <c r="AF105" s="277" t="s">
        <v>591</v>
      </c>
      <c r="AG105" s="277" t="s">
        <v>4699</v>
      </c>
      <c r="AH105" s="277" t="s">
        <v>4700</v>
      </c>
      <c r="AI105" s="277">
        <f t="shared" si="6"/>
        <v>603014</v>
      </c>
      <c r="AJ105" s="291">
        <f t="shared" si="7"/>
        <v>1.8844187500000003</v>
      </c>
      <c r="AK105" s="277">
        <f t="shared" si="8"/>
        <v>31396986</v>
      </c>
      <c r="AL105" s="291">
        <f t="shared" si="9"/>
        <v>98.115581249999991</v>
      </c>
      <c r="AM105" s="277" t="s">
        <v>3077</v>
      </c>
      <c r="AN105" s="277" t="s">
        <v>4730</v>
      </c>
      <c r="AO105" s="277" t="s">
        <v>4733</v>
      </c>
      <c r="AP105" s="277" t="s">
        <v>4732</v>
      </c>
      <c r="AQ105" s="292">
        <f>SUM('PER BULAN'!AX173)</f>
        <v>0</v>
      </c>
      <c r="AR105" s="292">
        <f>SUM('PER BULAN'!AY173)</f>
        <v>0</v>
      </c>
      <c r="AS105" s="292">
        <f>SUM('PER BULAN'!AZ173)</f>
        <v>0</v>
      </c>
      <c r="AT105" s="292">
        <f>SUM('PER BULAN'!BA173)</f>
        <v>0</v>
      </c>
      <c r="AU105" s="292">
        <f>SUM('PER BULAN'!BB173)</f>
        <v>0</v>
      </c>
      <c r="AV105" s="292">
        <f>SUM('PER BULAN'!BC173)</f>
        <v>300383</v>
      </c>
      <c r="AW105" s="292">
        <f>SUM('PER BULAN'!BD173)</f>
        <v>302631</v>
      </c>
      <c r="AX105" s="292">
        <f>SUM('PER BULAN'!BE173)</f>
        <v>0</v>
      </c>
    </row>
    <row r="106" spans="1:50" s="278" customFormat="1" x14ac:dyDescent="0.3">
      <c r="A106" s="277" t="s">
        <v>4693</v>
      </c>
      <c r="B106" s="277" t="s">
        <v>4694</v>
      </c>
      <c r="C106" s="277" t="s">
        <v>4720</v>
      </c>
      <c r="D106" s="277" t="s">
        <v>4721</v>
      </c>
      <c r="E106" s="277" t="s">
        <v>197</v>
      </c>
      <c r="F106" s="277" t="s">
        <v>4722</v>
      </c>
      <c r="G106" s="277" t="s">
        <v>4778</v>
      </c>
      <c r="H106" s="277" t="s">
        <v>4779</v>
      </c>
      <c r="I106" s="277">
        <v>953</v>
      </c>
      <c r="J106" s="277" t="s">
        <v>4786</v>
      </c>
      <c r="K106" s="277">
        <v>301</v>
      </c>
      <c r="L106" s="277" t="s">
        <v>4785</v>
      </c>
      <c r="M106" s="277" t="s">
        <v>511</v>
      </c>
      <c r="N106" s="277" t="s">
        <v>4728</v>
      </c>
      <c r="O106" s="277">
        <v>522151</v>
      </c>
      <c r="P106" s="277" t="s">
        <v>4701</v>
      </c>
      <c r="Q106" s="278">
        <v>10000000</v>
      </c>
      <c r="R106" s="292">
        <f>SUM('PER BULAN'!G174:I174)</f>
        <v>0</v>
      </c>
      <c r="S106" s="292">
        <f>SUM('PER BULAN'!J174:L174)</f>
        <v>0</v>
      </c>
      <c r="T106" s="292">
        <f>SUM('PER BULAN'!M174:O174)</f>
        <v>0</v>
      </c>
      <c r="U106" s="292">
        <f>SUM('PER BULAN'!P174:R174)</f>
        <v>0</v>
      </c>
      <c r="V106" s="292">
        <f>SUM('PER BULAN'!S174:U174)</f>
        <v>0</v>
      </c>
      <c r="W106" s="292">
        <f>SUM('PER BULAN'!V174:X174)</f>
        <v>0</v>
      </c>
      <c r="X106" s="292">
        <f>SUM('PER BULAN'!Y174:AA174)</f>
        <v>0</v>
      </c>
      <c r="Y106" s="292">
        <f>SUM('PER BULAN'!AB174:AD174)</f>
        <v>0</v>
      </c>
      <c r="Z106" s="292">
        <f>SUM('PER BULAN'!AE174:AG174)</f>
        <v>0</v>
      </c>
      <c r="AA106" s="292">
        <f>SUM('PER BULAN'!AH174:AJ174)</f>
        <v>0</v>
      </c>
      <c r="AB106" s="292">
        <f>SUM('PER BULAN'!AK174:AM174)</f>
        <v>0</v>
      </c>
      <c r="AC106" s="292">
        <f>SUM('PER BULAN'!AN174:AP174)</f>
        <v>0</v>
      </c>
      <c r="AD106" s="277" t="s">
        <v>530</v>
      </c>
      <c r="AE106" s="277" t="s">
        <v>542</v>
      </c>
      <c r="AF106" s="277" t="s">
        <v>591</v>
      </c>
      <c r="AG106" s="277" t="s">
        <v>4699</v>
      </c>
      <c r="AH106" s="277" t="s">
        <v>4700</v>
      </c>
      <c r="AI106" s="277">
        <f t="shared" si="6"/>
        <v>0</v>
      </c>
      <c r="AJ106" s="291">
        <f t="shared" si="7"/>
        <v>0</v>
      </c>
      <c r="AK106" s="277">
        <f t="shared" si="8"/>
        <v>10000000</v>
      </c>
      <c r="AL106" s="291">
        <f t="shared" si="9"/>
        <v>100</v>
      </c>
      <c r="AM106" s="277" t="s">
        <v>3082</v>
      </c>
      <c r="AN106" s="277" t="s">
        <v>4730</v>
      </c>
      <c r="AO106" s="277" t="s">
        <v>4735</v>
      </c>
      <c r="AP106" s="277" t="s">
        <v>4732</v>
      </c>
      <c r="AQ106" s="292">
        <f>SUM('PER BULAN'!AX174)</f>
        <v>0</v>
      </c>
      <c r="AR106" s="292">
        <f>SUM('PER BULAN'!AY174)</f>
        <v>0</v>
      </c>
      <c r="AS106" s="292">
        <f>SUM('PER BULAN'!AZ174)</f>
        <v>0</v>
      </c>
      <c r="AT106" s="292">
        <f>SUM('PER BULAN'!BA174)</f>
        <v>0</v>
      </c>
      <c r="AU106" s="292">
        <f>SUM('PER BULAN'!BB174)</f>
        <v>0</v>
      </c>
      <c r="AV106" s="292">
        <f>SUM('PER BULAN'!BC174)</f>
        <v>0</v>
      </c>
      <c r="AW106" s="292">
        <f>SUM('PER BULAN'!BD174)</f>
        <v>0</v>
      </c>
      <c r="AX106" s="292">
        <f>SUM('PER BULAN'!BE174)</f>
        <v>0</v>
      </c>
    </row>
    <row r="107" spans="1:50" s="278" customFormat="1" x14ac:dyDescent="0.3">
      <c r="A107" s="277" t="s">
        <v>4693</v>
      </c>
      <c r="B107" s="277" t="s">
        <v>4694</v>
      </c>
      <c r="C107" s="277" t="s">
        <v>4720</v>
      </c>
      <c r="D107" s="277" t="s">
        <v>4721</v>
      </c>
      <c r="E107" s="277" t="s">
        <v>197</v>
      </c>
      <c r="F107" s="277" t="s">
        <v>4722</v>
      </c>
      <c r="G107" s="277" t="s">
        <v>4778</v>
      </c>
      <c r="H107" s="277" t="s">
        <v>4779</v>
      </c>
      <c r="I107" s="277">
        <v>953</v>
      </c>
      <c r="J107" s="277" t="s">
        <v>4786</v>
      </c>
      <c r="K107" s="277">
        <v>301</v>
      </c>
      <c r="L107" s="277" t="s">
        <v>4785</v>
      </c>
      <c r="M107" s="277" t="s">
        <v>511</v>
      </c>
      <c r="N107" s="277" t="s">
        <v>4728</v>
      </c>
      <c r="O107" s="277">
        <v>524111</v>
      </c>
      <c r="P107" s="277" t="s">
        <v>4702</v>
      </c>
      <c r="Q107" s="278">
        <v>120000000</v>
      </c>
      <c r="R107" s="292">
        <f>SUM('PER BULAN'!G175:I175)</f>
        <v>0</v>
      </c>
      <c r="S107" s="292">
        <f>SUM('PER BULAN'!J175:L175)</f>
        <v>0</v>
      </c>
      <c r="T107" s="292">
        <f>SUM('PER BULAN'!M175:O175)</f>
        <v>0</v>
      </c>
      <c r="U107" s="292">
        <f>SUM('PER BULAN'!P175:R175)</f>
        <v>524500</v>
      </c>
      <c r="V107" s="292">
        <f>SUM('PER BULAN'!S175:U175)</f>
        <v>21422224</v>
      </c>
      <c r="W107" s="292">
        <f>SUM('PER BULAN'!V175:X175)</f>
        <v>0</v>
      </c>
      <c r="X107" s="292">
        <f>SUM('PER BULAN'!Y175:AA175)</f>
        <v>0</v>
      </c>
      <c r="Y107" s="292">
        <f>SUM('PER BULAN'!AB175:AD175)</f>
        <v>0</v>
      </c>
      <c r="Z107" s="292">
        <f>SUM('PER BULAN'!AE175:AG175)</f>
        <v>0</v>
      </c>
      <c r="AA107" s="292">
        <f>SUM('PER BULAN'!AH175:AJ175)</f>
        <v>0</v>
      </c>
      <c r="AB107" s="292">
        <f>SUM('PER BULAN'!AK175:AM175)</f>
        <v>0</v>
      </c>
      <c r="AC107" s="292">
        <f>SUM('PER BULAN'!AN175:AP175)</f>
        <v>0</v>
      </c>
      <c r="AD107" s="277" t="s">
        <v>530</v>
      </c>
      <c r="AE107" s="277" t="s">
        <v>542</v>
      </c>
      <c r="AF107" s="277" t="s">
        <v>591</v>
      </c>
      <c r="AG107" s="277" t="s">
        <v>4699</v>
      </c>
      <c r="AH107" s="277" t="s">
        <v>4700</v>
      </c>
      <c r="AI107" s="277">
        <f t="shared" si="6"/>
        <v>21946724</v>
      </c>
      <c r="AJ107" s="291">
        <f t="shared" si="7"/>
        <v>18.288936666666665</v>
      </c>
      <c r="AK107" s="277">
        <f t="shared" si="8"/>
        <v>98053276</v>
      </c>
      <c r="AL107" s="291">
        <f t="shared" si="9"/>
        <v>81.711063333333328</v>
      </c>
      <c r="AM107" s="277" t="s">
        <v>3084</v>
      </c>
      <c r="AN107" s="277" t="s">
        <v>4730</v>
      </c>
      <c r="AO107" s="277" t="s">
        <v>4736</v>
      </c>
      <c r="AP107" s="277" t="s">
        <v>4732</v>
      </c>
      <c r="AQ107" s="292">
        <f>SUM('PER BULAN'!AX175)</f>
        <v>0</v>
      </c>
      <c r="AR107" s="292">
        <f>SUM('PER BULAN'!AY175)</f>
        <v>0</v>
      </c>
      <c r="AS107" s="292">
        <f>SUM('PER BULAN'!AZ175)</f>
        <v>0</v>
      </c>
      <c r="AT107" s="292">
        <f>SUM('PER BULAN'!BA175)</f>
        <v>0</v>
      </c>
      <c r="AU107" s="292">
        <f>SUM('PER BULAN'!BB175)</f>
        <v>0</v>
      </c>
      <c r="AV107" s="292">
        <f>SUM('PER BULAN'!BC175)</f>
        <v>0</v>
      </c>
      <c r="AW107" s="292">
        <f>SUM('PER BULAN'!BD175)</f>
        <v>21422224</v>
      </c>
      <c r="AX107" s="292">
        <f>SUM('PER BULAN'!BE175)</f>
        <v>0</v>
      </c>
    </row>
    <row r="108" spans="1:50" s="278" customFormat="1" x14ac:dyDescent="0.3">
      <c r="A108" s="277" t="s">
        <v>4693</v>
      </c>
      <c r="B108" s="277" t="s">
        <v>4694</v>
      </c>
      <c r="C108" s="277" t="s">
        <v>4720</v>
      </c>
      <c r="D108" s="277" t="s">
        <v>4721</v>
      </c>
      <c r="E108" s="277" t="s">
        <v>197</v>
      </c>
      <c r="F108" s="277" t="s">
        <v>4722</v>
      </c>
      <c r="G108" s="277" t="s">
        <v>4778</v>
      </c>
      <c r="H108" s="277" t="s">
        <v>4779</v>
      </c>
      <c r="I108" s="277">
        <v>953</v>
      </c>
      <c r="J108" s="277" t="s">
        <v>4786</v>
      </c>
      <c r="K108" s="277">
        <v>301</v>
      </c>
      <c r="L108" s="277" t="s">
        <v>4785</v>
      </c>
      <c r="M108" s="277" t="s">
        <v>511</v>
      </c>
      <c r="N108" s="277" t="s">
        <v>4728</v>
      </c>
      <c r="O108" s="277">
        <v>524113</v>
      </c>
      <c r="P108" s="277" t="s">
        <v>508</v>
      </c>
      <c r="Q108" s="278">
        <v>9000000</v>
      </c>
      <c r="R108" s="292">
        <f>SUM('PER BULAN'!G178:I178)</f>
        <v>0</v>
      </c>
      <c r="S108" s="292">
        <f>SUM('PER BULAN'!J176:L176)</f>
        <v>0</v>
      </c>
      <c r="T108" s="292">
        <f>SUM('PER BULAN'!M176:O176)</f>
        <v>0</v>
      </c>
      <c r="U108" s="292">
        <f>SUM('PER BULAN'!P176:R176)</f>
        <v>0</v>
      </c>
      <c r="V108" s="292">
        <f>SUM('PER BULAN'!S176:U176)</f>
        <v>0</v>
      </c>
      <c r="W108" s="292">
        <f>SUM('PER BULAN'!V176:X176)</f>
        <v>38467531</v>
      </c>
      <c r="X108" s="292">
        <f>SUM('PER BULAN'!Y176:AA176)</f>
        <v>0</v>
      </c>
      <c r="Y108" s="292">
        <f>SUM('PER BULAN'!AB176:AD176)</f>
        <v>0</v>
      </c>
      <c r="Z108" s="292">
        <f>SUM('PER BULAN'!AE176:AG176)</f>
        <v>0</v>
      </c>
      <c r="AA108" s="292">
        <f>SUM('PER BULAN'!AH176:AJ176)</f>
        <v>0</v>
      </c>
      <c r="AB108" s="292">
        <f>SUM('PER BULAN'!AK176:AM176)</f>
        <v>0</v>
      </c>
      <c r="AC108" s="292">
        <f>SUM('PER BULAN'!AN176:AP176)</f>
        <v>0</v>
      </c>
      <c r="AD108" s="277" t="s">
        <v>530</v>
      </c>
      <c r="AE108" s="277" t="s">
        <v>542</v>
      </c>
      <c r="AF108" s="277" t="s">
        <v>591</v>
      </c>
      <c r="AG108" s="277" t="s">
        <v>4699</v>
      </c>
      <c r="AH108" s="277" t="s">
        <v>4700</v>
      </c>
      <c r="AI108" s="277">
        <f t="shared" si="6"/>
        <v>38467531</v>
      </c>
      <c r="AJ108" s="291">
        <f t="shared" si="7"/>
        <v>427.41701111111115</v>
      </c>
      <c r="AK108" s="277">
        <f t="shared" si="8"/>
        <v>-29467531</v>
      </c>
      <c r="AL108" s="291">
        <f t="shared" si="9"/>
        <v>-327.41701111111115</v>
      </c>
      <c r="AM108" s="277" t="s">
        <v>3087</v>
      </c>
      <c r="AN108" s="277" t="s">
        <v>4730</v>
      </c>
      <c r="AO108" s="277" t="s">
        <v>4738</v>
      </c>
      <c r="AP108" s="277" t="s">
        <v>4732</v>
      </c>
      <c r="AQ108" s="292">
        <f>SUM('PER BULAN'!AX176)</f>
        <v>0</v>
      </c>
      <c r="AR108" s="292">
        <f>SUM('PER BULAN'!AY176)</f>
        <v>0</v>
      </c>
      <c r="AS108" s="292">
        <f>SUM('PER BULAN'!AZ176)</f>
        <v>0</v>
      </c>
      <c r="AT108" s="292">
        <f>SUM('PER BULAN'!BA176)</f>
        <v>0</v>
      </c>
      <c r="AU108" s="292">
        <f>SUM('PER BULAN'!BB176)</f>
        <v>0</v>
      </c>
      <c r="AV108" s="292">
        <f>SUM('PER BULAN'!BC176)</f>
        <v>0</v>
      </c>
      <c r="AW108" s="292">
        <f>SUM('PER BULAN'!BD176)</f>
        <v>0</v>
      </c>
      <c r="AX108" s="292">
        <f>SUM('PER BULAN'!BE176)</f>
        <v>0</v>
      </c>
    </row>
    <row r="109" spans="1:50" s="278" customFormat="1" x14ac:dyDescent="0.3">
      <c r="A109" s="277" t="s">
        <v>4693</v>
      </c>
      <c r="B109" s="277" t="s">
        <v>4694</v>
      </c>
      <c r="C109" s="277" t="s">
        <v>4720</v>
      </c>
      <c r="D109" s="277" t="s">
        <v>4721</v>
      </c>
      <c r="E109" s="277" t="s">
        <v>197</v>
      </c>
      <c r="F109" s="277" t="s">
        <v>4722</v>
      </c>
      <c r="G109" s="277" t="s">
        <v>4778</v>
      </c>
      <c r="H109" s="277" t="s">
        <v>4779</v>
      </c>
      <c r="I109" s="277">
        <v>953</v>
      </c>
      <c r="J109" s="277" t="s">
        <v>4786</v>
      </c>
      <c r="K109" s="277">
        <v>302</v>
      </c>
      <c r="L109" s="277" t="s">
        <v>4787</v>
      </c>
      <c r="M109" s="277" t="s">
        <v>8</v>
      </c>
      <c r="N109" s="277" t="s">
        <v>4788</v>
      </c>
      <c r="O109" s="277">
        <v>521211</v>
      </c>
      <c r="P109" s="277" t="s">
        <v>4698</v>
      </c>
      <c r="Q109" s="278">
        <v>35500000</v>
      </c>
      <c r="R109" s="292">
        <f>SUM('PER BULAN'!G179:I179)</f>
        <v>0</v>
      </c>
      <c r="S109" s="292">
        <f>SUM('PER BULAN'!J179:L179)</f>
        <v>0</v>
      </c>
      <c r="T109" s="292">
        <f>SUM('PER BULAN'!M179:O179)</f>
        <v>3358000</v>
      </c>
      <c r="U109" s="292">
        <f>SUM('PER BULAN'!P179:R179)</f>
        <v>0</v>
      </c>
      <c r="V109" s="292">
        <f>SUM('PER BULAN'!S179:U179)</f>
        <v>4986000</v>
      </c>
      <c r="W109" s="292">
        <f>SUM('PER BULAN'!V179:X179)</f>
        <v>0</v>
      </c>
      <c r="X109" s="292">
        <f>SUM('PER BULAN'!Y179:AA179)</f>
        <v>0</v>
      </c>
      <c r="Y109" s="292">
        <f>SUM('PER BULAN'!AB179:AD179)</f>
        <v>0</v>
      </c>
      <c r="Z109" s="292">
        <f>SUM('PER BULAN'!AE179:AG179)</f>
        <v>0</v>
      </c>
      <c r="AA109" s="292">
        <f>SUM('PER BULAN'!AH179:AJ179)</f>
        <v>0</v>
      </c>
      <c r="AB109" s="292">
        <f>SUM('PER BULAN'!AK179:AM179)</f>
        <v>0</v>
      </c>
      <c r="AC109" s="292">
        <f>SUM('PER BULAN'!AN179:AP179)</f>
        <v>0</v>
      </c>
      <c r="AD109" s="277" t="s">
        <v>530</v>
      </c>
      <c r="AE109" s="277" t="s">
        <v>542</v>
      </c>
      <c r="AF109" s="277" t="s">
        <v>591</v>
      </c>
      <c r="AG109" s="277" t="s">
        <v>4699</v>
      </c>
      <c r="AH109" s="277" t="s">
        <v>4700</v>
      </c>
      <c r="AI109" s="277">
        <f t="shared" si="6"/>
        <v>8344000</v>
      </c>
      <c r="AJ109" s="291">
        <f t="shared" si="7"/>
        <v>23.504225352112677</v>
      </c>
      <c r="AK109" s="277">
        <f t="shared" si="8"/>
        <v>27156000</v>
      </c>
      <c r="AL109" s="291">
        <f t="shared" si="9"/>
        <v>76.49577464788733</v>
      </c>
      <c r="AM109" s="277" t="s">
        <v>4833</v>
      </c>
      <c r="AN109" s="277" t="s">
        <v>4730</v>
      </c>
      <c r="AO109" s="277" t="s">
        <v>4731</v>
      </c>
      <c r="AP109" s="277" t="s">
        <v>4732</v>
      </c>
      <c r="AQ109" s="292">
        <f>SUM('PER BULAN'!AX179)</f>
        <v>0</v>
      </c>
      <c r="AR109" s="292">
        <f>SUM('PER BULAN'!AY179)</f>
        <v>2498000</v>
      </c>
      <c r="AS109" s="292">
        <f>SUM('PER BULAN'!AZ179)</f>
        <v>860000</v>
      </c>
      <c r="AT109" s="292">
        <f>SUM('PER BULAN'!BA179)</f>
        <v>0</v>
      </c>
      <c r="AU109" s="292">
        <f>SUM('PER BULAN'!BB179)</f>
        <v>0</v>
      </c>
      <c r="AV109" s="292">
        <f>SUM('PER BULAN'!BC179)</f>
        <v>0</v>
      </c>
      <c r="AW109" s="292">
        <f>SUM('PER BULAN'!BD179)</f>
        <v>4986000</v>
      </c>
      <c r="AX109" s="292">
        <f>SUM('PER BULAN'!BE179)</f>
        <v>0</v>
      </c>
    </row>
    <row r="110" spans="1:50" s="278" customFormat="1" x14ac:dyDescent="0.3">
      <c r="A110" s="277" t="s">
        <v>4693</v>
      </c>
      <c r="B110" s="277" t="s">
        <v>4694</v>
      </c>
      <c r="C110" s="277" t="s">
        <v>4720</v>
      </c>
      <c r="D110" s="277" t="s">
        <v>4721</v>
      </c>
      <c r="E110" s="277" t="s">
        <v>197</v>
      </c>
      <c r="F110" s="277" t="s">
        <v>4722</v>
      </c>
      <c r="G110" s="277" t="s">
        <v>4778</v>
      </c>
      <c r="H110" s="277" t="s">
        <v>4779</v>
      </c>
      <c r="I110" s="277">
        <v>953</v>
      </c>
      <c r="J110" s="277" t="s">
        <v>4786</v>
      </c>
      <c r="K110" s="277">
        <v>302</v>
      </c>
      <c r="L110" s="277" t="s">
        <v>4787</v>
      </c>
      <c r="M110" s="277" t="s">
        <v>8</v>
      </c>
      <c r="N110" s="277" t="s">
        <v>4788</v>
      </c>
      <c r="O110" s="277">
        <v>521219</v>
      </c>
      <c r="P110" s="277" t="s">
        <v>4711</v>
      </c>
      <c r="Q110" s="278">
        <v>2000000</v>
      </c>
      <c r="R110" s="292">
        <f>SUM('PER BULAN'!G180:I180)</f>
        <v>0</v>
      </c>
      <c r="S110" s="292">
        <f>SUM('PER BULAN'!J180:L180)</f>
        <v>0</v>
      </c>
      <c r="T110" s="292">
        <f>SUM('PER BULAN'!M180:O180)</f>
        <v>0</v>
      </c>
      <c r="U110" s="292">
        <f>SUM('PER BULAN'!P180:R180)</f>
        <v>0</v>
      </c>
      <c r="V110" s="292">
        <f>SUM('PER BULAN'!S180:U180)</f>
        <v>0</v>
      </c>
      <c r="W110" s="292">
        <f>SUM('PER BULAN'!V180:X180)</f>
        <v>0</v>
      </c>
      <c r="X110" s="292">
        <f>SUM('PER BULAN'!Y180:AA180)</f>
        <v>0</v>
      </c>
      <c r="Y110" s="292">
        <f>SUM('PER BULAN'!AB180:AD180)</f>
        <v>0</v>
      </c>
      <c r="Z110" s="292">
        <f>SUM('PER BULAN'!AE180:AG180)</f>
        <v>0</v>
      </c>
      <c r="AA110" s="292">
        <f>SUM('PER BULAN'!AH180:AJ180)</f>
        <v>0</v>
      </c>
      <c r="AB110" s="292">
        <f>SUM('PER BULAN'!AK180:AM180)</f>
        <v>0</v>
      </c>
      <c r="AC110" s="292">
        <f>SUM('PER BULAN'!AN180:AP180)</f>
        <v>0</v>
      </c>
      <c r="AD110" s="277" t="s">
        <v>530</v>
      </c>
      <c r="AE110" s="277" t="s">
        <v>542</v>
      </c>
      <c r="AF110" s="277" t="s">
        <v>591</v>
      </c>
      <c r="AG110" s="277" t="s">
        <v>4699</v>
      </c>
      <c r="AH110" s="277" t="s">
        <v>4700</v>
      </c>
      <c r="AI110" s="277">
        <f t="shared" si="6"/>
        <v>0</v>
      </c>
      <c r="AJ110" s="291">
        <f t="shared" si="7"/>
        <v>0</v>
      </c>
      <c r="AK110" s="277">
        <f t="shared" si="8"/>
        <v>2000000</v>
      </c>
      <c r="AL110" s="291">
        <f t="shared" si="9"/>
        <v>100</v>
      </c>
      <c r="AM110" s="277" t="s">
        <v>4834</v>
      </c>
      <c r="AN110" s="277" t="s">
        <v>4730</v>
      </c>
      <c r="AO110" s="277" t="s">
        <v>4733</v>
      </c>
      <c r="AP110" s="277" t="s">
        <v>4732</v>
      </c>
      <c r="AQ110" s="292">
        <f>SUM('PER BULAN'!AX180)</f>
        <v>0</v>
      </c>
      <c r="AR110" s="292">
        <f>SUM('PER BULAN'!AY180)</f>
        <v>0</v>
      </c>
      <c r="AS110" s="292">
        <f>SUM('PER BULAN'!AZ180)</f>
        <v>0</v>
      </c>
      <c r="AT110" s="292">
        <f>SUM('PER BULAN'!BA180)</f>
        <v>0</v>
      </c>
      <c r="AU110" s="292">
        <f>SUM('PER BULAN'!BB180)</f>
        <v>0</v>
      </c>
      <c r="AV110" s="292">
        <f>SUM('PER BULAN'!BC180)</f>
        <v>0</v>
      </c>
      <c r="AW110" s="292">
        <f>SUM('PER BULAN'!BD180)</f>
        <v>0</v>
      </c>
      <c r="AX110" s="292">
        <f>SUM('PER BULAN'!BE180)</f>
        <v>0</v>
      </c>
    </row>
    <row r="111" spans="1:50" s="278" customFormat="1" x14ac:dyDescent="0.3">
      <c r="A111" s="277" t="s">
        <v>4693</v>
      </c>
      <c r="B111" s="277" t="s">
        <v>4694</v>
      </c>
      <c r="C111" s="277" t="s">
        <v>4720</v>
      </c>
      <c r="D111" s="277" t="s">
        <v>4721</v>
      </c>
      <c r="E111" s="277" t="s">
        <v>197</v>
      </c>
      <c r="F111" s="277" t="s">
        <v>4722</v>
      </c>
      <c r="G111" s="277" t="s">
        <v>4778</v>
      </c>
      <c r="H111" s="277" t="s">
        <v>4779</v>
      </c>
      <c r="I111" s="277">
        <v>953</v>
      </c>
      <c r="J111" s="277" t="s">
        <v>4786</v>
      </c>
      <c r="K111" s="277">
        <v>302</v>
      </c>
      <c r="L111" s="277" t="s">
        <v>4787</v>
      </c>
      <c r="M111" s="277" t="s">
        <v>8</v>
      </c>
      <c r="N111" s="277" t="s">
        <v>4788</v>
      </c>
      <c r="O111" s="277">
        <v>524111</v>
      </c>
      <c r="P111" s="277" t="s">
        <v>4702</v>
      </c>
      <c r="Q111" s="278">
        <v>89032000</v>
      </c>
      <c r="R111" s="292">
        <f>SUM('PER BULAN'!G184:I184)</f>
        <v>0</v>
      </c>
      <c r="S111" s="292">
        <f>SUM('PER BULAN'!J181:L181)</f>
        <v>0</v>
      </c>
      <c r="T111" s="292">
        <f>SUM('PER BULAN'!M181:O181)</f>
        <v>2490000</v>
      </c>
      <c r="U111" s="292">
        <f>SUM('PER BULAN'!P181:R181)</f>
        <v>15530000</v>
      </c>
      <c r="V111" s="292">
        <f>SUM('PER BULAN'!S181:U181)</f>
        <v>0</v>
      </c>
      <c r="W111" s="292">
        <f>SUM('PER BULAN'!V181:X181)</f>
        <v>2118000</v>
      </c>
      <c r="X111" s="292">
        <f>SUM('PER BULAN'!Y181:AA181)</f>
        <v>0</v>
      </c>
      <c r="Y111" s="292">
        <f>SUM('PER BULAN'!AB181:AD181)</f>
        <v>0</v>
      </c>
      <c r="Z111" s="292">
        <f>SUM('PER BULAN'!AE181:AG181)</f>
        <v>0</v>
      </c>
      <c r="AA111" s="292">
        <f>SUM('PER BULAN'!AH181:AJ181)</f>
        <v>0</v>
      </c>
      <c r="AB111" s="292">
        <f>SUM('PER BULAN'!AK181:AM181)</f>
        <v>0</v>
      </c>
      <c r="AC111" s="292">
        <f>SUM('PER BULAN'!AN181:AP181)</f>
        <v>0</v>
      </c>
      <c r="AD111" s="277" t="s">
        <v>530</v>
      </c>
      <c r="AE111" s="277" t="s">
        <v>542</v>
      </c>
      <c r="AF111" s="277" t="s">
        <v>591</v>
      </c>
      <c r="AG111" s="277" t="s">
        <v>4699</v>
      </c>
      <c r="AH111" s="277" t="s">
        <v>4700</v>
      </c>
      <c r="AI111" s="277">
        <f t="shared" si="6"/>
        <v>20138000</v>
      </c>
      <c r="AJ111" s="291">
        <f t="shared" si="7"/>
        <v>22.618833677778778</v>
      </c>
      <c r="AK111" s="277">
        <f t="shared" si="8"/>
        <v>68894000</v>
      </c>
      <c r="AL111" s="291">
        <f t="shared" si="9"/>
        <v>77.381166322221233</v>
      </c>
      <c r="AM111" s="277" t="s">
        <v>4835</v>
      </c>
      <c r="AN111" s="277" t="s">
        <v>4730</v>
      </c>
      <c r="AO111" s="277" t="s">
        <v>4736</v>
      </c>
      <c r="AP111" s="277" t="s">
        <v>4732</v>
      </c>
      <c r="AQ111" s="292">
        <f>SUM('PER BULAN'!AX181)</f>
        <v>0</v>
      </c>
      <c r="AR111" s="292">
        <f>SUM('PER BULAN'!AY181)</f>
        <v>0</v>
      </c>
      <c r="AS111" s="292">
        <f>SUM('PER BULAN'!AZ181)</f>
        <v>2490000</v>
      </c>
      <c r="AT111" s="292">
        <f>SUM('PER BULAN'!BA181)</f>
        <v>0</v>
      </c>
      <c r="AU111" s="292">
        <f>SUM('PER BULAN'!BB181)</f>
        <v>0</v>
      </c>
      <c r="AV111" s="292">
        <f>SUM('PER BULAN'!BC181)</f>
        <v>0</v>
      </c>
      <c r="AW111" s="292">
        <f>SUM('PER BULAN'!BD181)</f>
        <v>0</v>
      </c>
      <c r="AX111" s="292">
        <f>SUM('PER BULAN'!BE181)</f>
        <v>0</v>
      </c>
    </row>
    <row r="112" spans="1:50" s="278" customFormat="1" x14ac:dyDescent="0.3">
      <c r="A112" s="277" t="s">
        <v>4693</v>
      </c>
      <c r="B112" s="277" t="s">
        <v>4694</v>
      </c>
      <c r="C112" s="277" t="s">
        <v>4720</v>
      </c>
      <c r="D112" s="277" t="s">
        <v>4721</v>
      </c>
      <c r="E112" s="277" t="s">
        <v>197</v>
      </c>
      <c r="F112" s="277" t="s">
        <v>4722</v>
      </c>
      <c r="G112" s="277" t="s">
        <v>4778</v>
      </c>
      <c r="H112" s="277" t="s">
        <v>4779</v>
      </c>
      <c r="I112" s="277">
        <v>955</v>
      </c>
      <c r="J112" s="277" t="s">
        <v>4789</v>
      </c>
      <c r="K112" s="277">
        <v>301</v>
      </c>
      <c r="L112" s="277" t="s">
        <v>4790</v>
      </c>
      <c r="M112" s="277" t="s">
        <v>8</v>
      </c>
      <c r="N112" s="277" t="s">
        <v>4791</v>
      </c>
      <c r="O112" s="277">
        <v>521211</v>
      </c>
      <c r="P112" s="277" t="s">
        <v>4698</v>
      </c>
      <c r="Q112" s="278">
        <v>23900000</v>
      </c>
      <c r="R112" s="292">
        <f>SUM('PER BULAN'!G185:I185)</f>
        <v>0</v>
      </c>
      <c r="S112" s="292">
        <f>SUM('PER BULAN'!J185:L185)</f>
        <v>0</v>
      </c>
      <c r="T112" s="292">
        <f>SUM('PER BULAN'!M185:O185)</f>
        <v>5725000</v>
      </c>
      <c r="U112" s="292">
        <f>SUM('PER BULAN'!P185:R185)</f>
        <v>2446000</v>
      </c>
      <c r="V112" s="292">
        <f>SUM('PER BULAN'!S185:U185)</f>
        <v>5660000</v>
      </c>
      <c r="W112" s="292">
        <f>SUM('PER BULAN'!V185:X185)</f>
        <v>0</v>
      </c>
      <c r="X112" s="292">
        <f>SUM('PER BULAN'!Y185:AA185)</f>
        <v>0</v>
      </c>
      <c r="Y112" s="292">
        <f>SUM('PER BULAN'!AB185:AD185)</f>
        <v>0</v>
      </c>
      <c r="Z112" s="292">
        <f>SUM('PER BULAN'!AE185:AG185)</f>
        <v>0</v>
      </c>
      <c r="AA112" s="292">
        <f>SUM('PER BULAN'!AH185:AJ185)</f>
        <v>0</v>
      </c>
      <c r="AB112" s="292">
        <f>SUM('PER BULAN'!AK185:AM185)</f>
        <v>0</v>
      </c>
      <c r="AC112" s="292">
        <f>SUM('PER BULAN'!AN185:AP185)</f>
        <v>0</v>
      </c>
      <c r="AD112" s="277" t="s">
        <v>530</v>
      </c>
      <c r="AE112" s="277" t="s">
        <v>576</v>
      </c>
      <c r="AF112" s="277" t="s">
        <v>546</v>
      </c>
      <c r="AG112" s="277" t="s">
        <v>4699</v>
      </c>
      <c r="AH112" s="277" t="s">
        <v>4700</v>
      </c>
      <c r="AI112" s="277">
        <f t="shared" si="6"/>
        <v>13831000</v>
      </c>
      <c r="AJ112" s="291">
        <f t="shared" si="7"/>
        <v>57.870292887029287</v>
      </c>
      <c r="AK112" s="277">
        <f t="shared" si="8"/>
        <v>10069000</v>
      </c>
      <c r="AL112" s="291">
        <f t="shared" si="9"/>
        <v>42.129707112970713</v>
      </c>
      <c r="AM112" s="277" t="s">
        <v>3321</v>
      </c>
      <c r="AN112" s="277" t="s">
        <v>4730</v>
      </c>
      <c r="AO112" s="277" t="s">
        <v>4731</v>
      </c>
      <c r="AP112" s="277" t="s">
        <v>4732</v>
      </c>
      <c r="AQ112" s="292">
        <f>SUM('PER BULAN'!AX185)</f>
        <v>0</v>
      </c>
      <c r="AR112" s="292">
        <f>SUM('PER BULAN'!AY185)</f>
        <v>3275000</v>
      </c>
      <c r="AS112" s="292">
        <f>SUM('PER BULAN'!AZ185)</f>
        <v>2450000</v>
      </c>
      <c r="AT112" s="292">
        <f>SUM('PER BULAN'!BA185)</f>
        <v>2446000</v>
      </c>
      <c r="AU112" s="292">
        <f>SUM('PER BULAN'!BB185)</f>
        <v>1810000</v>
      </c>
      <c r="AV112" s="292">
        <f>SUM('PER BULAN'!BC185)</f>
        <v>0</v>
      </c>
      <c r="AW112" s="292">
        <f>SUM('PER BULAN'!BD185)</f>
        <v>3850000</v>
      </c>
      <c r="AX112" s="292">
        <f>SUM('PER BULAN'!BE185)</f>
        <v>0</v>
      </c>
    </row>
    <row r="113" spans="1:50" s="278" customFormat="1" x14ac:dyDescent="0.3">
      <c r="A113" s="277" t="s">
        <v>4693</v>
      </c>
      <c r="B113" s="277" t="s">
        <v>4694</v>
      </c>
      <c r="C113" s="277" t="s">
        <v>4720</v>
      </c>
      <c r="D113" s="277" t="s">
        <v>4721</v>
      </c>
      <c r="E113" s="277" t="s">
        <v>197</v>
      </c>
      <c r="F113" s="277" t="s">
        <v>4722</v>
      </c>
      <c r="G113" s="277" t="s">
        <v>4778</v>
      </c>
      <c r="H113" s="277" t="s">
        <v>4779</v>
      </c>
      <c r="I113" s="277">
        <v>955</v>
      </c>
      <c r="J113" s="277" t="s">
        <v>4789</v>
      </c>
      <c r="K113" s="277">
        <v>301</v>
      </c>
      <c r="L113" s="277" t="s">
        <v>4790</v>
      </c>
      <c r="M113" s="277" t="s">
        <v>8</v>
      </c>
      <c r="N113" s="277" t="s">
        <v>4791</v>
      </c>
      <c r="O113" s="277">
        <v>524111</v>
      </c>
      <c r="P113" s="277" t="s">
        <v>4702</v>
      </c>
      <c r="Q113" s="278">
        <v>15000000</v>
      </c>
      <c r="R113" s="292">
        <f>SUM('PER BULAN'!G187:I187)</f>
        <v>0</v>
      </c>
      <c r="S113" s="292">
        <f>SUM('PER BULAN'!J186:L186)</f>
        <v>0</v>
      </c>
      <c r="T113" s="292">
        <f>SUM('PER BULAN'!M186:O186)</f>
        <v>0</v>
      </c>
      <c r="U113" s="292">
        <f>SUM('PER BULAN'!P186:R186)</f>
        <v>0</v>
      </c>
      <c r="V113" s="292">
        <f>SUM('PER BULAN'!S186:U186)</f>
        <v>8701552</v>
      </c>
      <c r="W113" s="292">
        <f>SUM('PER BULAN'!V186:X186)</f>
        <v>0</v>
      </c>
      <c r="X113" s="292">
        <f>SUM('PER BULAN'!Y186:AA186)</f>
        <v>0</v>
      </c>
      <c r="Y113" s="292">
        <f>SUM('PER BULAN'!AB186:AD186)</f>
        <v>0</v>
      </c>
      <c r="Z113" s="292">
        <f>SUM('PER BULAN'!AE186:AG186)</f>
        <v>0</v>
      </c>
      <c r="AA113" s="292">
        <f>SUM('PER BULAN'!AH186:AJ186)</f>
        <v>0</v>
      </c>
      <c r="AB113" s="292">
        <f>SUM('PER BULAN'!AK186:AM186)</f>
        <v>0</v>
      </c>
      <c r="AC113" s="292">
        <f>SUM('PER BULAN'!AN186:AP186)</f>
        <v>0</v>
      </c>
      <c r="AD113" s="277" t="s">
        <v>530</v>
      </c>
      <c r="AE113" s="277" t="s">
        <v>576</v>
      </c>
      <c r="AF113" s="277" t="s">
        <v>546</v>
      </c>
      <c r="AG113" s="277" t="s">
        <v>4699</v>
      </c>
      <c r="AH113" s="277" t="s">
        <v>4700</v>
      </c>
      <c r="AI113" s="277">
        <f t="shared" si="6"/>
        <v>8701552</v>
      </c>
      <c r="AJ113" s="291">
        <f t="shared" si="7"/>
        <v>58.010346666666671</v>
      </c>
      <c r="AK113" s="277">
        <f t="shared" si="8"/>
        <v>6298448</v>
      </c>
      <c r="AL113" s="291">
        <f t="shared" si="9"/>
        <v>41.989653333333329</v>
      </c>
      <c r="AM113" s="277" t="s">
        <v>3326</v>
      </c>
      <c r="AN113" s="277" t="s">
        <v>4730</v>
      </c>
      <c r="AO113" s="277" t="s">
        <v>4736</v>
      </c>
      <c r="AP113" s="277" t="s">
        <v>4732</v>
      </c>
      <c r="AQ113" s="292">
        <f>SUM('PER BULAN'!AX186)</f>
        <v>0</v>
      </c>
      <c r="AR113" s="292">
        <f>SUM('PER BULAN'!AY186)</f>
        <v>0</v>
      </c>
      <c r="AS113" s="292">
        <f>SUM('PER BULAN'!AZ186)</f>
        <v>0</v>
      </c>
      <c r="AT113" s="292">
        <f>SUM('PER BULAN'!BA186)</f>
        <v>0</v>
      </c>
      <c r="AU113" s="292">
        <f>SUM('PER BULAN'!BB186)</f>
        <v>0</v>
      </c>
      <c r="AV113" s="292">
        <f>SUM('PER BULAN'!BC186)</f>
        <v>0</v>
      </c>
      <c r="AW113" s="292">
        <f>SUM('PER BULAN'!BD186)</f>
        <v>8701552</v>
      </c>
      <c r="AX113" s="292">
        <f>SUM('PER BULAN'!BE186)</f>
        <v>0</v>
      </c>
    </row>
    <row r="114" spans="1:50" s="278" customFormat="1" x14ac:dyDescent="0.3">
      <c r="A114" s="277" t="s">
        <v>4693</v>
      </c>
      <c r="B114" s="277" t="s">
        <v>4694</v>
      </c>
      <c r="C114" s="277" t="s">
        <v>4720</v>
      </c>
      <c r="D114" s="277" t="s">
        <v>4721</v>
      </c>
      <c r="E114" s="277" t="s">
        <v>197</v>
      </c>
      <c r="F114" s="277" t="s">
        <v>4722</v>
      </c>
      <c r="G114" s="277" t="s">
        <v>4778</v>
      </c>
      <c r="H114" s="277" t="s">
        <v>4779</v>
      </c>
      <c r="I114" s="277">
        <v>955</v>
      </c>
      <c r="J114" s="277" t="s">
        <v>4789</v>
      </c>
      <c r="K114" s="277">
        <v>301</v>
      </c>
      <c r="L114" s="277" t="s">
        <v>4790</v>
      </c>
      <c r="M114" s="277" t="s">
        <v>511</v>
      </c>
      <c r="N114" s="277" t="s">
        <v>4792</v>
      </c>
      <c r="O114" s="277">
        <v>521211</v>
      </c>
      <c r="P114" s="277" t="s">
        <v>4698</v>
      </c>
      <c r="Q114" s="278">
        <v>11400000</v>
      </c>
      <c r="R114" s="292">
        <f>SUM('PER BULAN'!G188:I188)</f>
        <v>0</v>
      </c>
      <c r="S114" s="292">
        <f>SUM('PER BULAN'!J188:L188)</f>
        <v>0</v>
      </c>
      <c r="T114" s="292">
        <f>SUM('PER BULAN'!M188:O188)</f>
        <v>2500000</v>
      </c>
      <c r="U114" s="292">
        <f>SUM('PER BULAN'!P188:R188)</f>
        <v>0</v>
      </c>
      <c r="V114" s="292">
        <f>SUM('PER BULAN'!S188:U188)</f>
        <v>2444000</v>
      </c>
      <c r="W114" s="292">
        <f>SUM('PER BULAN'!V188:X188)</f>
        <v>0</v>
      </c>
      <c r="X114" s="292">
        <f>SUM('PER BULAN'!Y188:AA188)</f>
        <v>0</v>
      </c>
      <c r="Y114" s="292">
        <f>SUM('PER BULAN'!AB188:AD188)</f>
        <v>0</v>
      </c>
      <c r="Z114" s="292">
        <f>SUM('PER BULAN'!AE188:AG188)</f>
        <v>0</v>
      </c>
      <c r="AA114" s="292">
        <f>SUM('PER BULAN'!AH188:AJ188)</f>
        <v>0</v>
      </c>
      <c r="AB114" s="292">
        <f>SUM('PER BULAN'!AK188:AM188)</f>
        <v>0</v>
      </c>
      <c r="AC114" s="292">
        <f>SUM('PER BULAN'!AN188:AP188)</f>
        <v>0</v>
      </c>
      <c r="AD114" s="277" t="s">
        <v>530</v>
      </c>
      <c r="AE114" s="277" t="s">
        <v>576</v>
      </c>
      <c r="AF114" s="277" t="s">
        <v>546</v>
      </c>
      <c r="AG114" s="277" t="s">
        <v>4699</v>
      </c>
      <c r="AH114" s="277" t="s">
        <v>4700</v>
      </c>
      <c r="AI114" s="277">
        <f t="shared" si="6"/>
        <v>4944000</v>
      </c>
      <c r="AJ114" s="291">
        <f t="shared" si="7"/>
        <v>43.368421052631575</v>
      </c>
      <c r="AK114" s="277">
        <f t="shared" si="8"/>
        <v>6456000</v>
      </c>
      <c r="AL114" s="291">
        <f t="shared" si="9"/>
        <v>56.631578947368425</v>
      </c>
      <c r="AM114" s="277" t="s">
        <v>3332</v>
      </c>
      <c r="AN114" s="277" t="s">
        <v>4730</v>
      </c>
      <c r="AO114" s="277" t="s">
        <v>4731</v>
      </c>
      <c r="AP114" s="277" t="s">
        <v>4732</v>
      </c>
      <c r="AQ114" s="292">
        <f>SUM('PER BULAN'!AX188)</f>
        <v>0</v>
      </c>
      <c r="AR114" s="292">
        <f>SUM('PER BULAN'!AY188)</f>
        <v>2500000</v>
      </c>
      <c r="AS114" s="292">
        <f>SUM('PER BULAN'!AZ188)</f>
        <v>0</v>
      </c>
      <c r="AT114" s="292">
        <f>SUM('PER BULAN'!BA188)</f>
        <v>0</v>
      </c>
      <c r="AU114" s="292">
        <f>SUM('PER BULAN'!BB188)</f>
        <v>0</v>
      </c>
      <c r="AV114" s="292">
        <f>SUM('PER BULAN'!BC188)</f>
        <v>2444000</v>
      </c>
      <c r="AW114" s="292">
        <f>SUM('PER BULAN'!BD188)</f>
        <v>0</v>
      </c>
      <c r="AX114" s="292">
        <f>SUM('PER BULAN'!BE188)</f>
        <v>0</v>
      </c>
    </row>
    <row r="115" spans="1:50" s="278" customFormat="1" x14ac:dyDescent="0.3">
      <c r="A115" s="277" t="s">
        <v>4693</v>
      </c>
      <c r="B115" s="277" t="s">
        <v>4694</v>
      </c>
      <c r="C115" s="277" t="s">
        <v>4720</v>
      </c>
      <c r="D115" s="277" t="s">
        <v>4721</v>
      </c>
      <c r="E115" s="277" t="s">
        <v>197</v>
      </c>
      <c r="F115" s="277" t="s">
        <v>4722</v>
      </c>
      <c r="G115" s="277" t="s">
        <v>4778</v>
      </c>
      <c r="H115" s="277" t="s">
        <v>4779</v>
      </c>
      <c r="I115" s="277">
        <v>955</v>
      </c>
      <c r="J115" s="277" t="s">
        <v>4789</v>
      </c>
      <c r="K115" s="277">
        <v>301</v>
      </c>
      <c r="L115" s="277" t="s">
        <v>4790</v>
      </c>
      <c r="M115" s="277" t="s">
        <v>511</v>
      </c>
      <c r="N115" s="277" t="s">
        <v>4792</v>
      </c>
      <c r="O115" s="277">
        <v>524111</v>
      </c>
      <c r="P115" s="277" t="s">
        <v>4702</v>
      </c>
      <c r="Q115" s="278">
        <v>18000000</v>
      </c>
      <c r="R115" s="292">
        <f>SUM('PER BULAN'!G190:I190)</f>
        <v>0</v>
      </c>
      <c r="S115" s="292">
        <f>SUM('PER BULAN'!J189:L189)</f>
        <v>0</v>
      </c>
      <c r="T115" s="292">
        <f>SUM('PER BULAN'!M189:O189)</f>
        <v>2850000</v>
      </c>
      <c r="U115" s="292">
        <f>SUM('PER BULAN'!P189:R189)</f>
        <v>0</v>
      </c>
      <c r="V115" s="292">
        <f>SUM('PER BULAN'!S189:U189)</f>
        <v>0</v>
      </c>
      <c r="W115" s="292">
        <f>SUM('PER BULAN'!V189:X189)</f>
        <v>0</v>
      </c>
      <c r="X115" s="292">
        <f>SUM('PER BULAN'!Y189:AA189)</f>
        <v>0</v>
      </c>
      <c r="Y115" s="292">
        <f>SUM('PER BULAN'!AB189:AD189)</f>
        <v>0</v>
      </c>
      <c r="Z115" s="292">
        <f>SUM('PER BULAN'!AE189:AG189)</f>
        <v>0</v>
      </c>
      <c r="AA115" s="292">
        <f>SUM('PER BULAN'!AH189:AJ189)</f>
        <v>0</v>
      </c>
      <c r="AB115" s="292">
        <f>SUM('PER BULAN'!AK189:AM189)</f>
        <v>0</v>
      </c>
      <c r="AC115" s="292">
        <f>SUM('PER BULAN'!AN189:AP189)</f>
        <v>0</v>
      </c>
      <c r="AD115" s="277" t="s">
        <v>530</v>
      </c>
      <c r="AE115" s="277" t="s">
        <v>576</v>
      </c>
      <c r="AF115" s="277" t="s">
        <v>546</v>
      </c>
      <c r="AG115" s="277" t="s">
        <v>4699</v>
      </c>
      <c r="AH115" s="277" t="s">
        <v>4700</v>
      </c>
      <c r="AI115" s="277">
        <f t="shared" si="6"/>
        <v>2850000</v>
      </c>
      <c r="AJ115" s="291">
        <f t="shared" si="7"/>
        <v>15.833333333333332</v>
      </c>
      <c r="AK115" s="277">
        <f t="shared" si="8"/>
        <v>15150000</v>
      </c>
      <c r="AL115" s="291">
        <f t="shared" si="9"/>
        <v>84.166666666666671</v>
      </c>
      <c r="AM115" s="277" t="s">
        <v>3336</v>
      </c>
      <c r="AN115" s="277" t="s">
        <v>4730</v>
      </c>
      <c r="AO115" s="277" t="s">
        <v>4736</v>
      </c>
      <c r="AP115" s="277" t="s">
        <v>4732</v>
      </c>
      <c r="AQ115" s="292">
        <f>SUM('PER BULAN'!AX189)</f>
        <v>0</v>
      </c>
      <c r="AR115" s="292">
        <f>SUM('PER BULAN'!AY189)</f>
        <v>2850000</v>
      </c>
      <c r="AS115" s="292">
        <f>SUM('PER BULAN'!AZ189)</f>
        <v>0</v>
      </c>
      <c r="AT115" s="292">
        <f>SUM('PER BULAN'!BA189)</f>
        <v>0</v>
      </c>
      <c r="AU115" s="292">
        <f>SUM('PER BULAN'!BB189)</f>
        <v>0</v>
      </c>
      <c r="AV115" s="292">
        <f>SUM('PER BULAN'!BC189)</f>
        <v>0</v>
      </c>
      <c r="AW115" s="292">
        <f>SUM('PER BULAN'!BD189)</f>
        <v>0</v>
      </c>
      <c r="AX115" s="292">
        <f>SUM('PER BULAN'!BE189)</f>
        <v>0</v>
      </c>
    </row>
    <row r="116" spans="1:50" s="278" customFormat="1" x14ac:dyDescent="0.3">
      <c r="A116" s="277" t="s">
        <v>4693</v>
      </c>
      <c r="B116" s="277" t="s">
        <v>4694</v>
      </c>
      <c r="C116" s="277" t="s">
        <v>4720</v>
      </c>
      <c r="D116" s="277" t="s">
        <v>4721</v>
      </c>
      <c r="E116" s="277" t="s">
        <v>197</v>
      </c>
      <c r="F116" s="277" t="s">
        <v>4722</v>
      </c>
      <c r="G116" s="277" t="s">
        <v>4778</v>
      </c>
      <c r="H116" s="277" t="s">
        <v>4779</v>
      </c>
      <c r="I116" s="277">
        <v>955</v>
      </c>
      <c r="J116" s="277" t="s">
        <v>4789</v>
      </c>
      <c r="K116" s="277">
        <v>301</v>
      </c>
      <c r="L116" s="277" t="s">
        <v>4790</v>
      </c>
      <c r="M116" s="277" t="s">
        <v>512</v>
      </c>
      <c r="N116" s="277" t="s">
        <v>4793</v>
      </c>
      <c r="O116" s="277">
        <v>521211</v>
      </c>
      <c r="P116" s="277" t="s">
        <v>4698</v>
      </c>
      <c r="Q116" s="278">
        <v>10000000</v>
      </c>
      <c r="R116" s="292">
        <f>SUM('PER BULAN'!G191:I191)</f>
        <v>0</v>
      </c>
      <c r="S116" s="292">
        <f>SUM('PER BULAN'!J191:L191)</f>
        <v>0</v>
      </c>
      <c r="T116" s="292">
        <f>SUM('PER BULAN'!M191:O191)</f>
        <v>2469500</v>
      </c>
      <c r="U116" s="292">
        <f>SUM('PER BULAN'!P191:R191)</f>
        <v>0</v>
      </c>
      <c r="V116" s="292">
        <f>SUM('PER BULAN'!S191:U191)</f>
        <v>2499000</v>
      </c>
      <c r="W116" s="292">
        <f>SUM('PER BULAN'!V191:X191)</f>
        <v>0</v>
      </c>
      <c r="X116" s="292">
        <f>SUM('PER BULAN'!Y191:AA191)</f>
        <v>0</v>
      </c>
      <c r="Y116" s="292">
        <f>SUM('PER BULAN'!AB191:AD191)</f>
        <v>0</v>
      </c>
      <c r="Z116" s="292">
        <f>SUM('PER BULAN'!AE191:AG191)</f>
        <v>0</v>
      </c>
      <c r="AA116" s="292">
        <f>SUM('PER BULAN'!AH191:AJ191)</f>
        <v>0</v>
      </c>
      <c r="AB116" s="292">
        <f>SUM('PER BULAN'!AK191:AM191)</f>
        <v>0</v>
      </c>
      <c r="AC116" s="292">
        <f>SUM('PER BULAN'!AN191:AP191)</f>
        <v>0</v>
      </c>
      <c r="AD116" s="277" t="s">
        <v>530</v>
      </c>
      <c r="AE116" s="277" t="s">
        <v>576</v>
      </c>
      <c r="AF116" s="277" t="s">
        <v>546</v>
      </c>
      <c r="AG116" s="277" t="s">
        <v>4699</v>
      </c>
      <c r="AH116" s="277" t="s">
        <v>4700</v>
      </c>
      <c r="AI116" s="277">
        <f t="shared" si="6"/>
        <v>4968500</v>
      </c>
      <c r="AJ116" s="291">
        <f t="shared" si="7"/>
        <v>49.685000000000002</v>
      </c>
      <c r="AK116" s="277">
        <f t="shared" si="8"/>
        <v>5031500</v>
      </c>
      <c r="AL116" s="291">
        <f t="shared" si="9"/>
        <v>50.314999999999998</v>
      </c>
      <c r="AM116" s="277" t="s">
        <v>3341</v>
      </c>
      <c r="AN116" s="277" t="s">
        <v>4730</v>
      </c>
      <c r="AO116" s="277" t="s">
        <v>4731</v>
      </c>
      <c r="AP116" s="277" t="s">
        <v>4732</v>
      </c>
      <c r="AQ116" s="292">
        <f>SUM('PER BULAN'!AX191)</f>
        <v>0</v>
      </c>
      <c r="AR116" s="292">
        <f>SUM('PER BULAN'!AY191)</f>
        <v>0</v>
      </c>
      <c r="AS116" s="292">
        <f>SUM('PER BULAN'!AZ191)</f>
        <v>2469500</v>
      </c>
      <c r="AT116" s="292">
        <f>SUM('PER BULAN'!BA191)</f>
        <v>0</v>
      </c>
      <c r="AU116" s="292">
        <f>SUM('PER BULAN'!BB191)</f>
        <v>0</v>
      </c>
      <c r="AV116" s="292">
        <f>SUM('PER BULAN'!BC191)</f>
        <v>2499000</v>
      </c>
      <c r="AW116" s="292">
        <f>SUM('PER BULAN'!BD191)</f>
        <v>0</v>
      </c>
      <c r="AX116" s="292">
        <f>SUM('PER BULAN'!BE191)</f>
        <v>0</v>
      </c>
    </row>
    <row r="117" spans="1:50" s="278" customFormat="1" x14ac:dyDescent="0.3">
      <c r="A117" s="277" t="s">
        <v>4693</v>
      </c>
      <c r="B117" s="277" t="s">
        <v>4694</v>
      </c>
      <c r="C117" s="277" t="s">
        <v>4720</v>
      </c>
      <c r="D117" s="277" t="s">
        <v>4721</v>
      </c>
      <c r="E117" s="277" t="s">
        <v>197</v>
      </c>
      <c r="F117" s="277" t="s">
        <v>4722</v>
      </c>
      <c r="G117" s="277" t="s">
        <v>4778</v>
      </c>
      <c r="H117" s="277" t="s">
        <v>4779</v>
      </c>
      <c r="I117" s="277">
        <v>955</v>
      </c>
      <c r="J117" s="277" t="s">
        <v>4789</v>
      </c>
      <c r="K117" s="277">
        <v>301</v>
      </c>
      <c r="L117" s="277" t="s">
        <v>4790</v>
      </c>
      <c r="M117" s="277" t="s">
        <v>512</v>
      </c>
      <c r="N117" s="277" t="s">
        <v>4793</v>
      </c>
      <c r="O117" s="277">
        <v>524111</v>
      </c>
      <c r="P117" s="277" t="s">
        <v>4702</v>
      </c>
      <c r="Q117" s="278">
        <v>15000000</v>
      </c>
      <c r="R117" s="292">
        <f>SUM('PER BULAN'!G193:I193)</f>
        <v>0</v>
      </c>
      <c r="S117" s="292">
        <f>SUM('PER BULAN'!J192:L192)</f>
        <v>0</v>
      </c>
      <c r="T117" s="292">
        <f>SUM('PER BULAN'!M192:O192)</f>
        <v>0</v>
      </c>
      <c r="U117" s="292">
        <f>SUM('PER BULAN'!P192:R192)</f>
        <v>0</v>
      </c>
      <c r="V117" s="292">
        <f>SUM('PER BULAN'!S192:U192)</f>
        <v>0</v>
      </c>
      <c r="W117" s="292">
        <f>SUM('PER BULAN'!V192:X192)</f>
        <v>0</v>
      </c>
      <c r="X117" s="292">
        <f>SUM('PER BULAN'!Y192:AA192)</f>
        <v>0</v>
      </c>
      <c r="Y117" s="292">
        <f>SUM('PER BULAN'!AB192:AD192)</f>
        <v>0</v>
      </c>
      <c r="Z117" s="292">
        <f>SUM('PER BULAN'!AE192:AG192)</f>
        <v>0</v>
      </c>
      <c r="AA117" s="292">
        <f>SUM('PER BULAN'!AH192:AJ192)</f>
        <v>0</v>
      </c>
      <c r="AB117" s="292">
        <f>SUM('PER BULAN'!AK192:AM192)</f>
        <v>0</v>
      </c>
      <c r="AC117" s="292">
        <f>SUM('PER BULAN'!AN192:AP192)</f>
        <v>0</v>
      </c>
      <c r="AD117" s="277" t="s">
        <v>530</v>
      </c>
      <c r="AE117" s="277" t="s">
        <v>576</v>
      </c>
      <c r="AF117" s="277" t="s">
        <v>546</v>
      </c>
      <c r="AG117" s="277" t="s">
        <v>4699</v>
      </c>
      <c r="AH117" s="277" t="s">
        <v>4700</v>
      </c>
      <c r="AI117" s="277">
        <f t="shared" si="6"/>
        <v>0</v>
      </c>
      <c r="AJ117" s="291">
        <f t="shared" si="7"/>
        <v>0</v>
      </c>
      <c r="AK117" s="277">
        <f t="shared" si="8"/>
        <v>15000000</v>
      </c>
      <c r="AL117" s="291">
        <f t="shared" si="9"/>
        <v>100</v>
      </c>
      <c r="AM117" s="277" t="s">
        <v>3344</v>
      </c>
      <c r="AN117" s="277" t="s">
        <v>4730</v>
      </c>
      <c r="AO117" s="277" t="s">
        <v>4736</v>
      </c>
      <c r="AP117" s="277" t="s">
        <v>4732</v>
      </c>
      <c r="AQ117" s="292">
        <f>SUM('PER BULAN'!AX192)</f>
        <v>0</v>
      </c>
      <c r="AR117" s="292">
        <f>SUM('PER BULAN'!AY192)</f>
        <v>0</v>
      </c>
      <c r="AS117" s="292">
        <f>SUM('PER BULAN'!AZ192)</f>
        <v>0</v>
      </c>
      <c r="AT117" s="292">
        <f>SUM('PER BULAN'!BA192)</f>
        <v>0</v>
      </c>
      <c r="AU117" s="292">
        <f>SUM('PER BULAN'!BB192)</f>
        <v>0</v>
      </c>
      <c r="AV117" s="292">
        <f>SUM('PER BULAN'!BC192)</f>
        <v>0</v>
      </c>
      <c r="AW117" s="292">
        <f>SUM('PER BULAN'!BD192)</f>
        <v>0</v>
      </c>
      <c r="AX117" s="292">
        <f>SUM('PER BULAN'!BE192)</f>
        <v>0</v>
      </c>
    </row>
    <row r="118" spans="1:50" s="278" customFormat="1" x14ac:dyDescent="0.3">
      <c r="A118" s="277" t="s">
        <v>4693</v>
      </c>
      <c r="B118" s="277" t="s">
        <v>4694</v>
      </c>
      <c r="C118" s="277" t="s">
        <v>4720</v>
      </c>
      <c r="D118" s="277" t="s">
        <v>4721</v>
      </c>
      <c r="E118" s="277" t="s">
        <v>197</v>
      </c>
      <c r="F118" s="277" t="s">
        <v>4722</v>
      </c>
      <c r="G118" s="277" t="s">
        <v>4778</v>
      </c>
      <c r="H118" s="277" t="s">
        <v>4779</v>
      </c>
      <c r="I118" s="277">
        <v>955</v>
      </c>
      <c r="J118" s="277" t="s">
        <v>4789</v>
      </c>
      <c r="K118" s="277">
        <v>301</v>
      </c>
      <c r="L118" s="277" t="s">
        <v>4790</v>
      </c>
      <c r="M118" s="277" t="s">
        <v>514</v>
      </c>
      <c r="N118" s="277" t="s">
        <v>4794</v>
      </c>
      <c r="O118" s="277">
        <v>521211</v>
      </c>
      <c r="P118" s="277" t="s">
        <v>4698</v>
      </c>
      <c r="Q118" s="278">
        <v>35340000</v>
      </c>
      <c r="R118" s="292">
        <f>SUM('PER BULAN'!G194:I194)</f>
        <v>0</v>
      </c>
      <c r="S118" s="292">
        <f>SUM('PER BULAN'!J194:L194)</f>
        <v>0</v>
      </c>
      <c r="T118" s="292">
        <f>SUM('PER BULAN'!M194:O194)</f>
        <v>2500000</v>
      </c>
      <c r="U118" s="292">
        <f>SUM('PER BULAN'!P194:R194)</f>
        <v>3400000</v>
      </c>
      <c r="V118" s="292">
        <f>SUM('PER BULAN'!S194:U194)</f>
        <v>5085000</v>
      </c>
      <c r="W118" s="292">
        <f>SUM('PER BULAN'!V194:X194)</f>
        <v>0</v>
      </c>
      <c r="X118" s="292">
        <f>SUM('PER BULAN'!Y194:AA194)</f>
        <v>0</v>
      </c>
      <c r="Y118" s="292">
        <f>SUM('PER BULAN'!AB194:AD194)</f>
        <v>0</v>
      </c>
      <c r="Z118" s="292">
        <f>SUM('PER BULAN'!AE194:AG194)</f>
        <v>0</v>
      </c>
      <c r="AA118" s="292">
        <f>SUM('PER BULAN'!AH194:AJ194)</f>
        <v>0</v>
      </c>
      <c r="AB118" s="292">
        <f>SUM('PER BULAN'!AK194:AM194)</f>
        <v>0</v>
      </c>
      <c r="AC118" s="292">
        <f>SUM('PER BULAN'!AN194:AP194)</f>
        <v>0</v>
      </c>
      <c r="AD118" s="277" t="s">
        <v>530</v>
      </c>
      <c r="AE118" s="277" t="s">
        <v>576</v>
      </c>
      <c r="AF118" s="277" t="s">
        <v>546</v>
      </c>
      <c r="AG118" s="277" t="s">
        <v>4699</v>
      </c>
      <c r="AH118" s="277" t="s">
        <v>4700</v>
      </c>
      <c r="AI118" s="277">
        <f t="shared" si="6"/>
        <v>10985000</v>
      </c>
      <c r="AJ118" s="291">
        <f t="shared" si="7"/>
        <v>31.083757781550652</v>
      </c>
      <c r="AK118" s="277">
        <f t="shared" si="8"/>
        <v>24355000</v>
      </c>
      <c r="AL118" s="291">
        <f t="shared" si="9"/>
        <v>68.916242218449355</v>
      </c>
      <c r="AM118" s="277" t="s">
        <v>3351</v>
      </c>
      <c r="AN118" s="277" t="s">
        <v>4730</v>
      </c>
      <c r="AO118" s="277" t="s">
        <v>4731</v>
      </c>
      <c r="AP118" s="277" t="s">
        <v>4732</v>
      </c>
      <c r="AQ118" s="292">
        <f>SUM('PER BULAN'!AX194)</f>
        <v>0</v>
      </c>
      <c r="AR118" s="292">
        <f>SUM('PER BULAN'!AY194)</f>
        <v>2500000</v>
      </c>
      <c r="AS118" s="292">
        <f>SUM('PER BULAN'!AZ194)</f>
        <v>0</v>
      </c>
      <c r="AT118" s="292">
        <f>SUM('PER BULAN'!BA194)</f>
        <v>3400000</v>
      </c>
      <c r="AU118" s="292">
        <f>SUM('PER BULAN'!BB194)</f>
        <v>2590000</v>
      </c>
      <c r="AV118" s="292">
        <f>SUM('PER BULAN'!BC194)</f>
        <v>2495000</v>
      </c>
      <c r="AW118" s="292">
        <f>SUM('PER BULAN'!BD194)</f>
        <v>0</v>
      </c>
      <c r="AX118" s="292">
        <f>SUM('PER BULAN'!BE194)</f>
        <v>0</v>
      </c>
    </row>
    <row r="119" spans="1:50" s="278" customFormat="1" x14ac:dyDescent="0.3">
      <c r="A119" s="277" t="s">
        <v>4693</v>
      </c>
      <c r="B119" s="277" t="s">
        <v>4694</v>
      </c>
      <c r="C119" s="277" t="s">
        <v>4720</v>
      </c>
      <c r="D119" s="277" t="s">
        <v>4721</v>
      </c>
      <c r="E119" s="277" t="s">
        <v>197</v>
      </c>
      <c r="F119" s="277" t="s">
        <v>4722</v>
      </c>
      <c r="G119" s="277" t="s">
        <v>4778</v>
      </c>
      <c r="H119" s="277" t="s">
        <v>4779</v>
      </c>
      <c r="I119" s="277">
        <v>955</v>
      </c>
      <c r="J119" s="277" t="s">
        <v>4789</v>
      </c>
      <c r="K119" s="277">
        <v>301</v>
      </c>
      <c r="L119" s="277" t="s">
        <v>4790</v>
      </c>
      <c r="M119" s="277" t="s">
        <v>514</v>
      </c>
      <c r="N119" s="277" t="s">
        <v>4794</v>
      </c>
      <c r="O119" s="277">
        <v>522151</v>
      </c>
      <c r="P119" s="277" t="s">
        <v>4701</v>
      </c>
      <c r="Q119" s="278">
        <v>3600000</v>
      </c>
      <c r="R119" s="292">
        <f>SUM('PER BULAN'!G195:I195)</f>
        <v>0</v>
      </c>
      <c r="S119" s="292">
        <f>SUM('PER BULAN'!J195:L195)</f>
        <v>0</v>
      </c>
      <c r="T119" s="292">
        <f>SUM('PER BULAN'!M195:O195)</f>
        <v>0</v>
      </c>
      <c r="U119" s="292">
        <f>SUM('PER BULAN'!P195:R195)</f>
        <v>0</v>
      </c>
      <c r="V119" s="292">
        <f>SUM('PER BULAN'!S195:U195)</f>
        <v>0</v>
      </c>
      <c r="W119" s="292">
        <f>SUM('PER BULAN'!V195:X195)</f>
        <v>0</v>
      </c>
      <c r="X119" s="292">
        <f>SUM('PER BULAN'!Y195:AA195)</f>
        <v>0</v>
      </c>
      <c r="Y119" s="292">
        <f>SUM('PER BULAN'!AB195:AD195)</f>
        <v>0</v>
      </c>
      <c r="Z119" s="292">
        <f>SUM('PER BULAN'!AE195:AG195)</f>
        <v>0</v>
      </c>
      <c r="AA119" s="292">
        <f>SUM('PER BULAN'!AH195:AJ195)</f>
        <v>0</v>
      </c>
      <c r="AB119" s="292">
        <f>SUM('PER BULAN'!AK195:AM195)</f>
        <v>0</v>
      </c>
      <c r="AC119" s="292">
        <f>SUM('PER BULAN'!AN195:AP195)</f>
        <v>0</v>
      </c>
      <c r="AD119" s="277" t="s">
        <v>530</v>
      </c>
      <c r="AE119" s="277" t="s">
        <v>576</v>
      </c>
      <c r="AF119" s="277" t="s">
        <v>546</v>
      </c>
      <c r="AG119" s="277" t="s">
        <v>4699</v>
      </c>
      <c r="AH119" s="277" t="s">
        <v>4700</v>
      </c>
      <c r="AI119" s="277">
        <f t="shared" si="6"/>
        <v>0</v>
      </c>
      <c r="AJ119" s="291">
        <f t="shared" si="7"/>
        <v>0</v>
      </c>
      <c r="AK119" s="277">
        <f t="shared" si="8"/>
        <v>3600000</v>
      </c>
      <c r="AL119" s="291">
        <f t="shared" si="9"/>
        <v>100</v>
      </c>
      <c r="AM119" s="277" t="s">
        <v>3359</v>
      </c>
      <c r="AN119" s="277" t="s">
        <v>4730</v>
      </c>
      <c r="AO119" s="277" t="s">
        <v>4735</v>
      </c>
      <c r="AP119" s="277" t="s">
        <v>4732</v>
      </c>
      <c r="AQ119" s="292">
        <f>SUM('PER BULAN'!AX195)</f>
        <v>0</v>
      </c>
      <c r="AR119" s="292">
        <f>SUM('PER BULAN'!AY195)</f>
        <v>0</v>
      </c>
      <c r="AS119" s="292">
        <f>SUM('PER BULAN'!AZ195)</f>
        <v>0</v>
      </c>
      <c r="AT119" s="292">
        <f>SUM('PER BULAN'!BA195)</f>
        <v>0</v>
      </c>
      <c r="AU119" s="292">
        <f>SUM('PER BULAN'!BB195)</f>
        <v>0</v>
      </c>
      <c r="AV119" s="292">
        <f>SUM('PER BULAN'!BC195)</f>
        <v>0</v>
      </c>
      <c r="AW119" s="292">
        <f>SUM('PER BULAN'!BD195)</f>
        <v>0</v>
      </c>
      <c r="AX119" s="292">
        <f>SUM('PER BULAN'!BE195)</f>
        <v>0</v>
      </c>
    </row>
    <row r="120" spans="1:50" s="278" customFormat="1" x14ac:dyDescent="0.3">
      <c r="A120" s="277" t="s">
        <v>4693</v>
      </c>
      <c r="B120" s="277" t="s">
        <v>4694</v>
      </c>
      <c r="C120" s="277" t="s">
        <v>4720</v>
      </c>
      <c r="D120" s="277" t="s">
        <v>4721</v>
      </c>
      <c r="E120" s="277" t="s">
        <v>197</v>
      </c>
      <c r="F120" s="277" t="s">
        <v>4722</v>
      </c>
      <c r="G120" s="277" t="s">
        <v>4778</v>
      </c>
      <c r="H120" s="277" t="s">
        <v>4779</v>
      </c>
      <c r="I120" s="277">
        <v>955</v>
      </c>
      <c r="J120" s="277" t="s">
        <v>4789</v>
      </c>
      <c r="K120" s="277">
        <v>301</v>
      </c>
      <c r="L120" s="277" t="s">
        <v>4790</v>
      </c>
      <c r="M120" s="277" t="s">
        <v>514</v>
      </c>
      <c r="N120" s="277" t="s">
        <v>4794</v>
      </c>
      <c r="O120" s="277">
        <v>524111</v>
      </c>
      <c r="P120" s="277" t="s">
        <v>4702</v>
      </c>
      <c r="Q120" s="278">
        <v>42000000</v>
      </c>
      <c r="R120" s="292">
        <f>SUM('PER BULAN'!G197:I197)</f>
        <v>0</v>
      </c>
      <c r="S120" s="292">
        <f>SUM('PER BULAN'!J196:L196)</f>
        <v>0</v>
      </c>
      <c r="T120" s="292">
        <f>SUM('PER BULAN'!M196:O196)</f>
        <v>0</v>
      </c>
      <c r="U120" s="292">
        <f>SUM('PER BULAN'!P196:R196)</f>
        <v>11593200</v>
      </c>
      <c r="V120" s="292">
        <f>SUM('PER BULAN'!S196:U196)</f>
        <v>9041268</v>
      </c>
      <c r="W120" s="292">
        <f>SUM('PER BULAN'!V196:X196)</f>
        <v>0</v>
      </c>
      <c r="X120" s="292">
        <f>SUM('PER BULAN'!Y196:AA196)</f>
        <v>0</v>
      </c>
      <c r="Y120" s="292">
        <f>SUM('PER BULAN'!AB196:AD196)</f>
        <v>0</v>
      </c>
      <c r="Z120" s="292">
        <f>SUM('PER BULAN'!AE196:AG196)</f>
        <v>0</v>
      </c>
      <c r="AA120" s="292">
        <f>SUM('PER BULAN'!AH196:AJ196)</f>
        <v>0</v>
      </c>
      <c r="AB120" s="292">
        <f>SUM('PER BULAN'!AK196:AM196)</f>
        <v>0</v>
      </c>
      <c r="AC120" s="292">
        <f>SUM('PER BULAN'!AN196:AP196)</f>
        <v>0</v>
      </c>
      <c r="AD120" s="277" t="s">
        <v>530</v>
      </c>
      <c r="AE120" s="277" t="s">
        <v>576</v>
      </c>
      <c r="AF120" s="277" t="s">
        <v>546</v>
      </c>
      <c r="AG120" s="277" t="s">
        <v>4699</v>
      </c>
      <c r="AH120" s="277" t="s">
        <v>4700</v>
      </c>
      <c r="AI120" s="277">
        <f t="shared" si="6"/>
        <v>20634468</v>
      </c>
      <c r="AJ120" s="291">
        <f t="shared" si="7"/>
        <v>49.129685714285714</v>
      </c>
      <c r="AK120" s="277">
        <f t="shared" si="8"/>
        <v>21365532</v>
      </c>
      <c r="AL120" s="291">
        <f t="shared" si="9"/>
        <v>50.870314285714294</v>
      </c>
      <c r="AM120" s="277" t="s">
        <v>3361</v>
      </c>
      <c r="AN120" s="277" t="s">
        <v>4730</v>
      </c>
      <c r="AO120" s="277" t="s">
        <v>4736</v>
      </c>
      <c r="AP120" s="277" t="s">
        <v>4732</v>
      </c>
      <c r="AQ120" s="292">
        <f>SUM('PER BULAN'!AX196)</f>
        <v>0</v>
      </c>
      <c r="AR120" s="292">
        <f>SUM('PER BULAN'!AY196)</f>
        <v>0</v>
      </c>
      <c r="AS120" s="292">
        <f>SUM('PER BULAN'!AZ196)</f>
        <v>0</v>
      </c>
      <c r="AT120" s="292">
        <f>SUM('PER BULAN'!BA196)</f>
        <v>11593200</v>
      </c>
      <c r="AU120" s="292">
        <f>SUM('PER BULAN'!BB196)</f>
        <v>0</v>
      </c>
      <c r="AV120" s="292">
        <f>SUM('PER BULAN'!BC196)</f>
        <v>0</v>
      </c>
      <c r="AW120" s="292">
        <f>SUM('PER BULAN'!BD196)</f>
        <v>9041268</v>
      </c>
      <c r="AX120" s="292">
        <f>SUM('PER BULAN'!BE196)</f>
        <v>0</v>
      </c>
    </row>
    <row r="121" spans="1:50" s="278" customFormat="1" x14ac:dyDescent="0.3">
      <c r="A121" s="277" t="s">
        <v>4693</v>
      </c>
      <c r="B121" s="277" t="s">
        <v>4694</v>
      </c>
      <c r="C121" s="277" t="s">
        <v>4720</v>
      </c>
      <c r="D121" s="277" t="s">
        <v>4721</v>
      </c>
      <c r="E121" s="277" t="s">
        <v>197</v>
      </c>
      <c r="F121" s="277" t="s">
        <v>4722</v>
      </c>
      <c r="G121" s="277" t="s">
        <v>4778</v>
      </c>
      <c r="H121" s="277" t="s">
        <v>4779</v>
      </c>
      <c r="I121" s="277">
        <v>955</v>
      </c>
      <c r="J121" s="277" t="s">
        <v>4789</v>
      </c>
      <c r="K121" s="277">
        <v>301</v>
      </c>
      <c r="L121" s="277" t="s">
        <v>4790</v>
      </c>
      <c r="M121" s="277" t="s">
        <v>519</v>
      </c>
      <c r="N121" s="277" t="s">
        <v>4795</v>
      </c>
      <c r="O121" s="277">
        <v>521211</v>
      </c>
      <c r="P121" s="277" t="s">
        <v>4698</v>
      </c>
      <c r="Q121" s="278">
        <v>15000000</v>
      </c>
      <c r="R121" s="292">
        <f>SUM('PER BULAN'!G198:I198)</f>
        <v>0</v>
      </c>
      <c r="S121" s="292">
        <f>SUM('PER BULAN'!J198:L198)</f>
        <v>0</v>
      </c>
      <c r="T121" s="292">
        <f>SUM('PER BULAN'!M198:O198)</f>
        <v>2499500</v>
      </c>
      <c r="U121" s="292">
        <f>SUM('PER BULAN'!P198:R198)</f>
        <v>0</v>
      </c>
      <c r="V121" s="292">
        <f>SUM('PER BULAN'!S198:U198)</f>
        <v>2444500</v>
      </c>
      <c r="W121" s="292">
        <f>SUM('PER BULAN'!V198:X198)</f>
        <v>0</v>
      </c>
      <c r="X121" s="292">
        <f>SUM('PER BULAN'!Y198:AA198)</f>
        <v>0</v>
      </c>
      <c r="Y121" s="292">
        <f>SUM('PER BULAN'!AB198:AD198)</f>
        <v>0</v>
      </c>
      <c r="Z121" s="292">
        <f>SUM('PER BULAN'!AE198:AG198)</f>
        <v>0</v>
      </c>
      <c r="AA121" s="292">
        <f>SUM('PER BULAN'!AH198:AJ198)</f>
        <v>0</v>
      </c>
      <c r="AB121" s="292">
        <f>SUM('PER BULAN'!AK198:AM198)</f>
        <v>0</v>
      </c>
      <c r="AC121" s="292">
        <f>SUM('PER BULAN'!AN198:AP198)</f>
        <v>0</v>
      </c>
      <c r="AD121" s="277" t="s">
        <v>530</v>
      </c>
      <c r="AE121" s="277" t="s">
        <v>576</v>
      </c>
      <c r="AF121" s="277" t="s">
        <v>546</v>
      </c>
      <c r="AG121" s="277" t="s">
        <v>4699</v>
      </c>
      <c r="AH121" s="277" t="s">
        <v>4700</v>
      </c>
      <c r="AI121" s="277">
        <f t="shared" si="6"/>
        <v>4944000</v>
      </c>
      <c r="AJ121" s="291">
        <f t="shared" si="7"/>
        <v>32.96</v>
      </c>
      <c r="AK121" s="277">
        <f t="shared" si="8"/>
        <v>10056000</v>
      </c>
      <c r="AL121" s="291">
        <f t="shared" si="9"/>
        <v>67.040000000000006</v>
      </c>
      <c r="AM121" s="277" t="s">
        <v>3368</v>
      </c>
      <c r="AN121" s="277" t="s">
        <v>4730</v>
      </c>
      <c r="AO121" s="277" t="s">
        <v>4731</v>
      </c>
      <c r="AP121" s="277" t="s">
        <v>4732</v>
      </c>
      <c r="AQ121" s="292">
        <f>SUM('PER BULAN'!AX198)</f>
        <v>0</v>
      </c>
      <c r="AR121" s="292">
        <f>SUM('PER BULAN'!AY198)</f>
        <v>2499500</v>
      </c>
      <c r="AS121" s="292">
        <f>SUM('PER BULAN'!AZ198)</f>
        <v>0</v>
      </c>
      <c r="AT121" s="292">
        <f>SUM('PER BULAN'!BA198)</f>
        <v>0</v>
      </c>
      <c r="AU121" s="292">
        <f>SUM('PER BULAN'!BB198)</f>
        <v>0</v>
      </c>
      <c r="AV121" s="292">
        <f>SUM('PER BULAN'!BC198)</f>
        <v>2444500</v>
      </c>
      <c r="AW121" s="292">
        <f>SUM('PER BULAN'!BD198)</f>
        <v>0</v>
      </c>
      <c r="AX121" s="292">
        <f>SUM('PER BULAN'!BE198)</f>
        <v>0</v>
      </c>
    </row>
    <row r="122" spans="1:50" s="278" customFormat="1" x14ac:dyDescent="0.3">
      <c r="A122" s="277" t="s">
        <v>4693</v>
      </c>
      <c r="B122" s="277" t="s">
        <v>4694</v>
      </c>
      <c r="C122" s="277" t="s">
        <v>4720</v>
      </c>
      <c r="D122" s="277" t="s">
        <v>4721</v>
      </c>
      <c r="E122" s="277" t="s">
        <v>197</v>
      </c>
      <c r="F122" s="277" t="s">
        <v>4722</v>
      </c>
      <c r="G122" s="277" t="s">
        <v>4778</v>
      </c>
      <c r="H122" s="277" t="s">
        <v>4779</v>
      </c>
      <c r="I122" s="277">
        <v>955</v>
      </c>
      <c r="J122" s="277" t="s">
        <v>4789</v>
      </c>
      <c r="K122" s="277">
        <v>301</v>
      </c>
      <c r="L122" s="277" t="s">
        <v>4790</v>
      </c>
      <c r="M122" s="277" t="s">
        <v>519</v>
      </c>
      <c r="N122" s="277" t="s">
        <v>4795</v>
      </c>
      <c r="O122" s="277">
        <v>524111</v>
      </c>
      <c r="P122" s="277" t="s">
        <v>4702</v>
      </c>
      <c r="Q122" s="278">
        <v>12000000</v>
      </c>
      <c r="R122" s="292">
        <f>SUM('PER BULAN'!G200:I200)</f>
        <v>0</v>
      </c>
      <c r="S122" s="292">
        <f>SUM('PER BULAN'!J199:L199)</f>
        <v>0</v>
      </c>
      <c r="T122" s="292">
        <f>SUM('PER BULAN'!M199:O199)</f>
        <v>0</v>
      </c>
      <c r="U122" s="292">
        <f>SUM('PER BULAN'!P199:R199)</f>
        <v>0</v>
      </c>
      <c r="V122" s="292">
        <f>SUM('PER BULAN'!S199:U199)</f>
        <v>0</v>
      </c>
      <c r="W122" s="292">
        <f>SUM('PER BULAN'!V199:X199)</f>
        <v>0</v>
      </c>
      <c r="X122" s="292">
        <f>SUM('PER BULAN'!Y199:AA199)</f>
        <v>0</v>
      </c>
      <c r="Y122" s="292">
        <f>SUM('PER BULAN'!AB199:AD199)</f>
        <v>0</v>
      </c>
      <c r="Z122" s="292">
        <f>SUM('PER BULAN'!AE199:AG199)</f>
        <v>0</v>
      </c>
      <c r="AA122" s="292">
        <f>SUM('PER BULAN'!AH199:AJ199)</f>
        <v>0</v>
      </c>
      <c r="AB122" s="292">
        <f>SUM('PER BULAN'!AK199:AM199)</f>
        <v>0</v>
      </c>
      <c r="AC122" s="292">
        <f>SUM('PER BULAN'!AN199:AP199)</f>
        <v>0</v>
      </c>
      <c r="AD122" s="277" t="s">
        <v>530</v>
      </c>
      <c r="AE122" s="277" t="s">
        <v>576</v>
      </c>
      <c r="AF122" s="277" t="s">
        <v>546</v>
      </c>
      <c r="AG122" s="277" t="s">
        <v>4699</v>
      </c>
      <c r="AH122" s="277" t="s">
        <v>4700</v>
      </c>
      <c r="AI122" s="277">
        <f t="shared" si="6"/>
        <v>0</v>
      </c>
      <c r="AJ122" s="291">
        <f t="shared" si="7"/>
        <v>0</v>
      </c>
      <c r="AK122" s="277">
        <f t="shared" si="8"/>
        <v>12000000</v>
      </c>
      <c r="AL122" s="291">
        <f t="shared" si="9"/>
        <v>100</v>
      </c>
      <c r="AM122" s="277" t="s">
        <v>3371</v>
      </c>
      <c r="AN122" s="277" t="s">
        <v>4730</v>
      </c>
      <c r="AO122" s="277" t="s">
        <v>4736</v>
      </c>
      <c r="AP122" s="277" t="s">
        <v>4732</v>
      </c>
      <c r="AQ122" s="292">
        <f>SUM('PER BULAN'!AX199)</f>
        <v>0</v>
      </c>
      <c r="AR122" s="292">
        <f>SUM('PER BULAN'!AY199)</f>
        <v>0</v>
      </c>
      <c r="AS122" s="292">
        <f>SUM('PER BULAN'!AZ199)</f>
        <v>0</v>
      </c>
      <c r="AT122" s="292">
        <f>SUM('PER BULAN'!BA199)</f>
        <v>0</v>
      </c>
      <c r="AU122" s="292">
        <f>SUM('PER BULAN'!BB199)</f>
        <v>0</v>
      </c>
      <c r="AV122" s="292">
        <f>SUM('PER BULAN'!BC199)</f>
        <v>0</v>
      </c>
      <c r="AW122" s="292">
        <f>SUM('PER BULAN'!BD199)</f>
        <v>0</v>
      </c>
      <c r="AX122" s="292">
        <f>SUM('PER BULAN'!BE199)</f>
        <v>0</v>
      </c>
    </row>
    <row r="123" spans="1:50" s="278" customFormat="1" x14ac:dyDescent="0.3">
      <c r="A123" s="277" t="s">
        <v>4693</v>
      </c>
      <c r="B123" s="277" t="s">
        <v>4694</v>
      </c>
      <c r="C123" s="277" t="s">
        <v>4720</v>
      </c>
      <c r="D123" s="277" t="s">
        <v>4721</v>
      </c>
      <c r="E123" s="277" t="s">
        <v>197</v>
      </c>
      <c r="F123" s="277" t="s">
        <v>4722</v>
      </c>
      <c r="G123" s="277" t="s">
        <v>4778</v>
      </c>
      <c r="H123" s="277" t="s">
        <v>4779</v>
      </c>
      <c r="I123" s="277">
        <v>955</v>
      </c>
      <c r="J123" s="277" t="s">
        <v>4789</v>
      </c>
      <c r="K123" s="277">
        <v>301</v>
      </c>
      <c r="L123" s="277" t="s">
        <v>4790</v>
      </c>
      <c r="M123" s="277" t="s">
        <v>578</v>
      </c>
      <c r="N123" s="277" t="s">
        <v>4796</v>
      </c>
      <c r="O123" s="277">
        <v>521211</v>
      </c>
      <c r="P123" s="277" t="s">
        <v>4698</v>
      </c>
      <c r="Q123" s="278">
        <v>4800000</v>
      </c>
      <c r="R123" s="292">
        <f>SUM('PER BULAN'!G201:I201)</f>
        <v>0</v>
      </c>
      <c r="S123" s="292">
        <f>SUM('PER BULAN'!J201:L201)</f>
        <v>0</v>
      </c>
      <c r="T123" s="292">
        <f>SUM('PER BULAN'!M201:O201)</f>
        <v>0</v>
      </c>
      <c r="U123" s="292">
        <f>SUM('PER BULAN'!P201:R201)</f>
        <v>0</v>
      </c>
      <c r="V123" s="292">
        <f>SUM('PER BULAN'!S201:U201)</f>
        <v>0</v>
      </c>
      <c r="W123" s="292">
        <f>SUM('PER BULAN'!V201:X201)</f>
        <v>0</v>
      </c>
      <c r="X123" s="292">
        <f>SUM('PER BULAN'!Y201:AA201)</f>
        <v>0</v>
      </c>
      <c r="Y123" s="292">
        <f>SUM('PER BULAN'!AB201:AD201)</f>
        <v>0</v>
      </c>
      <c r="Z123" s="292">
        <f>SUM('PER BULAN'!AE201:AG201)</f>
        <v>0</v>
      </c>
      <c r="AA123" s="292">
        <f>SUM('PER BULAN'!AH201:AJ201)</f>
        <v>0</v>
      </c>
      <c r="AB123" s="292">
        <f>SUM('PER BULAN'!AK201:AM201)</f>
        <v>0</v>
      </c>
      <c r="AC123" s="292">
        <f>SUM('PER BULAN'!AN201:AP201)</f>
        <v>0</v>
      </c>
      <c r="AD123" s="277" t="s">
        <v>530</v>
      </c>
      <c r="AE123" s="277" t="s">
        <v>576</v>
      </c>
      <c r="AF123" s="277" t="s">
        <v>546</v>
      </c>
      <c r="AG123" s="277" t="s">
        <v>4699</v>
      </c>
      <c r="AH123" s="277" t="s">
        <v>4700</v>
      </c>
      <c r="AI123" s="277">
        <f t="shared" si="6"/>
        <v>0</v>
      </c>
      <c r="AJ123" s="291">
        <f t="shared" si="7"/>
        <v>0</v>
      </c>
      <c r="AK123" s="277">
        <f t="shared" si="8"/>
        <v>4800000</v>
      </c>
      <c r="AL123" s="291">
        <f t="shared" si="9"/>
        <v>100</v>
      </c>
      <c r="AM123" s="277" t="s">
        <v>3378</v>
      </c>
      <c r="AN123" s="277" t="s">
        <v>4730</v>
      </c>
      <c r="AO123" s="277" t="s">
        <v>4731</v>
      </c>
      <c r="AP123" s="277" t="s">
        <v>4732</v>
      </c>
      <c r="AQ123" s="292">
        <f>SUM('PER BULAN'!AX201)</f>
        <v>0</v>
      </c>
      <c r="AR123" s="292">
        <f>SUM('PER BULAN'!AY201)</f>
        <v>0</v>
      </c>
      <c r="AS123" s="292">
        <f>SUM('PER BULAN'!AZ201)</f>
        <v>0</v>
      </c>
      <c r="AT123" s="292">
        <f>SUM('PER BULAN'!BA201)</f>
        <v>0</v>
      </c>
      <c r="AU123" s="292">
        <f>SUM('PER BULAN'!BB201)</f>
        <v>0</v>
      </c>
      <c r="AV123" s="292">
        <f>SUM('PER BULAN'!BC201)</f>
        <v>0</v>
      </c>
      <c r="AW123" s="292">
        <f>SUM('PER BULAN'!BD201)</f>
        <v>0</v>
      </c>
      <c r="AX123" s="292">
        <f>SUM('PER BULAN'!BE201)</f>
        <v>0</v>
      </c>
    </row>
    <row r="124" spans="1:50" s="278" customFormat="1" x14ac:dyDescent="0.3">
      <c r="A124" s="277" t="s">
        <v>4693</v>
      </c>
      <c r="B124" s="277" t="s">
        <v>4694</v>
      </c>
      <c r="C124" s="277" t="s">
        <v>4720</v>
      </c>
      <c r="D124" s="277" t="s">
        <v>4721</v>
      </c>
      <c r="E124" s="277" t="s">
        <v>197</v>
      </c>
      <c r="F124" s="277" t="s">
        <v>4722</v>
      </c>
      <c r="G124" s="277" t="s">
        <v>4778</v>
      </c>
      <c r="H124" s="277" t="s">
        <v>4779</v>
      </c>
      <c r="I124" s="277">
        <v>955</v>
      </c>
      <c r="J124" s="277" t="s">
        <v>4789</v>
      </c>
      <c r="K124" s="277">
        <v>301</v>
      </c>
      <c r="L124" s="277" t="s">
        <v>4790</v>
      </c>
      <c r="M124" s="277" t="s">
        <v>578</v>
      </c>
      <c r="N124" s="277" t="s">
        <v>4796</v>
      </c>
      <c r="O124" s="277">
        <v>521811</v>
      </c>
      <c r="P124" s="277" t="s">
        <v>4716</v>
      </c>
      <c r="Q124" s="278">
        <v>27500000</v>
      </c>
      <c r="R124" s="292">
        <f>SUM('PER BULAN'!G202:I202)</f>
        <v>0</v>
      </c>
      <c r="S124" s="292">
        <f>SUM('PER BULAN'!J202:L202)</f>
        <v>0</v>
      </c>
      <c r="T124" s="292">
        <f>SUM('PER BULAN'!M202:O202)</f>
        <v>4980000</v>
      </c>
      <c r="U124" s="292">
        <f>SUM('PER BULAN'!P202:R202)</f>
        <v>2490000</v>
      </c>
      <c r="V124" s="292">
        <f>SUM('PER BULAN'!S202:U202)</f>
        <v>2490000</v>
      </c>
      <c r="W124" s="292">
        <f>SUM('PER BULAN'!V202:X202)</f>
        <v>0</v>
      </c>
      <c r="X124" s="292">
        <f>SUM('PER BULAN'!Y202:AA202)</f>
        <v>0</v>
      </c>
      <c r="Y124" s="292">
        <f>SUM('PER BULAN'!AB202:AD202)</f>
        <v>0</v>
      </c>
      <c r="Z124" s="292">
        <f>SUM('PER BULAN'!AE202:AG202)</f>
        <v>0</v>
      </c>
      <c r="AA124" s="292">
        <f>SUM('PER BULAN'!AH202:AJ202)</f>
        <v>0</v>
      </c>
      <c r="AB124" s="292">
        <f>SUM('PER BULAN'!AK202:AM202)</f>
        <v>0</v>
      </c>
      <c r="AC124" s="292">
        <f>SUM('PER BULAN'!AN202:AP202)</f>
        <v>0</v>
      </c>
      <c r="AD124" s="277" t="s">
        <v>530</v>
      </c>
      <c r="AE124" s="277" t="s">
        <v>576</v>
      </c>
      <c r="AF124" s="277" t="s">
        <v>546</v>
      </c>
      <c r="AG124" s="277" t="s">
        <v>4699</v>
      </c>
      <c r="AH124" s="277" t="s">
        <v>4700</v>
      </c>
      <c r="AI124" s="277">
        <f t="shared" si="6"/>
        <v>9960000</v>
      </c>
      <c r="AJ124" s="291">
        <f t="shared" si="7"/>
        <v>36.218181818181819</v>
      </c>
      <c r="AK124" s="277">
        <f t="shared" si="8"/>
        <v>17540000</v>
      </c>
      <c r="AL124" s="291">
        <f t="shared" si="9"/>
        <v>63.781818181818181</v>
      </c>
      <c r="AM124" s="277" t="s">
        <v>3381</v>
      </c>
      <c r="AN124" s="277" t="s">
        <v>4730</v>
      </c>
      <c r="AO124" s="277" t="s">
        <v>4826</v>
      </c>
      <c r="AP124" s="277" t="s">
        <v>4732</v>
      </c>
      <c r="AQ124" s="292">
        <f>SUM('PER BULAN'!AX202)</f>
        <v>0</v>
      </c>
      <c r="AR124" s="292">
        <f>SUM('PER BULAN'!AY202)</f>
        <v>2490000</v>
      </c>
      <c r="AS124" s="292">
        <f>SUM('PER BULAN'!AZ202)</f>
        <v>2490000</v>
      </c>
      <c r="AT124" s="292">
        <f>SUM('PER BULAN'!BA202)</f>
        <v>2490000</v>
      </c>
      <c r="AU124" s="292">
        <f>SUM('PER BULAN'!BB202)</f>
        <v>0</v>
      </c>
      <c r="AV124" s="292">
        <f>SUM('PER BULAN'!BC202)</f>
        <v>0</v>
      </c>
      <c r="AW124" s="292">
        <f>SUM('PER BULAN'!BD202)</f>
        <v>2490000</v>
      </c>
      <c r="AX124" s="292">
        <f>SUM('PER BULAN'!BE202)</f>
        <v>0</v>
      </c>
    </row>
    <row r="125" spans="1:50" s="278" customFormat="1" x14ac:dyDescent="0.3">
      <c r="A125" s="277" t="s">
        <v>4693</v>
      </c>
      <c r="B125" s="277" t="s">
        <v>4694</v>
      </c>
      <c r="C125" s="277" t="s">
        <v>4720</v>
      </c>
      <c r="D125" s="277" t="s">
        <v>4721</v>
      </c>
      <c r="E125" s="277" t="s">
        <v>197</v>
      </c>
      <c r="F125" s="277" t="s">
        <v>4722</v>
      </c>
      <c r="G125" s="277" t="s">
        <v>4778</v>
      </c>
      <c r="H125" s="277" t="s">
        <v>4779</v>
      </c>
      <c r="I125" s="277">
        <v>955</v>
      </c>
      <c r="J125" s="277" t="s">
        <v>4789</v>
      </c>
      <c r="K125" s="277">
        <v>301</v>
      </c>
      <c r="L125" s="277" t="s">
        <v>4790</v>
      </c>
      <c r="M125" s="277" t="s">
        <v>578</v>
      </c>
      <c r="N125" s="277" t="s">
        <v>4796</v>
      </c>
      <c r="O125" s="277">
        <v>524111</v>
      </c>
      <c r="P125" s="277" t="s">
        <v>4702</v>
      </c>
      <c r="Q125" s="278">
        <v>56380000</v>
      </c>
      <c r="R125" s="292">
        <f>SUM('PER BULAN'!G208:I208)</f>
        <v>0</v>
      </c>
      <c r="S125" s="292">
        <f>SUM('PER BULAN'!J203:L203)</f>
        <v>0</v>
      </c>
      <c r="T125" s="292">
        <f>SUM('PER BULAN'!M203:O203)</f>
        <v>45420000</v>
      </c>
      <c r="U125" s="292">
        <f>SUM('PER BULAN'!P203:R203)</f>
        <v>0</v>
      </c>
      <c r="V125" s="292">
        <f>SUM('PER BULAN'!S203:U203)</f>
        <v>7280000</v>
      </c>
      <c r="W125" s="292">
        <f>SUM('PER BULAN'!V203:X203)</f>
        <v>2030000</v>
      </c>
      <c r="X125" s="292">
        <f>SUM('PER BULAN'!Y203:AA203)</f>
        <v>0</v>
      </c>
      <c r="Y125" s="292">
        <f>SUM('PER BULAN'!AB203:AD203)</f>
        <v>0</v>
      </c>
      <c r="Z125" s="292">
        <f>SUM('PER BULAN'!AE203:AG203)</f>
        <v>0</v>
      </c>
      <c r="AA125" s="292">
        <f>SUM('PER BULAN'!AH203:AJ203)</f>
        <v>0</v>
      </c>
      <c r="AB125" s="292">
        <f>SUM('PER BULAN'!AK203:AM203)</f>
        <v>0</v>
      </c>
      <c r="AC125" s="292">
        <f>SUM('PER BULAN'!AN203:AP203)</f>
        <v>0</v>
      </c>
      <c r="AD125" s="277" t="s">
        <v>530</v>
      </c>
      <c r="AE125" s="277" t="s">
        <v>576</v>
      </c>
      <c r="AF125" s="277" t="s">
        <v>546</v>
      </c>
      <c r="AG125" s="277" t="s">
        <v>4699</v>
      </c>
      <c r="AH125" s="277" t="s">
        <v>4700</v>
      </c>
      <c r="AI125" s="277">
        <f t="shared" si="6"/>
        <v>54730000</v>
      </c>
      <c r="AJ125" s="291">
        <f>AI125/Q125*100</f>
        <v>97.073430294430651</v>
      </c>
      <c r="AK125" s="277">
        <f t="shared" si="8"/>
        <v>1650000</v>
      </c>
      <c r="AL125" s="291">
        <f t="shared" si="9"/>
        <v>2.9265697055693507</v>
      </c>
      <c r="AM125" s="277" t="s">
        <v>3384</v>
      </c>
      <c r="AN125" s="277" t="s">
        <v>4730</v>
      </c>
      <c r="AO125" s="277" t="s">
        <v>4736</v>
      </c>
      <c r="AP125" s="277" t="s">
        <v>4732</v>
      </c>
      <c r="AQ125" s="292">
        <f>SUM('PER BULAN'!AX203)</f>
        <v>0</v>
      </c>
      <c r="AR125" s="292">
        <f>SUM('PER BULAN'!AY203)</f>
        <v>34560000</v>
      </c>
      <c r="AS125" s="292">
        <f>SUM('PER BULAN'!AZ203)</f>
        <v>10860000</v>
      </c>
      <c r="AT125" s="292">
        <f>SUM('PER BULAN'!BA203)</f>
        <v>0</v>
      </c>
      <c r="AU125" s="292">
        <f>SUM('PER BULAN'!BB203)</f>
        <v>5600000</v>
      </c>
      <c r="AV125" s="292">
        <f>SUM('PER BULAN'!BC203)</f>
        <v>0</v>
      </c>
      <c r="AW125" s="292">
        <f>SUM('PER BULAN'!BD203)</f>
        <v>1680000</v>
      </c>
      <c r="AX125" s="292">
        <f>SUM('PER BULAN'!BE203)</f>
        <v>2030000</v>
      </c>
    </row>
    <row r="126" spans="1:50" s="278" customFormat="1" x14ac:dyDescent="0.3">
      <c r="A126" s="277" t="s">
        <v>4693</v>
      </c>
      <c r="B126" s="277" t="s">
        <v>4694</v>
      </c>
      <c r="C126" s="277" t="s">
        <v>4720</v>
      </c>
      <c r="D126" s="277" t="s">
        <v>4721</v>
      </c>
      <c r="E126" s="277" t="s">
        <v>198</v>
      </c>
      <c r="F126" s="277" t="s">
        <v>4729</v>
      </c>
      <c r="G126" s="277" t="s">
        <v>4797</v>
      </c>
      <c r="H126" s="277" t="s">
        <v>4798</v>
      </c>
      <c r="I126" s="277">
        <v>996</v>
      </c>
      <c r="J126" s="277" t="s">
        <v>4799</v>
      </c>
      <c r="K126" s="277">
        <v>301</v>
      </c>
      <c r="L126" s="277" t="s">
        <v>4800</v>
      </c>
      <c r="M126" s="277" t="s">
        <v>8</v>
      </c>
      <c r="N126" s="277" t="s">
        <v>4801</v>
      </c>
      <c r="O126" s="277">
        <v>521211</v>
      </c>
      <c r="P126" s="277" t="s">
        <v>4698</v>
      </c>
      <c r="Q126" s="278">
        <v>99100000</v>
      </c>
      <c r="R126" s="292">
        <f>SUM('PER BULAN'!G209:I209)</f>
        <v>0</v>
      </c>
      <c r="S126" s="292">
        <f>SUM('PER BULAN'!J209:L209)</f>
        <v>0</v>
      </c>
      <c r="T126" s="292">
        <f>SUM('PER BULAN'!M209:O209)</f>
        <v>0</v>
      </c>
      <c r="U126" s="292">
        <f>SUM('PER BULAN'!P209:R209)</f>
        <v>0</v>
      </c>
      <c r="V126" s="292">
        <f>SUM('PER BULAN'!S209:U209)</f>
        <v>0</v>
      </c>
      <c r="W126" s="292">
        <f>SUM('PER BULAN'!V209:X209)</f>
        <v>0</v>
      </c>
      <c r="X126" s="292">
        <f>SUM('PER BULAN'!Y209:AA209)</f>
        <v>0</v>
      </c>
      <c r="Y126" s="292">
        <f>SUM('PER BULAN'!AB209:AD209)</f>
        <v>0</v>
      </c>
      <c r="Z126" s="292">
        <f>SUM('PER BULAN'!AE209:AG209)</f>
        <v>0</v>
      </c>
      <c r="AA126" s="292">
        <f>SUM('PER BULAN'!AH209:AJ209)</f>
        <v>0</v>
      </c>
      <c r="AB126" s="292">
        <f>SUM('PER BULAN'!AK209:AM209)</f>
        <v>0</v>
      </c>
      <c r="AC126" s="292">
        <f>SUM('PER BULAN'!AN209:AP209)</f>
        <v>0</v>
      </c>
      <c r="AD126" s="277" t="s">
        <v>530</v>
      </c>
      <c r="AE126" s="277" t="s">
        <v>542</v>
      </c>
      <c r="AF126" s="277" t="s">
        <v>543</v>
      </c>
      <c r="AG126" s="277" t="s">
        <v>4699</v>
      </c>
      <c r="AH126" s="277" t="s">
        <v>4700</v>
      </c>
      <c r="AI126" s="277">
        <f t="shared" si="6"/>
        <v>0</v>
      </c>
      <c r="AJ126" s="291">
        <f t="shared" si="7"/>
        <v>0</v>
      </c>
      <c r="AK126" s="277">
        <f t="shared" si="8"/>
        <v>99100000</v>
      </c>
      <c r="AL126" s="291">
        <f t="shared" si="9"/>
        <v>100</v>
      </c>
      <c r="AM126" s="277" t="s">
        <v>3480</v>
      </c>
      <c r="AN126" s="277" t="s">
        <v>4730</v>
      </c>
      <c r="AO126" s="277" t="s">
        <v>4731</v>
      </c>
      <c r="AP126" s="277" t="s">
        <v>4732</v>
      </c>
      <c r="AQ126" s="292">
        <f>SUM('PER BULAN'!AX209)</f>
        <v>0</v>
      </c>
      <c r="AR126" s="292">
        <f>SUM('PER BULAN'!AY209)</f>
        <v>0</v>
      </c>
      <c r="AS126" s="292">
        <f>SUM('PER BULAN'!AZ209)</f>
        <v>0</v>
      </c>
      <c r="AT126" s="292">
        <f>SUM('PER BULAN'!BA209)</f>
        <v>0</v>
      </c>
      <c r="AU126" s="292">
        <f>SUM('PER BULAN'!BB209)</f>
        <v>0</v>
      </c>
      <c r="AV126" s="292">
        <f>SUM('PER BULAN'!BC209)</f>
        <v>0</v>
      </c>
      <c r="AW126" s="292">
        <f>SUM('PER BULAN'!BD209)</f>
        <v>0</v>
      </c>
      <c r="AX126" s="292">
        <f>SUM('PER BULAN'!BE209)</f>
        <v>0</v>
      </c>
    </row>
    <row r="127" spans="1:50" s="278" customFormat="1" x14ac:dyDescent="0.3">
      <c r="A127" s="277" t="s">
        <v>4693</v>
      </c>
      <c r="B127" s="277" t="s">
        <v>4694</v>
      </c>
      <c r="C127" s="277" t="s">
        <v>4720</v>
      </c>
      <c r="D127" s="277" t="s">
        <v>4721</v>
      </c>
      <c r="E127" s="277" t="s">
        <v>198</v>
      </c>
      <c r="F127" s="277" t="s">
        <v>4729</v>
      </c>
      <c r="G127" s="277" t="s">
        <v>4797</v>
      </c>
      <c r="H127" s="277" t="s">
        <v>4798</v>
      </c>
      <c r="I127" s="277">
        <v>996</v>
      </c>
      <c r="J127" s="277" t="s">
        <v>4799</v>
      </c>
      <c r="K127" s="277">
        <v>301</v>
      </c>
      <c r="L127" s="277" t="s">
        <v>4800</v>
      </c>
      <c r="M127" s="277" t="s">
        <v>8</v>
      </c>
      <c r="N127" s="277" t="s">
        <v>4801</v>
      </c>
      <c r="O127" s="277">
        <v>521219</v>
      </c>
      <c r="P127" s="277" t="s">
        <v>4711</v>
      </c>
      <c r="Q127" s="278">
        <v>1333864000</v>
      </c>
      <c r="R127" s="292">
        <f>SUM('PER BULAN'!G210:I210)</f>
        <v>0</v>
      </c>
      <c r="S127" s="292">
        <f>SUM('PER BULAN'!J210:L210)</f>
        <v>0</v>
      </c>
      <c r="T127" s="292">
        <f>SUM('PER BULAN'!M210:O210)</f>
        <v>0</v>
      </c>
      <c r="U127" s="292">
        <f>SUM('PER BULAN'!P210:R210)</f>
        <v>0</v>
      </c>
      <c r="V127" s="292">
        <f>SUM('PER BULAN'!S210:U210)</f>
        <v>0</v>
      </c>
      <c r="W127" s="292">
        <f>SUM('PER BULAN'!V210:X210)</f>
        <v>0</v>
      </c>
      <c r="X127" s="292">
        <f>SUM('PER BULAN'!Y210:AA210)</f>
        <v>0</v>
      </c>
      <c r="Y127" s="292">
        <f>SUM('PER BULAN'!AB210:AD210)</f>
        <v>0</v>
      </c>
      <c r="Z127" s="292">
        <f>SUM('PER BULAN'!AE210:AG210)</f>
        <v>0</v>
      </c>
      <c r="AA127" s="292">
        <f>SUM('PER BULAN'!AH210:AJ210)</f>
        <v>0</v>
      </c>
      <c r="AB127" s="292">
        <f>SUM('PER BULAN'!AK210:AM210)</f>
        <v>0</v>
      </c>
      <c r="AC127" s="292">
        <f>SUM('PER BULAN'!AN210:AP210)</f>
        <v>0</v>
      </c>
      <c r="AD127" s="277" t="s">
        <v>530</v>
      </c>
      <c r="AE127" s="277" t="s">
        <v>542</v>
      </c>
      <c r="AF127" s="277" t="s">
        <v>543</v>
      </c>
      <c r="AG127" s="277" t="s">
        <v>4699</v>
      </c>
      <c r="AH127" s="277" t="s">
        <v>4700</v>
      </c>
      <c r="AI127" s="277">
        <f t="shared" ref="AI127:AI143" si="10">SUM(R127:AC127)</f>
        <v>0</v>
      </c>
      <c r="AJ127" s="291">
        <f t="shared" ref="AJ127:AJ143" si="11">AI127/Q127*100</f>
        <v>0</v>
      </c>
      <c r="AK127" s="277">
        <f t="shared" ref="AK127:AK143" si="12">Q127-AI127</f>
        <v>1333864000</v>
      </c>
      <c r="AL127" s="291">
        <f t="shared" ref="AL127:AL143" si="13">AK127/Q127*100</f>
        <v>100</v>
      </c>
      <c r="AM127" s="277" t="s">
        <v>3488</v>
      </c>
      <c r="AN127" s="277" t="s">
        <v>4730</v>
      </c>
      <c r="AO127" s="277" t="s">
        <v>4733</v>
      </c>
      <c r="AP127" s="277" t="s">
        <v>4732</v>
      </c>
      <c r="AQ127" s="292">
        <f>SUM('PER BULAN'!AX210)</f>
        <v>0</v>
      </c>
      <c r="AR127" s="292">
        <f>SUM('PER BULAN'!AY210)</f>
        <v>0</v>
      </c>
      <c r="AS127" s="292">
        <f>SUM('PER BULAN'!AZ210)</f>
        <v>0</v>
      </c>
      <c r="AT127" s="292">
        <f>SUM('PER BULAN'!BA210)</f>
        <v>0</v>
      </c>
      <c r="AU127" s="292">
        <f>SUM('PER BULAN'!BB210)</f>
        <v>0</v>
      </c>
      <c r="AV127" s="292">
        <f>SUM('PER BULAN'!BC210)</f>
        <v>0</v>
      </c>
      <c r="AW127" s="292">
        <f>SUM('PER BULAN'!BD210)</f>
        <v>0</v>
      </c>
      <c r="AX127" s="292">
        <f>SUM('PER BULAN'!BE210)</f>
        <v>0</v>
      </c>
    </row>
    <row r="128" spans="1:50" s="278" customFormat="1" x14ac:dyDescent="0.3">
      <c r="A128" s="277" t="s">
        <v>4693</v>
      </c>
      <c r="B128" s="277" t="s">
        <v>4694</v>
      </c>
      <c r="C128" s="277" t="s">
        <v>4720</v>
      </c>
      <c r="D128" s="277" t="s">
        <v>4721</v>
      </c>
      <c r="E128" s="277" t="s">
        <v>198</v>
      </c>
      <c r="F128" s="277" t="s">
        <v>4729</v>
      </c>
      <c r="G128" s="277" t="s">
        <v>4797</v>
      </c>
      <c r="H128" s="277" t="s">
        <v>4798</v>
      </c>
      <c r="I128" s="277">
        <v>996</v>
      </c>
      <c r="J128" s="277" t="s">
        <v>4799</v>
      </c>
      <c r="K128" s="277">
        <v>301</v>
      </c>
      <c r="L128" s="277" t="s">
        <v>4800</v>
      </c>
      <c r="M128" s="277" t="s">
        <v>8</v>
      </c>
      <c r="N128" s="277" t="s">
        <v>4801</v>
      </c>
      <c r="O128" s="277">
        <v>521811</v>
      </c>
      <c r="P128" s="277" t="s">
        <v>4716</v>
      </c>
      <c r="Q128" s="278">
        <v>25000000</v>
      </c>
      <c r="R128" s="292">
        <f>SUM('PER BULAN'!G211:I211)</f>
        <v>0</v>
      </c>
      <c r="S128" s="292">
        <f>SUM('PER BULAN'!J211:L211)</f>
        <v>0</v>
      </c>
      <c r="T128" s="292">
        <f>SUM('PER BULAN'!M211:O211)</f>
        <v>0</v>
      </c>
      <c r="U128" s="292">
        <f>SUM('PER BULAN'!P211:R211)</f>
        <v>0</v>
      </c>
      <c r="V128" s="292">
        <f>SUM('PER BULAN'!S211:U211)</f>
        <v>4855000</v>
      </c>
      <c r="W128" s="292">
        <f>SUM('PER BULAN'!V211:X211)</f>
        <v>0</v>
      </c>
      <c r="X128" s="292">
        <f>SUM('PER BULAN'!Y211:AA211)</f>
        <v>0</v>
      </c>
      <c r="Y128" s="292">
        <f>SUM('PER BULAN'!AB211:AD211)</f>
        <v>0</v>
      </c>
      <c r="Z128" s="292">
        <f>SUM('PER BULAN'!AE211:AG211)</f>
        <v>0</v>
      </c>
      <c r="AA128" s="292">
        <f>SUM('PER BULAN'!AH211:AJ211)</f>
        <v>0</v>
      </c>
      <c r="AB128" s="292">
        <f>SUM('PER BULAN'!AK211:AM211)</f>
        <v>0</v>
      </c>
      <c r="AC128" s="292">
        <f>SUM('PER BULAN'!AN211:AP211)</f>
        <v>0</v>
      </c>
      <c r="AD128" s="277" t="s">
        <v>530</v>
      </c>
      <c r="AE128" s="277" t="s">
        <v>542</v>
      </c>
      <c r="AF128" s="277" t="s">
        <v>543</v>
      </c>
      <c r="AG128" s="277" t="s">
        <v>4699</v>
      </c>
      <c r="AH128" s="277" t="s">
        <v>4700</v>
      </c>
      <c r="AI128" s="277">
        <f t="shared" si="10"/>
        <v>4855000</v>
      </c>
      <c r="AJ128" s="291">
        <f t="shared" si="11"/>
        <v>19.420000000000002</v>
      </c>
      <c r="AK128" s="277">
        <f t="shared" si="12"/>
        <v>20145000</v>
      </c>
      <c r="AL128" s="291">
        <f t="shared" si="13"/>
        <v>80.58</v>
      </c>
      <c r="AM128" s="277" t="s">
        <v>3492</v>
      </c>
      <c r="AN128" s="277" t="s">
        <v>4730</v>
      </c>
      <c r="AO128" s="277" t="s">
        <v>4826</v>
      </c>
      <c r="AP128" s="277" t="s">
        <v>4732</v>
      </c>
      <c r="AQ128" s="292">
        <f>SUM('PER BULAN'!AX211)</f>
        <v>0</v>
      </c>
      <c r="AR128" s="292">
        <f>SUM('PER BULAN'!AY211)</f>
        <v>0</v>
      </c>
      <c r="AS128" s="292">
        <f>SUM('PER BULAN'!AZ211)</f>
        <v>0</v>
      </c>
      <c r="AT128" s="292">
        <f>SUM('PER BULAN'!BA211)</f>
        <v>0</v>
      </c>
      <c r="AU128" s="292">
        <f>SUM('PER BULAN'!BB211)</f>
        <v>0</v>
      </c>
      <c r="AV128" s="292">
        <f>SUM('PER BULAN'!BC211)</f>
        <v>0</v>
      </c>
      <c r="AW128" s="292">
        <f>SUM('PER BULAN'!BD211)</f>
        <v>4855000</v>
      </c>
      <c r="AX128" s="292">
        <f>SUM('PER BULAN'!BE211)</f>
        <v>0</v>
      </c>
    </row>
    <row r="129" spans="1:50" s="278" customFormat="1" x14ac:dyDescent="0.3">
      <c r="A129" s="277" t="s">
        <v>4693</v>
      </c>
      <c r="B129" s="277" t="s">
        <v>4694</v>
      </c>
      <c r="C129" s="277" t="s">
        <v>4720</v>
      </c>
      <c r="D129" s="277" t="s">
        <v>4721</v>
      </c>
      <c r="E129" s="277" t="s">
        <v>198</v>
      </c>
      <c r="F129" s="277" t="s">
        <v>4729</v>
      </c>
      <c r="G129" s="277" t="s">
        <v>4797</v>
      </c>
      <c r="H129" s="277" t="s">
        <v>4798</v>
      </c>
      <c r="I129" s="277">
        <v>996</v>
      </c>
      <c r="J129" s="277" t="s">
        <v>4799</v>
      </c>
      <c r="K129" s="277">
        <v>301</v>
      </c>
      <c r="L129" s="277" t="s">
        <v>4800</v>
      </c>
      <c r="M129" s="277" t="s">
        <v>8</v>
      </c>
      <c r="N129" s="277" t="s">
        <v>4801</v>
      </c>
      <c r="O129" s="277">
        <v>522151</v>
      </c>
      <c r="P129" s="277" t="s">
        <v>4701</v>
      </c>
      <c r="Q129" s="278">
        <v>15000000</v>
      </c>
      <c r="R129" s="292">
        <f>SUM('PER BULAN'!G212:I212)</f>
        <v>0</v>
      </c>
      <c r="S129" s="292">
        <f>SUM('PER BULAN'!J212:L212)</f>
        <v>0</v>
      </c>
      <c r="T129" s="292">
        <f>SUM('PER BULAN'!M212:O212)</f>
        <v>0</v>
      </c>
      <c r="U129" s="292">
        <f>SUM('PER BULAN'!P212:R212)</f>
        <v>0</v>
      </c>
      <c r="V129" s="292">
        <f>SUM('PER BULAN'!S212:U212)</f>
        <v>0</v>
      </c>
      <c r="W129" s="292">
        <f>SUM('PER BULAN'!V212:X212)</f>
        <v>0</v>
      </c>
      <c r="X129" s="292">
        <f>SUM('PER BULAN'!Y212:AA212)</f>
        <v>0</v>
      </c>
      <c r="Y129" s="292">
        <f>SUM('PER BULAN'!AB212:AD212)</f>
        <v>0</v>
      </c>
      <c r="Z129" s="292">
        <f>SUM('PER BULAN'!AE212:AG212)</f>
        <v>0</v>
      </c>
      <c r="AA129" s="292">
        <f>SUM('PER BULAN'!AH212:AJ212)</f>
        <v>0</v>
      </c>
      <c r="AB129" s="292">
        <f>SUM('PER BULAN'!AK212:AM212)</f>
        <v>0</v>
      </c>
      <c r="AC129" s="292">
        <f>SUM('PER BULAN'!AN212:AP212)</f>
        <v>0</v>
      </c>
      <c r="AD129" s="277" t="s">
        <v>530</v>
      </c>
      <c r="AE129" s="277" t="s">
        <v>542</v>
      </c>
      <c r="AF129" s="277" t="s">
        <v>543</v>
      </c>
      <c r="AG129" s="277" t="s">
        <v>4699</v>
      </c>
      <c r="AH129" s="277" t="s">
        <v>4700</v>
      </c>
      <c r="AI129" s="277">
        <f t="shared" si="10"/>
        <v>0</v>
      </c>
      <c r="AJ129" s="291">
        <f t="shared" si="11"/>
        <v>0</v>
      </c>
      <c r="AK129" s="277">
        <f t="shared" si="12"/>
        <v>15000000</v>
      </c>
      <c r="AL129" s="291">
        <f t="shared" si="13"/>
        <v>100</v>
      </c>
      <c r="AM129" s="277" t="s">
        <v>3495</v>
      </c>
      <c r="AN129" s="277" t="s">
        <v>4730</v>
      </c>
      <c r="AO129" s="277" t="s">
        <v>4735</v>
      </c>
      <c r="AP129" s="277" t="s">
        <v>4732</v>
      </c>
      <c r="AQ129" s="292">
        <f>SUM('PER BULAN'!AX212)</f>
        <v>0</v>
      </c>
      <c r="AR129" s="292">
        <f>SUM('PER BULAN'!AY212)</f>
        <v>0</v>
      </c>
      <c r="AS129" s="292">
        <f>SUM('PER BULAN'!AZ212)</f>
        <v>0</v>
      </c>
      <c r="AT129" s="292">
        <f>SUM('PER BULAN'!BA212)</f>
        <v>0</v>
      </c>
      <c r="AU129" s="292">
        <f>SUM('PER BULAN'!BB212)</f>
        <v>0</v>
      </c>
      <c r="AV129" s="292">
        <f>SUM('PER BULAN'!BC212)</f>
        <v>0</v>
      </c>
      <c r="AW129" s="292">
        <f>SUM('PER BULAN'!BD212)</f>
        <v>0</v>
      </c>
      <c r="AX129" s="292">
        <f>SUM('PER BULAN'!BE212)</f>
        <v>0</v>
      </c>
    </row>
    <row r="130" spans="1:50" s="278" customFormat="1" x14ac:dyDescent="0.3">
      <c r="A130" s="277" t="s">
        <v>4693</v>
      </c>
      <c r="B130" s="277" t="s">
        <v>4694</v>
      </c>
      <c r="C130" s="277" t="s">
        <v>4720</v>
      </c>
      <c r="D130" s="277" t="s">
        <v>4721</v>
      </c>
      <c r="E130" s="277" t="s">
        <v>198</v>
      </c>
      <c r="F130" s="277" t="s">
        <v>4729</v>
      </c>
      <c r="G130" s="277" t="s">
        <v>4797</v>
      </c>
      <c r="H130" s="277" t="s">
        <v>4798</v>
      </c>
      <c r="I130" s="277">
        <v>996</v>
      </c>
      <c r="J130" s="277" t="s">
        <v>4799</v>
      </c>
      <c r="K130" s="277">
        <v>301</v>
      </c>
      <c r="L130" s="277" t="s">
        <v>4800</v>
      </c>
      <c r="M130" s="277" t="s">
        <v>8</v>
      </c>
      <c r="N130" s="277" t="s">
        <v>4801</v>
      </c>
      <c r="O130" s="277">
        <v>522191</v>
      </c>
      <c r="P130" s="277" t="s">
        <v>4802</v>
      </c>
      <c r="Q130" s="278">
        <v>102600000</v>
      </c>
      <c r="R130" s="292">
        <f>SUM('PER BULAN'!G213:I213)</f>
        <v>0</v>
      </c>
      <c r="S130" s="292">
        <f>SUM('PER BULAN'!J213:L213)</f>
        <v>0</v>
      </c>
      <c r="T130" s="292">
        <f>SUM('PER BULAN'!M213:O213)</f>
        <v>0</v>
      </c>
      <c r="U130" s="292">
        <f>SUM('PER BULAN'!P213:R213)</f>
        <v>0</v>
      </c>
      <c r="V130" s="292">
        <f>SUM('PER BULAN'!S213:U213)</f>
        <v>0</v>
      </c>
      <c r="W130" s="292">
        <f>SUM('PER BULAN'!V213:X213)</f>
        <v>0</v>
      </c>
      <c r="X130" s="292">
        <f>SUM('PER BULAN'!Y213:AA213)</f>
        <v>0</v>
      </c>
      <c r="Y130" s="292">
        <f>SUM('PER BULAN'!AB213:AD213)</f>
        <v>0</v>
      </c>
      <c r="Z130" s="292">
        <f>SUM('PER BULAN'!AE213:AG213)</f>
        <v>0</v>
      </c>
      <c r="AA130" s="292">
        <f>SUM('PER BULAN'!AH213:AJ213)</f>
        <v>0</v>
      </c>
      <c r="AB130" s="292">
        <f>SUM('PER BULAN'!AK213:AM213)</f>
        <v>0</v>
      </c>
      <c r="AC130" s="292">
        <f>SUM('PER BULAN'!AN213:AP213)</f>
        <v>0</v>
      </c>
      <c r="AD130" s="277" t="s">
        <v>530</v>
      </c>
      <c r="AE130" s="277" t="s">
        <v>542</v>
      </c>
      <c r="AF130" s="277" t="s">
        <v>543</v>
      </c>
      <c r="AG130" s="277" t="s">
        <v>4699</v>
      </c>
      <c r="AH130" s="277" t="s">
        <v>4700</v>
      </c>
      <c r="AI130" s="277">
        <f t="shared" si="10"/>
        <v>0</v>
      </c>
      <c r="AJ130" s="291">
        <f t="shared" si="11"/>
        <v>0</v>
      </c>
      <c r="AK130" s="277">
        <f t="shared" si="12"/>
        <v>102600000</v>
      </c>
      <c r="AL130" s="291">
        <f t="shared" si="13"/>
        <v>100</v>
      </c>
      <c r="AM130" s="277" t="s">
        <v>3497</v>
      </c>
      <c r="AN130" s="277" t="s">
        <v>4730</v>
      </c>
      <c r="AO130" s="277" t="s">
        <v>4735</v>
      </c>
      <c r="AP130" s="277" t="s">
        <v>4732</v>
      </c>
      <c r="AQ130" s="292">
        <f>SUM('PER BULAN'!AX213)</f>
        <v>0</v>
      </c>
      <c r="AR130" s="292">
        <f>SUM('PER BULAN'!AY213)</f>
        <v>0</v>
      </c>
      <c r="AS130" s="292">
        <f>SUM('PER BULAN'!AZ213)</f>
        <v>0</v>
      </c>
      <c r="AT130" s="292">
        <f>SUM('PER BULAN'!BA213)</f>
        <v>0</v>
      </c>
      <c r="AU130" s="292">
        <f>SUM('PER BULAN'!BB213)</f>
        <v>0</v>
      </c>
      <c r="AV130" s="292">
        <f>SUM('PER BULAN'!BC213)</f>
        <v>0</v>
      </c>
      <c r="AW130" s="292">
        <f>SUM('PER BULAN'!BD213)</f>
        <v>0</v>
      </c>
      <c r="AX130" s="292">
        <f>SUM('PER BULAN'!BE213)</f>
        <v>0</v>
      </c>
    </row>
    <row r="131" spans="1:50" s="278" customFormat="1" x14ac:dyDescent="0.3">
      <c r="A131" s="277" t="s">
        <v>4693</v>
      </c>
      <c r="B131" s="277" t="s">
        <v>4694</v>
      </c>
      <c r="C131" s="277" t="s">
        <v>4720</v>
      </c>
      <c r="D131" s="277" t="s">
        <v>4721</v>
      </c>
      <c r="E131" s="277" t="s">
        <v>198</v>
      </c>
      <c r="F131" s="277" t="s">
        <v>4729</v>
      </c>
      <c r="G131" s="277" t="s">
        <v>4797</v>
      </c>
      <c r="H131" s="277" t="s">
        <v>4798</v>
      </c>
      <c r="I131" s="277">
        <v>996</v>
      </c>
      <c r="J131" s="277" t="s">
        <v>4799</v>
      </c>
      <c r="K131" s="277">
        <v>301</v>
      </c>
      <c r="L131" s="277" t="s">
        <v>4800</v>
      </c>
      <c r="M131" s="277" t="s">
        <v>8</v>
      </c>
      <c r="N131" s="277" t="s">
        <v>4801</v>
      </c>
      <c r="O131" s="277">
        <v>524111</v>
      </c>
      <c r="P131" s="277" t="s">
        <v>4702</v>
      </c>
      <c r="Q131" s="278">
        <v>138000000</v>
      </c>
      <c r="R131" s="292">
        <f>SUM('PER BULAN'!G215:I215)</f>
        <v>0</v>
      </c>
      <c r="S131" s="292">
        <f>SUM('PER BULAN'!J214:L214)</f>
        <v>0</v>
      </c>
      <c r="T131" s="292">
        <f>SUM('PER BULAN'!M214:O214)</f>
        <v>0</v>
      </c>
      <c r="U131" s="292">
        <f>SUM('PER BULAN'!P214:R214)</f>
        <v>5900000</v>
      </c>
      <c r="V131" s="292">
        <f>SUM('PER BULAN'!S214:U214)</f>
        <v>0</v>
      </c>
      <c r="W131" s="292">
        <f>SUM('PER BULAN'!V214:X214)</f>
        <v>14635000</v>
      </c>
      <c r="X131" s="292">
        <f>SUM('PER BULAN'!Y214:AA214)</f>
        <v>0</v>
      </c>
      <c r="Y131" s="292">
        <f>SUM('PER BULAN'!AB214:AD214)</f>
        <v>0</v>
      </c>
      <c r="Z131" s="292">
        <f>SUM('PER BULAN'!AE214:AG214)</f>
        <v>0</v>
      </c>
      <c r="AA131" s="292">
        <f>SUM('PER BULAN'!AH214:AJ214)</f>
        <v>0</v>
      </c>
      <c r="AB131" s="292">
        <f>SUM('PER BULAN'!AK214:AM214)</f>
        <v>0</v>
      </c>
      <c r="AC131" s="292">
        <f>SUM('PER BULAN'!AN214:AP214)</f>
        <v>0</v>
      </c>
      <c r="AD131" s="277" t="s">
        <v>530</v>
      </c>
      <c r="AE131" s="277" t="s">
        <v>542</v>
      </c>
      <c r="AF131" s="277" t="s">
        <v>543</v>
      </c>
      <c r="AG131" s="277" t="s">
        <v>4699</v>
      </c>
      <c r="AH131" s="277" t="s">
        <v>4700</v>
      </c>
      <c r="AI131" s="277">
        <f t="shared" si="10"/>
        <v>20535000</v>
      </c>
      <c r="AJ131" s="291">
        <f t="shared" si="11"/>
        <v>14.880434782608695</v>
      </c>
      <c r="AK131" s="277">
        <f t="shared" si="12"/>
        <v>117465000</v>
      </c>
      <c r="AL131" s="291">
        <f t="shared" si="13"/>
        <v>85.119565217391298</v>
      </c>
      <c r="AM131" s="277" t="s">
        <v>3500</v>
      </c>
      <c r="AN131" s="277" t="s">
        <v>4730</v>
      </c>
      <c r="AO131" s="277" t="s">
        <v>4736</v>
      </c>
      <c r="AP131" s="277" t="s">
        <v>4732</v>
      </c>
      <c r="AQ131" s="292">
        <f>SUM('PER BULAN'!AX214)</f>
        <v>0</v>
      </c>
      <c r="AR131" s="292">
        <f>SUM('PER BULAN'!AY214)</f>
        <v>0</v>
      </c>
      <c r="AS131" s="292">
        <f>SUM('PER BULAN'!AZ214)</f>
        <v>0</v>
      </c>
      <c r="AT131" s="292">
        <f>SUM('PER BULAN'!BA214)</f>
        <v>0</v>
      </c>
      <c r="AU131" s="292">
        <f>SUM('PER BULAN'!BB214)</f>
        <v>0</v>
      </c>
      <c r="AV131" s="292">
        <f>SUM('PER BULAN'!BC214)</f>
        <v>0</v>
      </c>
      <c r="AW131" s="292">
        <f>SUM('PER BULAN'!BD214)</f>
        <v>0</v>
      </c>
      <c r="AX131" s="292">
        <f>SUM('PER BULAN'!BE214)</f>
        <v>0</v>
      </c>
    </row>
    <row r="132" spans="1:50" s="278" customFormat="1" x14ac:dyDescent="0.3">
      <c r="A132" s="277" t="s">
        <v>4693</v>
      </c>
      <c r="B132" s="277" t="s">
        <v>4694</v>
      </c>
      <c r="C132" s="277" t="s">
        <v>4720</v>
      </c>
      <c r="D132" s="277" t="s">
        <v>4721</v>
      </c>
      <c r="E132" s="277" t="s">
        <v>198</v>
      </c>
      <c r="F132" s="277" t="s">
        <v>4729</v>
      </c>
      <c r="G132" s="277" t="s">
        <v>4797</v>
      </c>
      <c r="H132" s="277" t="s">
        <v>4798</v>
      </c>
      <c r="I132" s="277">
        <v>996</v>
      </c>
      <c r="J132" s="277" t="s">
        <v>4799</v>
      </c>
      <c r="K132" s="277">
        <v>301</v>
      </c>
      <c r="L132" s="277" t="s">
        <v>4800</v>
      </c>
      <c r="M132" s="277" t="s">
        <v>511</v>
      </c>
      <c r="N132" s="277" t="s">
        <v>4803</v>
      </c>
      <c r="O132" s="277">
        <v>521211</v>
      </c>
      <c r="P132" s="277" t="s">
        <v>4698</v>
      </c>
      <c r="Q132" s="278">
        <v>25000000</v>
      </c>
      <c r="R132" s="292">
        <f>SUM('PER BULAN'!G216:I216)</f>
        <v>0</v>
      </c>
      <c r="S132" s="292">
        <f>SUM('PER BULAN'!J216:L216)</f>
        <v>0</v>
      </c>
      <c r="T132" s="292">
        <f>SUM('PER BULAN'!M216:O216)</f>
        <v>0</v>
      </c>
      <c r="U132" s="292">
        <f>SUM('PER BULAN'!P216:R216)</f>
        <v>0</v>
      </c>
      <c r="V132" s="292">
        <f>SUM('PER BULAN'!S216:U216)</f>
        <v>1475000</v>
      </c>
      <c r="W132" s="292">
        <f>SUM('PER BULAN'!V216:X216)</f>
        <v>1442500</v>
      </c>
      <c r="X132" s="292">
        <f>SUM('PER BULAN'!Y216:AA216)</f>
        <v>0</v>
      </c>
      <c r="Y132" s="292">
        <f>SUM('PER BULAN'!AB216:AD216)</f>
        <v>0</v>
      </c>
      <c r="Z132" s="292">
        <f>SUM('PER BULAN'!AE216:AG216)</f>
        <v>0</v>
      </c>
      <c r="AA132" s="292">
        <f>SUM('PER BULAN'!AH216:AJ216)</f>
        <v>0</v>
      </c>
      <c r="AB132" s="292">
        <f>SUM('PER BULAN'!AK216:AM216)</f>
        <v>0</v>
      </c>
      <c r="AC132" s="292">
        <f>SUM('PER BULAN'!AN216:AP216)</f>
        <v>0</v>
      </c>
      <c r="AD132" s="277" t="s">
        <v>530</v>
      </c>
      <c r="AE132" s="277" t="s">
        <v>542</v>
      </c>
      <c r="AF132" s="277" t="s">
        <v>543</v>
      </c>
      <c r="AG132" s="277" t="s">
        <v>4699</v>
      </c>
      <c r="AH132" s="277" t="s">
        <v>4700</v>
      </c>
      <c r="AI132" s="277">
        <f t="shared" si="10"/>
        <v>2917500</v>
      </c>
      <c r="AJ132" s="291">
        <f t="shared" si="11"/>
        <v>11.67</v>
      </c>
      <c r="AK132" s="277">
        <f t="shared" si="12"/>
        <v>22082500</v>
      </c>
      <c r="AL132" s="291">
        <f t="shared" si="13"/>
        <v>88.33</v>
      </c>
      <c r="AM132" s="277" t="s">
        <v>3506</v>
      </c>
      <c r="AN132" s="277" t="s">
        <v>4730</v>
      </c>
      <c r="AO132" s="277" t="s">
        <v>4731</v>
      </c>
      <c r="AP132" s="277" t="s">
        <v>4732</v>
      </c>
      <c r="AQ132" s="292">
        <f>SUM('PER BULAN'!AX216)</f>
        <v>0</v>
      </c>
      <c r="AR132" s="292">
        <f>SUM('PER BULAN'!AY216)</f>
        <v>0</v>
      </c>
      <c r="AS132" s="292">
        <f>SUM('PER BULAN'!AZ216)</f>
        <v>0</v>
      </c>
      <c r="AT132" s="292">
        <f>SUM('PER BULAN'!BA216)</f>
        <v>0</v>
      </c>
      <c r="AU132" s="292">
        <f>SUM('PER BULAN'!BB216)</f>
        <v>0</v>
      </c>
      <c r="AV132" s="292">
        <f>SUM('PER BULAN'!BC216)</f>
        <v>0</v>
      </c>
      <c r="AW132" s="292">
        <f>SUM('PER BULAN'!BD216)</f>
        <v>1475000</v>
      </c>
      <c r="AX132" s="292">
        <f>SUM('PER BULAN'!BE216)</f>
        <v>1442500</v>
      </c>
    </row>
    <row r="133" spans="1:50" s="278" customFormat="1" x14ac:dyDescent="0.3">
      <c r="A133" s="277" t="s">
        <v>4693</v>
      </c>
      <c r="B133" s="277" t="s">
        <v>4694</v>
      </c>
      <c r="C133" s="277" t="s">
        <v>4720</v>
      </c>
      <c r="D133" s="277" t="s">
        <v>4721</v>
      </c>
      <c r="E133" s="277" t="s">
        <v>198</v>
      </c>
      <c r="F133" s="277" t="s">
        <v>4729</v>
      </c>
      <c r="G133" s="277" t="s">
        <v>4797</v>
      </c>
      <c r="H133" s="277" t="s">
        <v>4798</v>
      </c>
      <c r="I133" s="277">
        <v>996</v>
      </c>
      <c r="J133" s="277" t="s">
        <v>4799</v>
      </c>
      <c r="K133" s="277">
        <v>301</v>
      </c>
      <c r="L133" s="277" t="s">
        <v>4800</v>
      </c>
      <c r="M133" s="277" t="s">
        <v>511</v>
      </c>
      <c r="N133" s="277" t="s">
        <v>4803</v>
      </c>
      <c r="O133" s="277">
        <v>521219</v>
      </c>
      <c r="P133" s="277" t="s">
        <v>4711</v>
      </c>
      <c r="Q133" s="278">
        <v>6308695000</v>
      </c>
      <c r="R133" s="292">
        <f>SUM('PER BULAN'!G217:I217)</f>
        <v>0</v>
      </c>
      <c r="S133" s="292">
        <f>SUM('PER BULAN'!J217:L217)</f>
        <v>0</v>
      </c>
      <c r="T133" s="292">
        <f>SUM('PER BULAN'!M217:O217)</f>
        <v>0</v>
      </c>
      <c r="U133" s="292">
        <f>SUM('PER BULAN'!P217:R217)</f>
        <v>1549795356</v>
      </c>
      <c r="V133" s="292">
        <f>SUM('PER BULAN'!S217:U217)</f>
        <v>0</v>
      </c>
      <c r="W133" s="292">
        <f>SUM('PER BULAN'!V217:X217)</f>
        <v>1843270850</v>
      </c>
      <c r="X133" s="292">
        <f>SUM('PER BULAN'!Y217:AA217)</f>
        <v>0</v>
      </c>
      <c r="Y133" s="292">
        <f>SUM('PER BULAN'!AB217:AD217)</f>
        <v>0</v>
      </c>
      <c r="Z133" s="292">
        <f>SUM('PER BULAN'!AE217:AG217)</f>
        <v>0</v>
      </c>
      <c r="AA133" s="292">
        <f>SUM('PER BULAN'!AH217:AJ217)</f>
        <v>0</v>
      </c>
      <c r="AB133" s="292">
        <f>SUM('PER BULAN'!AK217:AM217)</f>
        <v>0</v>
      </c>
      <c r="AC133" s="292">
        <f>SUM('PER BULAN'!AN217:AP217)</f>
        <v>0</v>
      </c>
      <c r="AD133" s="277" t="s">
        <v>530</v>
      </c>
      <c r="AE133" s="277" t="s">
        <v>542</v>
      </c>
      <c r="AF133" s="277" t="s">
        <v>543</v>
      </c>
      <c r="AG133" s="277" t="s">
        <v>4699</v>
      </c>
      <c r="AH133" s="277" t="s">
        <v>4700</v>
      </c>
      <c r="AI133" s="277">
        <f t="shared" si="10"/>
        <v>3393066206</v>
      </c>
      <c r="AJ133" s="291">
        <f t="shared" si="11"/>
        <v>53.78396333948622</v>
      </c>
      <c r="AK133" s="277">
        <f t="shared" si="12"/>
        <v>2915628794</v>
      </c>
      <c r="AL133" s="291">
        <f t="shared" si="13"/>
        <v>46.21603666051378</v>
      </c>
      <c r="AM133" s="277" t="s">
        <v>3509</v>
      </c>
      <c r="AN133" s="277" t="s">
        <v>4730</v>
      </c>
      <c r="AO133" s="277" t="s">
        <v>4733</v>
      </c>
      <c r="AP133" s="277" t="s">
        <v>4732</v>
      </c>
      <c r="AQ133" s="292">
        <f>SUM('PER BULAN'!AX217)</f>
        <v>0</v>
      </c>
      <c r="AR133" s="292">
        <f>SUM('PER BULAN'!AY217)</f>
        <v>0</v>
      </c>
      <c r="AS133" s="292">
        <f>SUM('PER BULAN'!AZ217)</f>
        <v>0</v>
      </c>
      <c r="AT133" s="292">
        <f>SUM('PER BULAN'!BA217)</f>
        <v>0</v>
      </c>
      <c r="AU133" s="292">
        <f>SUM('PER BULAN'!BB217)</f>
        <v>0</v>
      </c>
      <c r="AV133" s="292">
        <f>SUM('PER BULAN'!BC217)</f>
        <v>0</v>
      </c>
      <c r="AW133" s="292">
        <f>SUM('PER BULAN'!BD217)</f>
        <v>0</v>
      </c>
      <c r="AX133" s="292">
        <f>SUM('PER BULAN'!BE217)</f>
        <v>0</v>
      </c>
    </row>
    <row r="134" spans="1:50" s="278" customFormat="1" x14ac:dyDescent="0.3">
      <c r="A134" s="277" t="s">
        <v>4693</v>
      </c>
      <c r="B134" s="277" t="s">
        <v>4694</v>
      </c>
      <c r="C134" s="277" t="s">
        <v>4720</v>
      </c>
      <c r="D134" s="277" t="s">
        <v>4721</v>
      </c>
      <c r="E134" s="277" t="s">
        <v>198</v>
      </c>
      <c r="F134" s="277" t="s">
        <v>4729</v>
      </c>
      <c r="G134" s="277" t="s">
        <v>4797</v>
      </c>
      <c r="H134" s="277" t="s">
        <v>4798</v>
      </c>
      <c r="I134" s="277">
        <v>996</v>
      </c>
      <c r="J134" s="277" t="s">
        <v>4799</v>
      </c>
      <c r="K134" s="277">
        <v>301</v>
      </c>
      <c r="L134" s="277" t="s">
        <v>4800</v>
      </c>
      <c r="M134" s="277" t="s">
        <v>511</v>
      </c>
      <c r="N134" s="277" t="s">
        <v>4803</v>
      </c>
      <c r="O134" s="277">
        <v>521811</v>
      </c>
      <c r="P134" s="277" t="s">
        <v>4716</v>
      </c>
      <c r="Q134" s="278">
        <v>30000000</v>
      </c>
      <c r="R134" s="292">
        <f>SUM('PER BULAN'!G218:I218)</f>
        <v>0</v>
      </c>
      <c r="S134" s="292">
        <f>SUM('PER BULAN'!J218:L218)</f>
        <v>0</v>
      </c>
      <c r="T134" s="292">
        <f>SUM('PER BULAN'!M218:O218)</f>
        <v>0</v>
      </c>
      <c r="U134" s="292">
        <f>SUM('PER BULAN'!P218:R218)</f>
        <v>0</v>
      </c>
      <c r="V134" s="292">
        <f>SUM('PER BULAN'!S218:U218)</f>
        <v>3364000</v>
      </c>
      <c r="W134" s="292">
        <f>SUM('PER BULAN'!V218:X218)</f>
        <v>1447000</v>
      </c>
      <c r="X134" s="292">
        <f>SUM('PER BULAN'!Y218:AA218)</f>
        <v>0</v>
      </c>
      <c r="Y134" s="292">
        <f>SUM('PER BULAN'!AB218:AD218)</f>
        <v>0</v>
      </c>
      <c r="Z134" s="292">
        <f>SUM('PER BULAN'!AE218:AG218)</f>
        <v>0</v>
      </c>
      <c r="AA134" s="292">
        <f>SUM('PER BULAN'!AH218:AJ218)</f>
        <v>0</v>
      </c>
      <c r="AB134" s="292">
        <f>SUM('PER BULAN'!AK218:AM218)</f>
        <v>0</v>
      </c>
      <c r="AC134" s="292">
        <f>SUM('PER BULAN'!AN218:AP218)</f>
        <v>0</v>
      </c>
      <c r="AD134" s="277" t="s">
        <v>530</v>
      </c>
      <c r="AE134" s="277" t="s">
        <v>542</v>
      </c>
      <c r="AF134" s="277" t="s">
        <v>543</v>
      </c>
      <c r="AG134" s="277" t="s">
        <v>4699</v>
      </c>
      <c r="AH134" s="277" t="s">
        <v>4700</v>
      </c>
      <c r="AI134" s="277">
        <f t="shared" si="10"/>
        <v>4811000</v>
      </c>
      <c r="AJ134" s="291">
        <f t="shared" si="11"/>
        <v>16.036666666666665</v>
      </c>
      <c r="AK134" s="277">
        <f t="shared" si="12"/>
        <v>25189000</v>
      </c>
      <c r="AL134" s="291">
        <f t="shared" si="13"/>
        <v>83.963333333333338</v>
      </c>
      <c r="AM134" s="277" t="s">
        <v>3514</v>
      </c>
      <c r="AN134" s="277" t="s">
        <v>4730</v>
      </c>
      <c r="AO134" s="277" t="s">
        <v>4826</v>
      </c>
      <c r="AP134" s="277" t="s">
        <v>4732</v>
      </c>
      <c r="AQ134" s="292">
        <f>SUM('PER BULAN'!AX218)</f>
        <v>0</v>
      </c>
      <c r="AR134" s="292">
        <f>SUM('PER BULAN'!AY218)</f>
        <v>0</v>
      </c>
      <c r="AS134" s="292">
        <f>SUM('PER BULAN'!AZ218)</f>
        <v>0</v>
      </c>
      <c r="AT134" s="292">
        <f>SUM('PER BULAN'!BA218)</f>
        <v>0</v>
      </c>
      <c r="AU134" s="292">
        <f>SUM('PER BULAN'!BB218)</f>
        <v>0</v>
      </c>
      <c r="AV134" s="292">
        <f>SUM('PER BULAN'!BC218)</f>
        <v>0</v>
      </c>
      <c r="AW134" s="292">
        <f>SUM('PER BULAN'!BD218)</f>
        <v>3364000</v>
      </c>
      <c r="AX134" s="292">
        <f>SUM('PER BULAN'!BE218)</f>
        <v>1447000</v>
      </c>
    </row>
    <row r="135" spans="1:50" s="278" customFormat="1" x14ac:dyDescent="0.3">
      <c r="A135" s="277" t="s">
        <v>4693</v>
      </c>
      <c r="B135" s="277" t="s">
        <v>4694</v>
      </c>
      <c r="C135" s="277" t="s">
        <v>4720</v>
      </c>
      <c r="D135" s="277" t="s">
        <v>4721</v>
      </c>
      <c r="E135" s="277" t="s">
        <v>198</v>
      </c>
      <c r="F135" s="277" t="s">
        <v>4729</v>
      </c>
      <c r="G135" s="277" t="s">
        <v>4797</v>
      </c>
      <c r="H135" s="277" t="s">
        <v>4798</v>
      </c>
      <c r="I135" s="277">
        <v>996</v>
      </c>
      <c r="J135" s="277" t="s">
        <v>4799</v>
      </c>
      <c r="K135" s="277">
        <v>301</v>
      </c>
      <c r="L135" s="277" t="s">
        <v>4800</v>
      </c>
      <c r="M135" s="277" t="s">
        <v>511</v>
      </c>
      <c r="N135" s="277" t="s">
        <v>4803</v>
      </c>
      <c r="O135" s="277">
        <v>522151</v>
      </c>
      <c r="P135" s="277" t="s">
        <v>4701</v>
      </c>
      <c r="Q135" s="278">
        <v>6000000</v>
      </c>
      <c r="R135" s="292">
        <f>SUM('PER BULAN'!G219:I219)</f>
        <v>0</v>
      </c>
      <c r="S135" s="292">
        <f>SUM('PER BULAN'!J219:L219)</f>
        <v>0</v>
      </c>
      <c r="T135" s="292">
        <f>SUM('PER BULAN'!M219:O219)</f>
        <v>0</v>
      </c>
      <c r="U135" s="292">
        <f>SUM('PER BULAN'!P219:R219)</f>
        <v>0</v>
      </c>
      <c r="V135" s="292">
        <f>SUM('PER BULAN'!S219:U219)</f>
        <v>0</v>
      </c>
      <c r="W135" s="292">
        <f>SUM('PER BULAN'!V219:X219)</f>
        <v>0</v>
      </c>
      <c r="X135" s="292">
        <f>SUM('PER BULAN'!Y219:AA219)</f>
        <v>0</v>
      </c>
      <c r="Y135" s="292">
        <f>SUM('PER BULAN'!AB219:AD219)</f>
        <v>0</v>
      </c>
      <c r="Z135" s="292">
        <f>SUM('PER BULAN'!AE219:AG219)</f>
        <v>0</v>
      </c>
      <c r="AA135" s="292">
        <f>SUM('PER BULAN'!AH219:AJ219)</f>
        <v>0</v>
      </c>
      <c r="AB135" s="292">
        <f>SUM('PER BULAN'!AK219:AM219)</f>
        <v>0</v>
      </c>
      <c r="AC135" s="292">
        <f>SUM('PER BULAN'!AN219:AP219)</f>
        <v>0</v>
      </c>
      <c r="AD135" s="277" t="s">
        <v>530</v>
      </c>
      <c r="AE135" s="277" t="s">
        <v>542</v>
      </c>
      <c r="AF135" s="277" t="s">
        <v>543</v>
      </c>
      <c r="AG135" s="277" t="s">
        <v>4699</v>
      </c>
      <c r="AH135" s="277" t="s">
        <v>4700</v>
      </c>
      <c r="AI135" s="277">
        <f t="shared" si="10"/>
        <v>0</v>
      </c>
      <c r="AJ135" s="291">
        <f t="shared" si="11"/>
        <v>0</v>
      </c>
      <c r="AK135" s="277">
        <f t="shared" si="12"/>
        <v>6000000</v>
      </c>
      <c r="AL135" s="291">
        <f t="shared" si="13"/>
        <v>100</v>
      </c>
      <c r="AM135" s="277" t="s">
        <v>3517</v>
      </c>
      <c r="AN135" s="277" t="s">
        <v>4730</v>
      </c>
      <c r="AO135" s="277" t="s">
        <v>4735</v>
      </c>
      <c r="AP135" s="277" t="s">
        <v>4732</v>
      </c>
      <c r="AQ135" s="292">
        <f>SUM('PER BULAN'!AX219)</f>
        <v>0</v>
      </c>
      <c r="AR135" s="292">
        <f>SUM('PER BULAN'!AY219)</f>
        <v>0</v>
      </c>
      <c r="AS135" s="292">
        <f>SUM('PER BULAN'!AZ219)</f>
        <v>0</v>
      </c>
      <c r="AT135" s="292">
        <f>SUM('PER BULAN'!BA219)</f>
        <v>0</v>
      </c>
      <c r="AU135" s="292">
        <f>SUM('PER BULAN'!BB219)</f>
        <v>0</v>
      </c>
      <c r="AV135" s="292">
        <f>SUM('PER BULAN'!BC219)</f>
        <v>0</v>
      </c>
      <c r="AW135" s="292">
        <f>SUM('PER BULAN'!BD219)</f>
        <v>0</v>
      </c>
      <c r="AX135" s="292">
        <f>SUM('PER BULAN'!BE219)</f>
        <v>0</v>
      </c>
    </row>
    <row r="136" spans="1:50" s="278" customFormat="1" x14ac:dyDescent="0.3">
      <c r="A136" s="277" t="s">
        <v>4693</v>
      </c>
      <c r="B136" s="277" t="s">
        <v>4694</v>
      </c>
      <c r="C136" s="277" t="s">
        <v>4720</v>
      </c>
      <c r="D136" s="277" t="s">
        <v>4721</v>
      </c>
      <c r="E136" s="277" t="s">
        <v>198</v>
      </c>
      <c r="F136" s="277" t="s">
        <v>4729</v>
      </c>
      <c r="G136" s="277" t="s">
        <v>4797</v>
      </c>
      <c r="H136" s="277" t="s">
        <v>4798</v>
      </c>
      <c r="I136" s="277">
        <v>996</v>
      </c>
      <c r="J136" s="277" t="s">
        <v>4799</v>
      </c>
      <c r="K136" s="277">
        <v>301</v>
      </c>
      <c r="L136" s="277" t="s">
        <v>4800</v>
      </c>
      <c r="M136" s="277" t="s">
        <v>511</v>
      </c>
      <c r="N136" s="277" t="s">
        <v>4803</v>
      </c>
      <c r="O136" s="277">
        <v>524111</v>
      </c>
      <c r="P136" s="277" t="s">
        <v>4702</v>
      </c>
      <c r="Q136" s="278">
        <v>186000000</v>
      </c>
      <c r="R136" s="292">
        <f>SUM('PER BULAN'!G221:I221)</f>
        <v>0</v>
      </c>
      <c r="S136" s="292">
        <f>SUM('PER BULAN'!J220:L220)</f>
        <v>0</v>
      </c>
      <c r="T136" s="292">
        <f>SUM('PER BULAN'!M220:O220)</f>
        <v>0</v>
      </c>
      <c r="U136" s="292">
        <f>SUM('PER BULAN'!P220:R220)</f>
        <v>0</v>
      </c>
      <c r="V136" s="292">
        <f>SUM('PER BULAN'!S220:U220)</f>
        <v>20392633</v>
      </c>
      <c r="W136" s="292">
        <f>SUM('PER BULAN'!V220:X220)</f>
        <v>22330573</v>
      </c>
      <c r="X136" s="292">
        <f>SUM('PER BULAN'!Y220:AA220)</f>
        <v>0</v>
      </c>
      <c r="Y136" s="292">
        <f>SUM('PER BULAN'!AB220:AD220)</f>
        <v>0</v>
      </c>
      <c r="Z136" s="292">
        <f>SUM('PER BULAN'!AE220:AG220)</f>
        <v>0</v>
      </c>
      <c r="AA136" s="292">
        <f>SUM('PER BULAN'!AH220:AJ220)</f>
        <v>0</v>
      </c>
      <c r="AB136" s="292">
        <f>SUM('PER BULAN'!AK220:AM220)</f>
        <v>0</v>
      </c>
      <c r="AC136" s="292">
        <f>SUM('PER BULAN'!AN220:AP220)</f>
        <v>0</v>
      </c>
      <c r="AD136" s="277" t="s">
        <v>530</v>
      </c>
      <c r="AE136" s="277" t="s">
        <v>542</v>
      </c>
      <c r="AF136" s="277" t="s">
        <v>543</v>
      </c>
      <c r="AG136" s="277" t="s">
        <v>4699</v>
      </c>
      <c r="AH136" s="277" t="s">
        <v>4700</v>
      </c>
      <c r="AI136" s="277">
        <f t="shared" si="10"/>
        <v>42723206</v>
      </c>
      <c r="AJ136" s="291">
        <f t="shared" si="11"/>
        <v>22.969465591397849</v>
      </c>
      <c r="AK136" s="277">
        <f t="shared" si="12"/>
        <v>143276794</v>
      </c>
      <c r="AL136" s="291">
        <f t="shared" si="13"/>
        <v>77.030534408602151</v>
      </c>
      <c r="AM136" s="277" t="s">
        <v>3519</v>
      </c>
      <c r="AN136" s="277" t="s">
        <v>4730</v>
      </c>
      <c r="AO136" s="277" t="s">
        <v>4736</v>
      </c>
      <c r="AP136" s="277" t="s">
        <v>4732</v>
      </c>
      <c r="AQ136" s="292">
        <f>SUM('PER BULAN'!AX220)</f>
        <v>0</v>
      </c>
      <c r="AR136" s="292">
        <f>SUM('PER BULAN'!AY220)</f>
        <v>0</v>
      </c>
      <c r="AS136" s="292">
        <f>SUM('PER BULAN'!AZ220)</f>
        <v>0</v>
      </c>
      <c r="AT136" s="292">
        <f>SUM('PER BULAN'!BA220)</f>
        <v>0</v>
      </c>
      <c r="AU136" s="292">
        <f>SUM('PER BULAN'!BB220)</f>
        <v>0</v>
      </c>
      <c r="AV136" s="292">
        <f>SUM('PER BULAN'!BC220)</f>
        <v>0</v>
      </c>
      <c r="AW136" s="292">
        <f>SUM('PER BULAN'!BD220)</f>
        <v>20392633</v>
      </c>
      <c r="AX136" s="292">
        <f>SUM('PER BULAN'!BE220)</f>
        <v>0</v>
      </c>
    </row>
    <row r="137" spans="1:50" s="278" customFormat="1" x14ac:dyDescent="0.3">
      <c r="A137" s="277" t="s">
        <v>4693</v>
      </c>
      <c r="B137" s="277" t="s">
        <v>4694</v>
      </c>
      <c r="C137" s="277" t="s">
        <v>4720</v>
      </c>
      <c r="D137" s="277" t="s">
        <v>4721</v>
      </c>
      <c r="E137" s="277" t="s">
        <v>198</v>
      </c>
      <c r="F137" s="277" t="s">
        <v>4729</v>
      </c>
      <c r="G137" s="277" t="s">
        <v>4797</v>
      </c>
      <c r="H137" s="277" t="s">
        <v>4798</v>
      </c>
      <c r="I137" s="277">
        <v>996</v>
      </c>
      <c r="J137" s="277" t="s">
        <v>4799</v>
      </c>
      <c r="K137" s="277">
        <v>301</v>
      </c>
      <c r="L137" s="277" t="s">
        <v>4800</v>
      </c>
      <c r="M137" s="277" t="s">
        <v>512</v>
      </c>
      <c r="N137" s="277" t="s">
        <v>4804</v>
      </c>
      <c r="O137" s="277">
        <v>521211</v>
      </c>
      <c r="P137" s="277" t="s">
        <v>4698</v>
      </c>
      <c r="Q137" s="278">
        <v>12000000</v>
      </c>
      <c r="R137" s="292">
        <f>SUM('PER BULAN'!G222:I222)</f>
        <v>0</v>
      </c>
      <c r="S137" s="292">
        <f>SUM('PER BULAN'!J222:L222)</f>
        <v>0</v>
      </c>
      <c r="T137" s="292">
        <f>SUM('PER BULAN'!M222:O222)</f>
        <v>0</v>
      </c>
      <c r="U137" s="292">
        <f>SUM('PER BULAN'!P222:R222)</f>
        <v>0</v>
      </c>
      <c r="V137" s="292">
        <f>SUM('PER BULAN'!S222:U222)</f>
        <v>0</v>
      </c>
      <c r="W137" s="292">
        <f>SUM('PER BULAN'!V222:X222)</f>
        <v>0</v>
      </c>
      <c r="X137" s="292">
        <f>SUM('PER BULAN'!Y222:AA222)</f>
        <v>0</v>
      </c>
      <c r="Y137" s="292">
        <f>SUM('PER BULAN'!AB222:AD222)</f>
        <v>0</v>
      </c>
      <c r="Z137" s="292">
        <f>SUM('PER BULAN'!AE222:AG222)</f>
        <v>0</v>
      </c>
      <c r="AA137" s="292">
        <f>SUM('PER BULAN'!AH222:AJ222)</f>
        <v>0</v>
      </c>
      <c r="AB137" s="292">
        <f>SUM('PER BULAN'!AK222:AM222)</f>
        <v>0</v>
      </c>
      <c r="AC137" s="292">
        <f>SUM('PER BULAN'!AN222:AP222)</f>
        <v>0</v>
      </c>
      <c r="AD137" s="277" t="s">
        <v>530</v>
      </c>
      <c r="AE137" s="277" t="s">
        <v>542</v>
      </c>
      <c r="AF137" s="277" t="s">
        <v>543</v>
      </c>
      <c r="AG137" s="277" t="s">
        <v>4699</v>
      </c>
      <c r="AH137" s="277" t="s">
        <v>4700</v>
      </c>
      <c r="AI137" s="277">
        <f t="shared" si="10"/>
        <v>0</v>
      </c>
      <c r="AJ137" s="291">
        <f t="shared" si="11"/>
        <v>0</v>
      </c>
      <c r="AK137" s="277">
        <f t="shared" si="12"/>
        <v>12000000</v>
      </c>
      <c r="AL137" s="291">
        <f t="shared" si="13"/>
        <v>100</v>
      </c>
      <c r="AM137" s="277" t="s">
        <v>3523</v>
      </c>
      <c r="AN137" s="277" t="s">
        <v>4730</v>
      </c>
      <c r="AO137" s="277" t="s">
        <v>4731</v>
      </c>
      <c r="AP137" s="277" t="s">
        <v>4732</v>
      </c>
      <c r="AQ137" s="292">
        <f>SUM('PER BULAN'!AX222)</f>
        <v>0</v>
      </c>
      <c r="AR137" s="292">
        <f>SUM('PER BULAN'!AY222)</f>
        <v>0</v>
      </c>
      <c r="AS137" s="292">
        <f>SUM('PER BULAN'!AZ222)</f>
        <v>0</v>
      </c>
      <c r="AT137" s="292">
        <f>SUM('PER BULAN'!BA222)</f>
        <v>0</v>
      </c>
      <c r="AU137" s="292">
        <f>SUM('PER BULAN'!BB222)</f>
        <v>0</v>
      </c>
      <c r="AV137" s="292">
        <f>SUM('PER BULAN'!BC222)</f>
        <v>0</v>
      </c>
      <c r="AW137" s="292">
        <f>SUM('PER BULAN'!BD222)</f>
        <v>0</v>
      </c>
      <c r="AX137" s="292">
        <f>SUM('PER BULAN'!BE222)</f>
        <v>0</v>
      </c>
    </row>
    <row r="138" spans="1:50" s="278" customFormat="1" x14ac:dyDescent="0.3">
      <c r="A138" s="277" t="s">
        <v>4693</v>
      </c>
      <c r="B138" s="277" t="s">
        <v>4694</v>
      </c>
      <c r="C138" s="277" t="s">
        <v>4720</v>
      </c>
      <c r="D138" s="277" t="s">
        <v>4721</v>
      </c>
      <c r="E138" s="277" t="s">
        <v>198</v>
      </c>
      <c r="F138" s="277" t="s">
        <v>4729</v>
      </c>
      <c r="G138" s="277" t="s">
        <v>4797</v>
      </c>
      <c r="H138" s="277" t="s">
        <v>4798</v>
      </c>
      <c r="I138" s="277">
        <v>996</v>
      </c>
      <c r="J138" s="277" t="s">
        <v>4799</v>
      </c>
      <c r="K138" s="277">
        <v>301</v>
      </c>
      <c r="L138" s="277" t="s">
        <v>4800</v>
      </c>
      <c r="M138" s="277" t="s">
        <v>512</v>
      </c>
      <c r="N138" s="277" t="s">
        <v>4804</v>
      </c>
      <c r="O138" s="277">
        <v>521219</v>
      </c>
      <c r="P138" s="277" t="s">
        <v>4711</v>
      </c>
      <c r="Q138" s="278">
        <v>20000000</v>
      </c>
      <c r="R138" s="292">
        <f>SUM('PER BULAN'!G223:I223)</f>
        <v>0</v>
      </c>
      <c r="S138" s="292">
        <f>SUM('PER BULAN'!J223:L223)</f>
        <v>0</v>
      </c>
      <c r="T138" s="292">
        <f>SUM('PER BULAN'!M223:O223)</f>
        <v>0</v>
      </c>
      <c r="U138" s="292">
        <f>SUM('PER BULAN'!P223:R223)</f>
        <v>0</v>
      </c>
      <c r="V138" s="292">
        <f>SUM('PER BULAN'!S223:U223)</f>
        <v>0</v>
      </c>
      <c r="W138" s="292">
        <f>SUM('PER BULAN'!V223:X223)</f>
        <v>0</v>
      </c>
      <c r="X138" s="292">
        <f>SUM('PER BULAN'!Y223:AA223)</f>
        <v>0</v>
      </c>
      <c r="Y138" s="292">
        <f>SUM('PER BULAN'!AB223:AD223)</f>
        <v>0</v>
      </c>
      <c r="Z138" s="292">
        <f>SUM('PER BULAN'!AE223:AG223)</f>
        <v>0</v>
      </c>
      <c r="AA138" s="292">
        <f>SUM('PER BULAN'!AH223:AJ223)</f>
        <v>0</v>
      </c>
      <c r="AB138" s="292">
        <f>SUM('PER BULAN'!AK223:AM223)</f>
        <v>0</v>
      </c>
      <c r="AC138" s="292">
        <f>SUM('PER BULAN'!AN223:AP223)</f>
        <v>0</v>
      </c>
      <c r="AD138" s="277" t="s">
        <v>530</v>
      </c>
      <c r="AE138" s="277" t="s">
        <v>542</v>
      </c>
      <c r="AF138" s="277" t="s">
        <v>543</v>
      </c>
      <c r="AG138" s="277" t="s">
        <v>4699</v>
      </c>
      <c r="AH138" s="277" t="s">
        <v>4700</v>
      </c>
      <c r="AI138" s="277">
        <f t="shared" si="10"/>
        <v>0</v>
      </c>
      <c r="AJ138" s="291">
        <f t="shared" si="11"/>
        <v>0</v>
      </c>
      <c r="AK138" s="277">
        <f t="shared" si="12"/>
        <v>20000000</v>
      </c>
      <c r="AL138" s="291">
        <f t="shared" si="13"/>
        <v>100</v>
      </c>
      <c r="AM138" s="277" t="s">
        <v>3527</v>
      </c>
      <c r="AN138" s="277" t="s">
        <v>4730</v>
      </c>
      <c r="AO138" s="277" t="s">
        <v>4733</v>
      </c>
      <c r="AP138" s="277" t="s">
        <v>4732</v>
      </c>
      <c r="AQ138" s="292">
        <f>SUM('PER BULAN'!AX223)</f>
        <v>0</v>
      </c>
      <c r="AR138" s="292">
        <f>SUM('PER BULAN'!AY223)</f>
        <v>0</v>
      </c>
      <c r="AS138" s="292">
        <f>SUM('PER BULAN'!AZ223)</f>
        <v>0</v>
      </c>
      <c r="AT138" s="292">
        <f>SUM('PER BULAN'!BA223)</f>
        <v>0</v>
      </c>
      <c r="AU138" s="292">
        <f>SUM('PER BULAN'!BB223)</f>
        <v>0</v>
      </c>
      <c r="AV138" s="292">
        <f>SUM('PER BULAN'!BC223)</f>
        <v>0</v>
      </c>
      <c r="AW138" s="292">
        <f>SUM('PER BULAN'!BD223)</f>
        <v>0</v>
      </c>
      <c r="AX138" s="292">
        <f>SUM('PER BULAN'!BE223)</f>
        <v>0</v>
      </c>
    </row>
    <row r="139" spans="1:50" s="278" customFormat="1" x14ac:dyDescent="0.3">
      <c r="A139" s="277" t="s">
        <v>4693</v>
      </c>
      <c r="B139" s="277" t="s">
        <v>4694</v>
      </c>
      <c r="C139" s="277" t="s">
        <v>4720</v>
      </c>
      <c r="D139" s="277" t="s">
        <v>4721</v>
      </c>
      <c r="E139" s="277" t="s">
        <v>198</v>
      </c>
      <c r="F139" s="277" t="s">
        <v>4729</v>
      </c>
      <c r="G139" s="277" t="s">
        <v>4797</v>
      </c>
      <c r="H139" s="277" t="s">
        <v>4798</v>
      </c>
      <c r="I139" s="277">
        <v>996</v>
      </c>
      <c r="J139" s="277" t="s">
        <v>4799</v>
      </c>
      <c r="K139" s="277">
        <v>301</v>
      </c>
      <c r="L139" s="277" t="s">
        <v>4800</v>
      </c>
      <c r="M139" s="277" t="s">
        <v>512</v>
      </c>
      <c r="N139" s="277" t="s">
        <v>4804</v>
      </c>
      <c r="O139" s="277">
        <v>524211</v>
      </c>
      <c r="P139" s="277" t="s">
        <v>4806</v>
      </c>
      <c r="Q139" s="278">
        <v>142041000</v>
      </c>
      <c r="R139" s="292">
        <f>SUM('PER BULAN'!G225:I225)</f>
        <v>0</v>
      </c>
      <c r="S139" s="292">
        <f>SUM('PER BULAN'!J224:L224)</f>
        <v>0</v>
      </c>
      <c r="T139" s="292">
        <f>SUM('PER BULAN'!M224:O224)</f>
        <v>0</v>
      </c>
      <c r="U139" s="292">
        <f>SUM('PER BULAN'!P224:R224)</f>
        <v>0</v>
      </c>
      <c r="V139" s="292">
        <f>SUM('PER BULAN'!S224:U224)</f>
        <v>0</v>
      </c>
      <c r="W139" s="292">
        <f>SUM('PER BULAN'!V224:X224)</f>
        <v>0</v>
      </c>
      <c r="X139" s="292">
        <f>SUM('PER BULAN'!Y224:AA224)</f>
        <v>0</v>
      </c>
      <c r="Y139" s="292">
        <f>SUM('PER BULAN'!AB224:AD224)</f>
        <v>0</v>
      </c>
      <c r="Z139" s="292">
        <f>SUM('PER BULAN'!AE224:AG224)</f>
        <v>0</v>
      </c>
      <c r="AA139" s="292">
        <f>SUM('PER BULAN'!AH224:AJ224)</f>
        <v>0</v>
      </c>
      <c r="AB139" s="292">
        <f>SUM('PER BULAN'!AK224:AM224)</f>
        <v>0</v>
      </c>
      <c r="AC139" s="292">
        <f>SUM('PER BULAN'!AN224:AP224)</f>
        <v>0</v>
      </c>
      <c r="AD139" s="277" t="s">
        <v>530</v>
      </c>
      <c r="AE139" s="277" t="s">
        <v>542</v>
      </c>
      <c r="AF139" s="277" t="s">
        <v>543</v>
      </c>
      <c r="AG139" s="277" t="s">
        <v>4699</v>
      </c>
      <c r="AH139" s="277" t="s">
        <v>4700</v>
      </c>
      <c r="AI139" s="277">
        <f t="shared" si="10"/>
        <v>0</v>
      </c>
      <c r="AJ139" s="291">
        <f t="shared" si="11"/>
        <v>0</v>
      </c>
      <c r="AK139" s="277">
        <f t="shared" si="12"/>
        <v>142041000</v>
      </c>
      <c r="AL139" s="291">
        <f t="shared" si="13"/>
        <v>100</v>
      </c>
      <c r="AM139" s="277" t="s">
        <v>3530</v>
      </c>
      <c r="AN139" s="277" t="s">
        <v>4730</v>
      </c>
      <c r="AO139" s="277" t="s">
        <v>4736</v>
      </c>
      <c r="AP139" s="277" t="s">
        <v>4732</v>
      </c>
      <c r="AQ139" s="292">
        <f>SUM('PER BULAN'!AX224)</f>
        <v>0</v>
      </c>
      <c r="AR139" s="292">
        <f>SUM('PER BULAN'!AY224)</f>
        <v>0</v>
      </c>
      <c r="AS139" s="292">
        <f>SUM('PER BULAN'!AZ224)</f>
        <v>0</v>
      </c>
      <c r="AT139" s="292">
        <f>SUM('PER BULAN'!BA224)</f>
        <v>0</v>
      </c>
      <c r="AU139" s="292">
        <f>SUM('PER BULAN'!BB224)</f>
        <v>0</v>
      </c>
      <c r="AV139" s="292">
        <f>SUM('PER BULAN'!BC224)</f>
        <v>0</v>
      </c>
      <c r="AW139" s="292">
        <f>SUM('PER BULAN'!BD224)</f>
        <v>0</v>
      </c>
      <c r="AX139" s="292">
        <f>SUM('PER BULAN'!BE224)</f>
        <v>0</v>
      </c>
    </row>
    <row r="140" spans="1:50" s="278" customFormat="1" x14ac:dyDescent="0.3">
      <c r="A140" s="277" t="s">
        <v>4693</v>
      </c>
      <c r="B140" s="277" t="s">
        <v>4694</v>
      </c>
      <c r="C140" s="277" t="s">
        <v>4720</v>
      </c>
      <c r="D140" s="277" t="s">
        <v>4721</v>
      </c>
      <c r="E140" s="277" t="s">
        <v>198</v>
      </c>
      <c r="F140" s="277" t="s">
        <v>4729</v>
      </c>
      <c r="G140" s="277" t="s">
        <v>4797</v>
      </c>
      <c r="H140" s="277" t="s">
        <v>4798</v>
      </c>
      <c r="I140" s="277">
        <v>996</v>
      </c>
      <c r="J140" s="277" t="s">
        <v>4799</v>
      </c>
      <c r="K140" s="277">
        <v>301</v>
      </c>
      <c r="L140" s="277" t="s">
        <v>4800</v>
      </c>
      <c r="M140" s="277" t="s">
        <v>514</v>
      </c>
      <c r="N140" s="277" t="s">
        <v>4805</v>
      </c>
      <c r="O140" s="277">
        <v>522192</v>
      </c>
      <c r="P140" s="277" t="s">
        <v>4703</v>
      </c>
      <c r="Q140" s="278">
        <v>30000000</v>
      </c>
      <c r="R140" s="292">
        <f>SUM('PER BULAN'!G228:I228)</f>
        <v>0</v>
      </c>
      <c r="S140" s="292">
        <f>SUM('PER BULAN'!J226:L226)</f>
        <v>0</v>
      </c>
      <c r="T140" s="292">
        <f>SUM('PER BULAN'!M226:O226)</f>
        <v>0</v>
      </c>
      <c r="U140" s="292">
        <f>SUM('PER BULAN'!P226:R226)</f>
        <v>0</v>
      </c>
      <c r="V140" s="292">
        <f>SUM('PER BULAN'!S226:U226)</f>
        <v>0</v>
      </c>
      <c r="W140" s="292">
        <f>SUM('PER BULAN'!V226:X226)</f>
        <v>0</v>
      </c>
      <c r="X140" s="292">
        <f>SUM('PER BULAN'!Y226:AA226)</f>
        <v>0</v>
      </c>
      <c r="Y140" s="292">
        <f>SUM('PER BULAN'!AB226:AD226)</f>
        <v>0</v>
      </c>
      <c r="Z140" s="292">
        <f>SUM('PER BULAN'!AE226:AG226)</f>
        <v>0</v>
      </c>
      <c r="AA140" s="292">
        <f>SUM('PER BULAN'!AH226:AJ226)</f>
        <v>0</v>
      </c>
      <c r="AB140" s="292">
        <f>SUM('PER BULAN'!AK226:AM226)</f>
        <v>0</v>
      </c>
      <c r="AC140" s="292">
        <f>SUM('PER BULAN'!AN226:AP226)</f>
        <v>0</v>
      </c>
      <c r="AD140" s="277" t="s">
        <v>530</v>
      </c>
      <c r="AE140" s="277" t="s">
        <v>542</v>
      </c>
      <c r="AF140" s="277" t="s">
        <v>543</v>
      </c>
      <c r="AG140" s="277" t="s">
        <v>4699</v>
      </c>
      <c r="AH140" s="277" t="s">
        <v>4700</v>
      </c>
      <c r="AI140" s="277">
        <f t="shared" si="10"/>
        <v>0</v>
      </c>
      <c r="AJ140" s="291">
        <f t="shared" si="11"/>
        <v>0</v>
      </c>
      <c r="AK140" s="277">
        <f t="shared" si="12"/>
        <v>30000000</v>
      </c>
      <c r="AL140" s="291">
        <f t="shared" si="13"/>
        <v>100</v>
      </c>
      <c r="AM140" s="277" t="s">
        <v>3535</v>
      </c>
      <c r="AN140" s="277" t="s">
        <v>4734</v>
      </c>
      <c r="AO140" s="277" t="s">
        <v>4735</v>
      </c>
      <c r="AP140" s="277" t="s">
        <v>4732</v>
      </c>
      <c r="AQ140" s="292">
        <f>SUM('PER BULAN'!AX226)</f>
        <v>0</v>
      </c>
      <c r="AR140" s="292">
        <f>SUM('PER BULAN'!AY226)</f>
        <v>0</v>
      </c>
      <c r="AS140" s="292">
        <f>SUM('PER BULAN'!AZ226)</f>
        <v>0</v>
      </c>
      <c r="AT140" s="292">
        <f>SUM('PER BULAN'!BA226)</f>
        <v>0</v>
      </c>
      <c r="AU140" s="292">
        <f>SUM('PER BULAN'!BB226)</f>
        <v>0</v>
      </c>
      <c r="AV140" s="292">
        <f>SUM('PER BULAN'!BC226)</f>
        <v>0</v>
      </c>
      <c r="AW140" s="292">
        <f>SUM('PER BULAN'!BD226)</f>
        <v>0</v>
      </c>
      <c r="AX140" s="292">
        <f>SUM('PER BULAN'!BE226)</f>
        <v>0</v>
      </c>
    </row>
    <row r="141" spans="1:50" s="278" customFormat="1" x14ac:dyDescent="0.3">
      <c r="A141" s="277" t="s">
        <v>4693</v>
      </c>
      <c r="B141" s="277" t="s">
        <v>4694</v>
      </c>
      <c r="C141" s="277" t="s">
        <v>4720</v>
      </c>
      <c r="D141" s="277" t="s">
        <v>4721</v>
      </c>
      <c r="E141" s="277" t="s">
        <v>198</v>
      </c>
      <c r="F141" s="277" t="s">
        <v>4729</v>
      </c>
      <c r="G141" s="277" t="s">
        <v>4797</v>
      </c>
      <c r="H141" s="277" t="s">
        <v>4798</v>
      </c>
      <c r="I141" s="277">
        <v>996</v>
      </c>
      <c r="J141" s="277" t="s">
        <v>4799</v>
      </c>
      <c r="K141" s="277">
        <v>302</v>
      </c>
      <c r="L141" s="277" t="s">
        <v>4820</v>
      </c>
      <c r="M141" s="277" t="s">
        <v>8</v>
      </c>
      <c r="N141" s="277" t="s">
        <v>4821</v>
      </c>
      <c r="O141" s="277">
        <v>521211</v>
      </c>
      <c r="P141" s="277" t="s">
        <v>4698</v>
      </c>
      <c r="Q141" s="278">
        <v>25000000</v>
      </c>
      <c r="R141" s="292">
        <f>SUM('PER BULAN'!G229:I229)</f>
        <v>0</v>
      </c>
      <c r="S141" s="292">
        <f>SUM('PER BULAN'!J229:L229)</f>
        <v>0</v>
      </c>
      <c r="T141" s="292">
        <f>SUM('PER BULAN'!M229:O229)</f>
        <v>0</v>
      </c>
      <c r="U141" s="292">
        <f>SUM('PER BULAN'!P229:R229)</f>
        <v>0</v>
      </c>
      <c r="V141" s="292">
        <f>SUM('PER BULAN'!S229:U229)</f>
        <v>2961000</v>
      </c>
      <c r="W141" s="292">
        <f>SUM('PER BULAN'!V229:X229)</f>
        <v>0</v>
      </c>
      <c r="X141" s="292">
        <f>SUM('PER BULAN'!Y229:AA229)</f>
        <v>0</v>
      </c>
      <c r="Y141" s="292">
        <f>SUM('PER BULAN'!AB229:AD229)</f>
        <v>0</v>
      </c>
      <c r="Z141" s="292">
        <f>SUM('PER BULAN'!AE229:AG229)</f>
        <v>0</v>
      </c>
      <c r="AA141" s="292">
        <f>SUM('PER BULAN'!AH229:AJ229)</f>
        <v>0</v>
      </c>
      <c r="AB141" s="292">
        <f>SUM('PER BULAN'!AK229:AM229)</f>
        <v>0</v>
      </c>
      <c r="AC141" s="292">
        <f>SUM('PER BULAN'!AN229:AP229)</f>
        <v>0</v>
      </c>
      <c r="AD141" s="277" t="s">
        <v>530</v>
      </c>
      <c r="AE141" s="277" t="s">
        <v>542</v>
      </c>
      <c r="AF141" s="277" t="s">
        <v>543</v>
      </c>
      <c r="AG141" s="277" t="s">
        <v>4699</v>
      </c>
      <c r="AH141" s="277" t="s">
        <v>4700</v>
      </c>
      <c r="AI141" s="277">
        <f t="shared" si="10"/>
        <v>2961000</v>
      </c>
      <c r="AJ141" s="291">
        <f t="shared" si="11"/>
        <v>11.844000000000001</v>
      </c>
      <c r="AK141" s="277">
        <f t="shared" si="12"/>
        <v>22039000</v>
      </c>
      <c r="AL141" s="291">
        <f t="shared" si="13"/>
        <v>88.156000000000006</v>
      </c>
      <c r="AM141" s="277" t="s">
        <v>3480</v>
      </c>
      <c r="AN141" s="277" t="s">
        <v>4730</v>
      </c>
      <c r="AO141" s="277" t="s">
        <v>4731</v>
      </c>
      <c r="AP141" s="277" t="s">
        <v>4732</v>
      </c>
      <c r="AQ141" s="292">
        <f>SUM('PER BULAN'!AX229)</f>
        <v>0</v>
      </c>
      <c r="AR141" s="292">
        <f>SUM('PER BULAN'!AY229)</f>
        <v>0</v>
      </c>
      <c r="AS141" s="292">
        <f>SUM('PER BULAN'!AZ229)</f>
        <v>0</v>
      </c>
      <c r="AT141" s="292">
        <f>SUM('PER BULAN'!BA229)</f>
        <v>0</v>
      </c>
      <c r="AU141" s="292">
        <f>SUM('PER BULAN'!BB229)</f>
        <v>0</v>
      </c>
      <c r="AV141" s="292">
        <f>SUM('PER BULAN'!BC229)</f>
        <v>0</v>
      </c>
      <c r="AW141" s="292">
        <f>SUM('PER BULAN'!BD229)</f>
        <v>2961000</v>
      </c>
      <c r="AX141" s="292">
        <f>SUM('PER BULAN'!BE229)</f>
        <v>0</v>
      </c>
    </row>
    <row r="142" spans="1:50" s="278" customFormat="1" x14ac:dyDescent="0.3">
      <c r="A142" s="277" t="s">
        <v>4693</v>
      </c>
      <c r="B142" s="277" t="s">
        <v>4694</v>
      </c>
      <c r="C142" s="277" t="s">
        <v>4720</v>
      </c>
      <c r="D142" s="277" t="s">
        <v>4721</v>
      </c>
      <c r="E142" s="277" t="s">
        <v>198</v>
      </c>
      <c r="F142" s="277" t="s">
        <v>4729</v>
      </c>
      <c r="G142" s="277" t="s">
        <v>4797</v>
      </c>
      <c r="H142" s="277" t="s">
        <v>4798</v>
      </c>
      <c r="I142" s="277">
        <v>996</v>
      </c>
      <c r="J142" s="277" t="s">
        <v>4799</v>
      </c>
      <c r="K142" s="277">
        <v>302</v>
      </c>
      <c r="L142" s="277" t="s">
        <v>4820</v>
      </c>
      <c r="M142" s="277" t="s">
        <v>8</v>
      </c>
      <c r="N142" s="277" t="s">
        <v>4821</v>
      </c>
      <c r="O142" s="277">
        <v>521811</v>
      </c>
      <c r="P142" s="277" t="s">
        <v>4716</v>
      </c>
      <c r="Q142" s="278">
        <v>30000000</v>
      </c>
      <c r="R142" s="292">
        <f>SUM('PER BULAN'!G230:I230)</f>
        <v>0</v>
      </c>
      <c r="S142" s="292">
        <f>SUM('PER BULAN'!J230:L230)</f>
        <v>0</v>
      </c>
      <c r="T142" s="292">
        <f>SUM('PER BULAN'!M230:O230)</f>
        <v>0</v>
      </c>
      <c r="U142" s="292">
        <f>SUM('PER BULAN'!P230:R230)</f>
        <v>0</v>
      </c>
      <c r="V142" s="292">
        <f>SUM('PER BULAN'!S230:U230)</f>
        <v>4845000</v>
      </c>
      <c r="W142" s="292">
        <f>SUM('PER BULAN'!V230:X230)</f>
        <v>0</v>
      </c>
      <c r="X142" s="292">
        <f>SUM('PER BULAN'!Y230:AA230)</f>
        <v>0</v>
      </c>
      <c r="Y142" s="292">
        <f>SUM('PER BULAN'!AB230:AD230)</f>
        <v>0</v>
      </c>
      <c r="Z142" s="292">
        <f>SUM('PER BULAN'!AE230:AG230)</f>
        <v>0</v>
      </c>
      <c r="AA142" s="292">
        <f>SUM('PER BULAN'!AH230:AJ230)</f>
        <v>0</v>
      </c>
      <c r="AB142" s="292">
        <f>SUM('PER BULAN'!AK230:AM230)</f>
        <v>0</v>
      </c>
      <c r="AC142" s="292">
        <f>SUM('PER BULAN'!AN230:AP230)</f>
        <v>0</v>
      </c>
      <c r="AD142" s="277" t="s">
        <v>530</v>
      </c>
      <c r="AE142" s="277" t="s">
        <v>542</v>
      </c>
      <c r="AF142" s="277" t="s">
        <v>543</v>
      </c>
      <c r="AG142" s="277" t="s">
        <v>4699</v>
      </c>
      <c r="AH142" s="277" t="s">
        <v>4700</v>
      </c>
      <c r="AI142" s="277">
        <f t="shared" si="10"/>
        <v>4845000</v>
      </c>
      <c r="AJ142" s="291">
        <f t="shared" si="11"/>
        <v>16.150000000000002</v>
      </c>
      <c r="AK142" s="277">
        <f t="shared" si="12"/>
        <v>25155000</v>
      </c>
      <c r="AL142" s="291">
        <f t="shared" si="13"/>
        <v>83.850000000000009</v>
      </c>
      <c r="AM142" s="277" t="s">
        <v>3492</v>
      </c>
      <c r="AN142" s="277" t="s">
        <v>4730</v>
      </c>
      <c r="AO142" s="277" t="s">
        <v>4826</v>
      </c>
      <c r="AP142" s="277" t="s">
        <v>4732</v>
      </c>
      <c r="AQ142" s="292">
        <f>SUM('PER BULAN'!AX230)</f>
        <v>0</v>
      </c>
      <c r="AR142" s="292">
        <f>SUM('PER BULAN'!AY230)</f>
        <v>0</v>
      </c>
      <c r="AS142" s="292">
        <f>SUM('PER BULAN'!AZ230)</f>
        <v>0</v>
      </c>
      <c r="AT142" s="292">
        <f>SUM('PER BULAN'!BA230)</f>
        <v>0</v>
      </c>
      <c r="AU142" s="292">
        <f>SUM('PER BULAN'!BB230)</f>
        <v>0</v>
      </c>
      <c r="AV142" s="292">
        <f>SUM('PER BULAN'!BC230)</f>
        <v>0</v>
      </c>
      <c r="AW142" s="292">
        <f>SUM('PER BULAN'!BD230)</f>
        <v>4845000</v>
      </c>
      <c r="AX142" s="292">
        <f>SUM('PER BULAN'!BE230)</f>
        <v>0</v>
      </c>
    </row>
    <row r="143" spans="1:50" s="278" customFormat="1" x14ac:dyDescent="0.3">
      <c r="A143" s="277" t="s">
        <v>4693</v>
      </c>
      <c r="B143" s="277" t="s">
        <v>4694</v>
      </c>
      <c r="C143" s="277" t="s">
        <v>4720</v>
      </c>
      <c r="D143" s="277" t="s">
        <v>4721</v>
      </c>
      <c r="E143" s="277" t="s">
        <v>198</v>
      </c>
      <c r="F143" s="277" t="s">
        <v>4729</v>
      </c>
      <c r="G143" s="277" t="s">
        <v>4797</v>
      </c>
      <c r="H143" s="277" t="s">
        <v>4798</v>
      </c>
      <c r="I143" s="277">
        <v>996</v>
      </c>
      <c r="J143" s="277" t="s">
        <v>4799</v>
      </c>
      <c r="K143" s="277">
        <v>302</v>
      </c>
      <c r="L143" s="277" t="s">
        <v>4820</v>
      </c>
      <c r="M143" s="277" t="s">
        <v>8</v>
      </c>
      <c r="N143" s="277" t="s">
        <v>4821</v>
      </c>
      <c r="O143" s="277">
        <v>524111</v>
      </c>
      <c r="P143" s="277" t="s">
        <v>4702</v>
      </c>
      <c r="Q143" s="278">
        <v>54200000</v>
      </c>
      <c r="R143" s="292">
        <f>SUM('PER BULAN'!G231:I231)</f>
        <v>0</v>
      </c>
      <c r="S143" s="292">
        <f>SUM('PER BULAN'!J231:L231)</f>
        <v>0</v>
      </c>
      <c r="T143" s="292">
        <f>SUM('PER BULAN'!M231:O231)</f>
        <v>0</v>
      </c>
      <c r="U143" s="292">
        <f>SUM('PER BULAN'!P231:R231)</f>
        <v>0</v>
      </c>
      <c r="V143" s="292">
        <f>SUM('PER BULAN'!S231:U231)</f>
        <v>0</v>
      </c>
      <c r="W143" s="292">
        <f>SUM('PER BULAN'!V231:X231)</f>
        <v>0</v>
      </c>
      <c r="X143" s="292">
        <f>SUM('PER BULAN'!Y231:AA231)</f>
        <v>0</v>
      </c>
      <c r="Y143" s="292">
        <f>SUM('PER BULAN'!AB231:AD231)</f>
        <v>0</v>
      </c>
      <c r="Z143" s="292">
        <f>SUM('PER BULAN'!AE231:AG231)</f>
        <v>0</v>
      </c>
      <c r="AA143" s="292">
        <f>SUM('PER BULAN'!AH231:AJ231)</f>
        <v>0</v>
      </c>
      <c r="AB143" s="292">
        <f>SUM('PER BULAN'!AK231:AM231)</f>
        <v>0</v>
      </c>
      <c r="AC143" s="292">
        <f>SUM('PER BULAN'!AN231:AP231)</f>
        <v>0</v>
      </c>
      <c r="AD143" s="277" t="s">
        <v>530</v>
      </c>
      <c r="AE143" s="277" t="s">
        <v>542</v>
      </c>
      <c r="AF143" s="277" t="s">
        <v>543</v>
      </c>
      <c r="AG143" s="277" t="s">
        <v>4699</v>
      </c>
      <c r="AH143" s="277" t="s">
        <v>4700</v>
      </c>
      <c r="AI143" s="277">
        <f t="shared" si="10"/>
        <v>0</v>
      </c>
      <c r="AJ143" s="291">
        <f t="shared" si="11"/>
        <v>0</v>
      </c>
      <c r="AK143" s="277">
        <f t="shared" si="12"/>
        <v>54200000</v>
      </c>
      <c r="AL143" s="291">
        <f t="shared" si="13"/>
        <v>100</v>
      </c>
      <c r="AM143" s="277" t="s">
        <v>3500</v>
      </c>
      <c r="AN143" s="277" t="s">
        <v>4730</v>
      </c>
      <c r="AO143" s="277" t="s">
        <v>4736</v>
      </c>
      <c r="AP143" s="277" t="s">
        <v>4732</v>
      </c>
      <c r="AQ143" s="292">
        <f>SUM('PER BULAN'!AX231)</f>
        <v>0</v>
      </c>
      <c r="AR143" s="292">
        <f>SUM('PER BULAN'!AY231)</f>
        <v>0</v>
      </c>
      <c r="AS143" s="292">
        <f>SUM('PER BULAN'!AZ231)</f>
        <v>0</v>
      </c>
      <c r="AT143" s="292">
        <f>SUM('PER BULAN'!BA231)</f>
        <v>0</v>
      </c>
      <c r="AU143" s="292">
        <f>SUM('PER BULAN'!BB231)</f>
        <v>0</v>
      </c>
      <c r="AV143" s="292">
        <f>SUM('PER BULAN'!BC231)</f>
        <v>0</v>
      </c>
      <c r="AW143" s="292">
        <f>SUM('PER BULAN'!BD231)</f>
        <v>0</v>
      </c>
      <c r="AX143" s="292">
        <f>SUM('PER BULAN'!BE231)</f>
        <v>0</v>
      </c>
    </row>
    <row r="144" spans="1:50" x14ac:dyDescent="0.3">
      <c r="Q144" s="297">
        <f t="shared" ref="Q144:AC144" si="14">SUM(Q4:Q143)</f>
        <v>16863164000</v>
      </c>
      <c r="R144" s="297">
        <f t="shared" si="14"/>
        <v>0</v>
      </c>
      <c r="S144" s="297">
        <f t="shared" si="14"/>
        <v>74237800</v>
      </c>
      <c r="T144" s="297">
        <f t="shared" si="14"/>
        <v>672277677</v>
      </c>
      <c r="U144" s="297">
        <f t="shared" si="14"/>
        <v>1892688850</v>
      </c>
      <c r="V144" s="297">
        <f t="shared" si="14"/>
        <v>1260934024</v>
      </c>
      <c r="W144" s="297">
        <f t="shared" si="14"/>
        <v>2167184581</v>
      </c>
      <c r="X144" s="297">
        <f t="shared" si="14"/>
        <v>0</v>
      </c>
      <c r="Y144" s="297">
        <f t="shared" si="14"/>
        <v>0</v>
      </c>
      <c r="Z144" s="297">
        <f t="shared" si="14"/>
        <v>0</v>
      </c>
      <c r="AA144" s="297">
        <f t="shared" si="14"/>
        <v>0</v>
      </c>
      <c r="AB144" s="297">
        <f t="shared" si="14"/>
        <v>0</v>
      </c>
      <c r="AC144" s="297">
        <f t="shared" si="14"/>
        <v>0</v>
      </c>
      <c r="AI144" s="297">
        <f>SUM(AI4:AI143)</f>
        <v>6067322932</v>
      </c>
      <c r="AJ144" s="298">
        <f>AI144/Q144*100</f>
        <v>35.97974218835801</v>
      </c>
      <c r="AK144" s="297">
        <f>SUM(AK4:AK143)</f>
        <v>10795841068</v>
      </c>
      <c r="AL144" s="298">
        <f>AK144/Q144*100</f>
        <v>64.020257811641983</v>
      </c>
      <c r="AQ144" s="297">
        <f>SUM(AQ4:AQ143)</f>
        <v>99961115</v>
      </c>
      <c r="AR144" s="297">
        <f>SUM(AR4:AR143)</f>
        <v>410500187</v>
      </c>
      <c r="AS144" s="297">
        <f t="shared" ref="AS144:AU144" si="15">SUM(AS4:AS143)</f>
        <v>98176375</v>
      </c>
      <c r="AT144" s="297">
        <f t="shared" si="15"/>
        <v>95254996</v>
      </c>
      <c r="AU144" s="297">
        <f t="shared" si="15"/>
        <v>95439616</v>
      </c>
      <c r="AV144" s="297">
        <f t="shared" ref="AV144:AW144" si="16">SUM(AV4:AV143)</f>
        <v>93838577</v>
      </c>
      <c r="AW144" s="297">
        <f t="shared" si="16"/>
        <v>312088731</v>
      </c>
      <c r="AX144" s="297">
        <f t="shared" ref="AX144" si="17">SUM(AX4:AX143)</f>
        <v>7559500</v>
      </c>
    </row>
    <row r="145" spans="17:45" x14ac:dyDescent="0.3">
      <c r="T145" s="276"/>
    </row>
    <row r="146" spans="17:45" x14ac:dyDescent="0.3">
      <c r="Q146" s="276">
        <f>Q144-'PER BULAN'!F14</f>
        <v>0</v>
      </c>
      <c r="T146" s="276"/>
    </row>
    <row r="147" spans="17:45" x14ac:dyDescent="0.3">
      <c r="T147" s="276"/>
      <c r="AS147" s="275" t="s">
        <v>4644</v>
      </c>
    </row>
  </sheetData>
  <autoFilter ref="A3:AT144" xr:uid="{9FDCFFFA-2DEA-42B1-9446-C51DC417CDBE}"/>
  <phoneticPr fontId="27"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I233"/>
  <sheetViews>
    <sheetView showGridLines="0" zoomScale="70" zoomScaleNormal="70" workbookViewId="0">
      <pane xSplit="3" ySplit="14" topLeftCell="D204" activePane="bottomRight" state="frozen"/>
      <selection pane="topRight" activeCell="D1" sqref="D1"/>
      <selection pane="bottomLeft" activeCell="A15" sqref="A15"/>
      <selection pane="bottomRight" activeCell="V218" sqref="V218"/>
    </sheetView>
  </sheetViews>
  <sheetFormatPr defaultRowHeight="14.4" x14ac:dyDescent="0.3"/>
  <cols>
    <col min="1" max="1" width="8.6640625" customWidth="1"/>
    <col min="2" max="2" width="16.33203125" customWidth="1"/>
    <col min="3" max="3" width="62.44140625" customWidth="1"/>
    <col min="4" max="5" width="9.109375" customWidth="1"/>
    <col min="6" max="6" width="17.44140625" customWidth="1"/>
    <col min="7" max="7" width="13.44140625" hidden="1" customWidth="1"/>
    <col min="8" max="8" width="15.44140625" hidden="1" customWidth="1"/>
    <col min="9" max="9" width="16.44140625" hidden="1" customWidth="1"/>
    <col min="10" max="10" width="13.44140625" hidden="1" customWidth="1"/>
    <col min="11" max="12" width="9.109375" hidden="1" customWidth="1"/>
    <col min="13" max="13" width="13" hidden="1" customWidth="1"/>
    <col min="14" max="15" width="15.6640625" hidden="1" customWidth="1"/>
    <col min="16" max="16" width="14.33203125" hidden="1" customWidth="1"/>
    <col min="17" max="17" width="11.5546875" hidden="1" customWidth="1"/>
    <col min="18" max="18" width="9.109375" hidden="1" customWidth="1"/>
    <col min="19" max="19" width="13" hidden="1" customWidth="1"/>
    <col min="20" max="20" width="15.109375" hidden="1" customWidth="1"/>
    <col min="21" max="21" width="15.88671875" hidden="1" customWidth="1"/>
    <col min="22" max="22" width="14.88671875" bestFit="1" customWidth="1"/>
    <col min="23" max="23" width="9.109375" customWidth="1"/>
    <col min="24" max="24" width="12.109375" customWidth="1"/>
    <col min="25" max="42" width="9.109375" hidden="1" customWidth="1"/>
    <col min="43" max="43" width="15.88671875" customWidth="1"/>
    <col min="44" max="44" width="7.6640625" customWidth="1"/>
    <col min="45" max="45" width="18.44140625" customWidth="1"/>
    <col min="46" max="46" width="8.5546875" customWidth="1"/>
    <col min="47" max="47" width="28.109375" customWidth="1"/>
    <col min="48" max="48" width="33" customWidth="1"/>
    <col min="49" max="49" width="34.109375" customWidth="1"/>
    <col min="50" max="50" width="11.5546875" customWidth="1"/>
    <col min="51" max="51" width="12.5546875" style="274" customWidth="1"/>
    <col min="52" max="52" width="11.5546875" customWidth="1"/>
    <col min="53" max="53" width="11.5546875" style="274" customWidth="1"/>
    <col min="54" max="54" width="12.6640625" customWidth="1"/>
    <col min="55" max="55" width="15.88671875" customWidth="1"/>
    <col min="56" max="56" width="13.5546875" customWidth="1"/>
    <col min="57" max="57" width="17.88671875" customWidth="1"/>
  </cols>
  <sheetData>
    <row r="4" spans="2:57" x14ac:dyDescent="0.3">
      <c r="B4" s="245" t="s">
        <v>598</v>
      </c>
      <c r="C4" s="245"/>
    </row>
    <row r="5" spans="2:57" x14ac:dyDescent="0.3">
      <c r="B5" s="245" t="s">
        <v>4860</v>
      </c>
      <c r="C5" s="245"/>
    </row>
    <row r="6" spans="2:57" x14ac:dyDescent="0.3">
      <c r="B6" s="245"/>
      <c r="C6" s="245"/>
    </row>
    <row r="7" spans="2:57" x14ac:dyDescent="0.3">
      <c r="B7" s="245" t="s">
        <v>599</v>
      </c>
      <c r="C7" s="245" t="s">
        <v>600</v>
      </c>
    </row>
    <row r="8" spans="2:57" x14ac:dyDescent="0.3">
      <c r="B8" s="245" t="s">
        <v>601</v>
      </c>
      <c r="C8" s="245" t="s">
        <v>602</v>
      </c>
    </row>
    <row r="9" spans="2:57" x14ac:dyDescent="0.3">
      <c r="B9" s="245" t="s">
        <v>603</v>
      </c>
      <c r="C9" s="245" t="s">
        <v>604</v>
      </c>
    </row>
    <row r="10" spans="2:57" x14ac:dyDescent="0.3">
      <c r="B10" s="245" t="s">
        <v>605</v>
      </c>
      <c r="C10" s="245" t="s">
        <v>4841</v>
      </c>
    </row>
    <row r="12" spans="2:57" s="219" customFormat="1" x14ac:dyDescent="0.3">
      <c r="B12" s="307" t="s">
        <v>606</v>
      </c>
      <c r="C12" s="307" t="s">
        <v>607</v>
      </c>
      <c r="D12" s="307" t="s">
        <v>608</v>
      </c>
      <c r="E12" s="307" t="s">
        <v>609</v>
      </c>
      <c r="F12" s="307" t="s">
        <v>611</v>
      </c>
      <c r="G12" s="445" t="s">
        <v>4629</v>
      </c>
      <c r="H12" s="445"/>
      <c r="I12" s="445"/>
      <c r="J12" s="445" t="s">
        <v>4630</v>
      </c>
      <c r="K12" s="445"/>
      <c r="L12" s="445"/>
      <c r="M12" s="445" t="s">
        <v>4631</v>
      </c>
      <c r="N12" s="445"/>
      <c r="O12" s="445"/>
      <c r="P12" s="445" t="s">
        <v>4632</v>
      </c>
      <c r="Q12" s="445"/>
      <c r="R12" s="445"/>
      <c r="S12" s="445" t="s">
        <v>4633</v>
      </c>
      <c r="T12" s="445"/>
      <c r="U12" s="445"/>
      <c r="V12" s="445" t="s">
        <v>4634</v>
      </c>
      <c r="W12" s="445"/>
      <c r="X12" s="445"/>
      <c r="Y12" s="445" t="s">
        <v>4635</v>
      </c>
      <c r="Z12" s="445"/>
      <c r="AA12" s="445"/>
      <c r="AB12" s="445" t="s">
        <v>4636</v>
      </c>
      <c r="AC12" s="445"/>
      <c r="AD12" s="445"/>
      <c r="AE12" s="445" t="s">
        <v>4637</v>
      </c>
      <c r="AF12" s="445"/>
      <c r="AG12" s="445"/>
      <c r="AH12" s="445" t="s">
        <v>4638</v>
      </c>
      <c r="AI12" s="445"/>
      <c r="AJ12" s="445"/>
      <c r="AK12" s="445" t="s">
        <v>4639</v>
      </c>
      <c r="AL12" s="445"/>
      <c r="AM12" s="445"/>
      <c r="AN12" s="445" t="s">
        <v>4640</v>
      </c>
      <c r="AO12" s="445"/>
      <c r="AP12" s="445"/>
      <c r="AQ12" s="447" t="s">
        <v>4647</v>
      </c>
      <c r="AR12" s="448" t="s">
        <v>4648</v>
      </c>
      <c r="AS12" s="446" t="s">
        <v>4649</v>
      </c>
      <c r="AT12" s="446" t="s">
        <v>4648</v>
      </c>
      <c r="AU12" s="306" t="s">
        <v>4855</v>
      </c>
      <c r="AV12" s="306" t="s">
        <v>500</v>
      </c>
      <c r="AW12" s="306" t="s">
        <v>4839</v>
      </c>
      <c r="AX12" s="305" t="s">
        <v>4854</v>
      </c>
      <c r="AY12" s="305"/>
      <c r="AZ12" s="305"/>
      <c r="BA12" s="305"/>
      <c r="BB12" s="305"/>
      <c r="BC12" s="305"/>
      <c r="BD12" s="305"/>
      <c r="BE12" s="305"/>
    </row>
    <row r="13" spans="2:57" x14ac:dyDescent="0.3">
      <c r="B13" s="307"/>
      <c r="C13" s="307"/>
      <c r="D13" s="307"/>
      <c r="E13" s="307"/>
      <c r="F13" s="307"/>
      <c r="G13" s="308" t="s">
        <v>4643</v>
      </c>
      <c r="H13" s="308" t="s">
        <v>4641</v>
      </c>
      <c r="I13" s="308" t="s">
        <v>4642</v>
      </c>
      <c r="J13" s="308" t="s">
        <v>4643</v>
      </c>
      <c r="K13" s="308" t="s">
        <v>4641</v>
      </c>
      <c r="L13" s="308" t="s">
        <v>4642</v>
      </c>
      <c r="M13" s="308" t="s">
        <v>4643</v>
      </c>
      <c r="N13" s="308" t="s">
        <v>4641</v>
      </c>
      <c r="O13" s="308" t="s">
        <v>4642</v>
      </c>
      <c r="P13" s="308" t="s">
        <v>4643</v>
      </c>
      <c r="Q13" s="308" t="s">
        <v>4641</v>
      </c>
      <c r="R13" s="308" t="s">
        <v>4642</v>
      </c>
      <c r="S13" s="308" t="s">
        <v>4643</v>
      </c>
      <c r="T13" s="308" t="s">
        <v>4641</v>
      </c>
      <c r="U13" s="308" t="s">
        <v>4642</v>
      </c>
      <c r="V13" s="308" t="s">
        <v>4643</v>
      </c>
      <c r="W13" s="308" t="s">
        <v>4641</v>
      </c>
      <c r="X13" s="308" t="s">
        <v>4642</v>
      </c>
      <c r="Y13" s="308" t="s">
        <v>4643</v>
      </c>
      <c r="Z13" s="308" t="s">
        <v>4641</v>
      </c>
      <c r="AA13" s="308" t="s">
        <v>4642</v>
      </c>
      <c r="AB13" s="308" t="s">
        <v>4643</v>
      </c>
      <c r="AC13" s="308" t="s">
        <v>4641</v>
      </c>
      <c r="AD13" s="308" t="s">
        <v>4642</v>
      </c>
      <c r="AE13" s="308" t="s">
        <v>4643</v>
      </c>
      <c r="AF13" s="308" t="s">
        <v>4641</v>
      </c>
      <c r="AG13" s="308" t="s">
        <v>4642</v>
      </c>
      <c r="AH13" s="308" t="s">
        <v>4643</v>
      </c>
      <c r="AI13" s="308" t="s">
        <v>4641</v>
      </c>
      <c r="AJ13" s="308" t="s">
        <v>4642</v>
      </c>
      <c r="AK13" s="308" t="s">
        <v>4643</v>
      </c>
      <c r="AL13" s="308" t="s">
        <v>4641</v>
      </c>
      <c r="AM13" s="308" t="s">
        <v>4642</v>
      </c>
      <c r="AN13" s="308" t="s">
        <v>4643</v>
      </c>
      <c r="AO13" s="308" t="s">
        <v>4641</v>
      </c>
      <c r="AP13" s="308" t="s">
        <v>4642</v>
      </c>
      <c r="AQ13" s="447"/>
      <c r="AR13" s="448"/>
      <c r="AS13" s="446"/>
      <c r="AT13" s="446"/>
      <c r="AU13" s="306"/>
      <c r="AV13" s="306"/>
      <c r="AW13" s="306"/>
      <c r="AX13" s="304" t="s">
        <v>4851</v>
      </c>
      <c r="AY13" s="303" t="s">
        <v>4852</v>
      </c>
      <c r="AZ13" s="304" t="s">
        <v>4853</v>
      </c>
      <c r="BA13" s="303" t="s">
        <v>4862</v>
      </c>
      <c r="BB13" s="360" t="s">
        <v>5186</v>
      </c>
      <c r="BC13" s="360" t="s">
        <v>5222</v>
      </c>
      <c r="BD13" s="360" t="s">
        <v>5223</v>
      </c>
      <c r="BE13" s="360" t="s">
        <v>5379</v>
      </c>
    </row>
    <row r="14" spans="2:57" x14ac:dyDescent="0.3">
      <c r="B14" s="310" t="s">
        <v>4646</v>
      </c>
      <c r="C14" s="311" t="s">
        <v>613</v>
      </c>
      <c r="D14" s="311"/>
      <c r="E14" s="311"/>
      <c r="F14" s="312">
        <f>F15+F60</f>
        <v>16863164000</v>
      </c>
      <c r="G14" s="312">
        <f>G15+G60</f>
        <v>0</v>
      </c>
      <c r="H14" s="312">
        <f>H15+H60</f>
        <v>0</v>
      </c>
      <c r="I14" s="312">
        <f t="shared" ref="I14:AP14" si="0">I15+I60</f>
        <v>0</v>
      </c>
      <c r="J14" s="312">
        <f t="shared" si="0"/>
        <v>74237800</v>
      </c>
      <c r="K14" s="312">
        <f t="shared" si="0"/>
        <v>0</v>
      </c>
      <c r="L14" s="312">
        <f t="shared" si="0"/>
        <v>0</v>
      </c>
      <c r="M14" s="312">
        <f t="shared" si="0"/>
        <v>63640000</v>
      </c>
      <c r="N14" s="312">
        <f t="shared" si="0"/>
        <v>198137490</v>
      </c>
      <c r="O14" s="312">
        <f t="shared" si="0"/>
        <v>410500187</v>
      </c>
      <c r="P14" s="312">
        <f>P15+P60</f>
        <v>1797433854</v>
      </c>
      <c r="Q14" s="312">
        <f t="shared" si="0"/>
        <v>95254996</v>
      </c>
      <c r="R14" s="312">
        <f t="shared" si="0"/>
        <v>0</v>
      </c>
      <c r="S14" s="312">
        <f t="shared" si="0"/>
        <v>759567100</v>
      </c>
      <c r="T14" s="312">
        <f t="shared" si="0"/>
        <v>189278193</v>
      </c>
      <c r="U14" s="312">
        <f t="shared" si="0"/>
        <v>312088731</v>
      </c>
      <c r="V14" s="312">
        <f t="shared" si="0"/>
        <v>2159625081</v>
      </c>
      <c r="W14" s="312">
        <f t="shared" si="0"/>
        <v>0</v>
      </c>
      <c r="X14" s="312">
        <f t="shared" si="0"/>
        <v>7559500</v>
      </c>
      <c r="Y14" s="312">
        <f t="shared" si="0"/>
        <v>0</v>
      </c>
      <c r="Z14" s="312">
        <f t="shared" si="0"/>
        <v>0</v>
      </c>
      <c r="AA14" s="312">
        <f t="shared" si="0"/>
        <v>0</v>
      </c>
      <c r="AB14" s="312">
        <f t="shared" si="0"/>
        <v>0</v>
      </c>
      <c r="AC14" s="312">
        <f t="shared" si="0"/>
        <v>0</v>
      </c>
      <c r="AD14" s="312">
        <f t="shared" si="0"/>
        <v>0</v>
      </c>
      <c r="AE14" s="312">
        <f t="shared" si="0"/>
        <v>0</v>
      </c>
      <c r="AF14" s="312">
        <f t="shared" si="0"/>
        <v>0</v>
      </c>
      <c r="AG14" s="312">
        <f t="shared" si="0"/>
        <v>0</v>
      </c>
      <c r="AH14" s="312">
        <f t="shared" si="0"/>
        <v>0</v>
      </c>
      <c r="AI14" s="312">
        <f t="shared" si="0"/>
        <v>0</v>
      </c>
      <c r="AJ14" s="312">
        <f t="shared" si="0"/>
        <v>0</v>
      </c>
      <c r="AK14" s="312">
        <f t="shared" si="0"/>
        <v>0</v>
      </c>
      <c r="AL14" s="312">
        <f t="shared" si="0"/>
        <v>0</v>
      </c>
      <c r="AM14" s="312">
        <f t="shared" si="0"/>
        <v>0</v>
      </c>
      <c r="AN14" s="312">
        <f>AN15+AN60</f>
        <v>0</v>
      </c>
      <c r="AO14" s="312">
        <f>AO15+AO60</f>
        <v>0</v>
      </c>
      <c r="AP14" s="312">
        <f t="shared" si="0"/>
        <v>0</v>
      </c>
      <c r="AQ14" s="312">
        <f>SUM(G14:AP14)</f>
        <v>6067322932</v>
      </c>
      <c r="AR14" s="313">
        <f>AQ14/F14*100</f>
        <v>35.97974218835801</v>
      </c>
      <c r="AS14" s="314">
        <f>F14-AQ14</f>
        <v>10795841068</v>
      </c>
      <c r="AT14" s="313">
        <f>AS14/F14*100</f>
        <v>64.020257811641983</v>
      </c>
      <c r="AU14" s="220"/>
      <c r="AV14" s="220"/>
      <c r="AW14" s="220" t="s">
        <v>4732</v>
      </c>
      <c r="AX14" s="312">
        <f>AX15+AX60</f>
        <v>99961115</v>
      </c>
      <c r="AY14" s="312">
        <f>AY15+AY60</f>
        <v>410500187</v>
      </c>
      <c r="AZ14" s="312">
        <f>AZ15+AZ60</f>
        <v>98176375</v>
      </c>
      <c r="BA14" s="312">
        <f>BA15+BA60</f>
        <v>95254996</v>
      </c>
      <c r="BB14" s="312">
        <f t="shared" ref="BB14" si="1">BB15+BB60</f>
        <v>95439616</v>
      </c>
      <c r="BC14" s="312">
        <f t="shared" ref="BC14:BD14" si="2">BC15+BC60</f>
        <v>93838577</v>
      </c>
      <c r="BD14" s="312">
        <f t="shared" si="2"/>
        <v>312088731</v>
      </c>
      <c r="BE14" s="312">
        <f t="shared" ref="BE14" si="3">BE15+BE60</f>
        <v>7559500</v>
      </c>
    </row>
    <row r="15" spans="2:57" x14ac:dyDescent="0.3">
      <c r="B15" s="246" t="s">
        <v>0</v>
      </c>
      <c r="C15" s="247" t="s">
        <v>1</v>
      </c>
      <c r="D15" s="247"/>
      <c r="E15" s="247"/>
      <c r="F15" s="248">
        <f>F16</f>
        <v>1000000000</v>
      </c>
      <c r="G15" s="248">
        <f t="shared" ref="G15:AP17" si="4">G16</f>
        <v>0</v>
      </c>
      <c r="H15" s="248">
        <f t="shared" si="4"/>
        <v>0</v>
      </c>
      <c r="I15" s="248">
        <f t="shared" si="4"/>
        <v>0</v>
      </c>
      <c r="J15" s="248">
        <f t="shared" si="4"/>
        <v>0</v>
      </c>
      <c r="K15" s="248">
        <f t="shared" si="4"/>
        <v>0</v>
      </c>
      <c r="L15" s="248">
        <f t="shared" si="4"/>
        <v>0</v>
      </c>
      <c r="M15" s="248">
        <f t="shared" si="4"/>
        <v>0</v>
      </c>
      <c r="N15" s="248">
        <f t="shared" si="4"/>
        <v>30802300</v>
      </c>
      <c r="O15" s="248">
        <f t="shared" si="4"/>
        <v>89962700</v>
      </c>
      <c r="P15" s="248">
        <f t="shared" si="4"/>
        <v>34256000</v>
      </c>
      <c r="Q15" s="248">
        <f t="shared" si="4"/>
        <v>0</v>
      </c>
      <c r="R15" s="248">
        <f t="shared" si="4"/>
        <v>0</v>
      </c>
      <c r="S15" s="248">
        <f t="shared" si="4"/>
        <v>2180000</v>
      </c>
      <c r="T15" s="248">
        <f t="shared" si="4"/>
        <v>10260100</v>
      </c>
      <c r="U15" s="248">
        <f t="shared" si="4"/>
        <v>76123900</v>
      </c>
      <c r="V15" s="248">
        <f t="shared" si="4"/>
        <v>124937100</v>
      </c>
      <c r="W15" s="248">
        <f t="shared" si="4"/>
        <v>0</v>
      </c>
      <c r="X15" s="248">
        <f t="shared" si="4"/>
        <v>0</v>
      </c>
      <c r="Y15" s="248">
        <f t="shared" si="4"/>
        <v>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SUM(G15:AP15)</f>
        <v>368522100</v>
      </c>
      <c r="AR15" s="249">
        <f t="shared" ref="AR15:AR46" si="5">AQ15/F15/100</f>
        <v>3.6852210000000002E-3</v>
      </c>
      <c r="AS15" s="250">
        <f t="shared" ref="AS15:AS78" si="6">F15-AQ15</f>
        <v>631477900</v>
      </c>
      <c r="AT15" s="249">
        <f>AS15/F15*100</f>
        <v>63.147790000000001</v>
      </c>
      <c r="AU15" s="220"/>
      <c r="AV15" s="220"/>
      <c r="AW15" s="220" t="s">
        <v>4732</v>
      </c>
      <c r="AX15" s="248">
        <f t="shared" ref="AX15:BE17" si="7">AX16</f>
        <v>0</v>
      </c>
      <c r="AY15" s="248">
        <f t="shared" si="7"/>
        <v>89962700</v>
      </c>
      <c r="AZ15" s="248">
        <f t="shared" si="7"/>
        <v>30802300</v>
      </c>
      <c r="BA15" s="248">
        <f t="shared" si="7"/>
        <v>0</v>
      </c>
      <c r="BB15" s="248">
        <f t="shared" si="7"/>
        <v>1500000</v>
      </c>
      <c r="BC15" s="248">
        <f t="shared" si="7"/>
        <v>8760100</v>
      </c>
      <c r="BD15" s="248">
        <f t="shared" si="7"/>
        <v>76123900</v>
      </c>
      <c r="BE15" s="248">
        <f t="shared" si="7"/>
        <v>0</v>
      </c>
    </row>
    <row r="16" spans="2:57" x14ac:dyDescent="0.3">
      <c r="B16" s="240">
        <v>2376</v>
      </c>
      <c r="C16" s="241" t="s">
        <v>47</v>
      </c>
      <c r="D16" s="241"/>
      <c r="E16" s="241"/>
      <c r="F16" s="242">
        <f t="shared" ref="F16:U17" si="8">F17</f>
        <v>1000000000</v>
      </c>
      <c r="G16" s="242">
        <f t="shared" si="8"/>
        <v>0</v>
      </c>
      <c r="H16" s="242">
        <f t="shared" si="8"/>
        <v>0</v>
      </c>
      <c r="I16" s="242">
        <f t="shared" si="8"/>
        <v>0</v>
      </c>
      <c r="J16" s="242">
        <f t="shared" si="8"/>
        <v>0</v>
      </c>
      <c r="K16" s="242">
        <f t="shared" si="8"/>
        <v>0</v>
      </c>
      <c r="L16" s="242">
        <f t="shared" si="8"/>
        <v>0</v>
      </c>
      <c r="M16" s="242">
        <f t="shared" si="8"/>
        <v>0</v>
      </c>
      <c r="N16" s="242">
        <f t="shared" si="8"/>
        <v>30802300</v>
      </c>
      <c r="O16" s="242">
        <f t="shared" si="8"/>
        <v>89962700</v>
      </c>
      <c r="P16" s="242">
        <f t="shared" si="8"/>
        <v>34256000</v>
      </c>
      <c r="Q16" s="242">
        <f t="shared" si="8"/>
        <v>0</v>
      </c>
      <c r="R16" s="242">
        <f t="shared" si="8"/>
        <v>0</v>
      </c>
      <c r="S16" s="242">
        <f t="shared" si="8"/>
        <v>2180000</v>
      </c>
      <c r="T16" s="242">
        <f t="shared" si="8"/>
        <v>10260100</v>
      </c>
      <c r="U16" s="242">
        <f t="shared" si="8"/>
        <v>76123900</v>
      </c>
      <c r="V16" s="242">
        <f t="shared" si="4"/>
        <v>124937100</v>
      </c>
      <c r="W16" s="242">
        <f t="shared" si="4"/>
        <v>0</v>
      </c>
      <c r="X16" s="242">
        <f t="shared" si="4"/>
        <v>0</v>
      </c>
      <c r="Y16" s="242">
        <f t="shared" si="4"/>
        <v>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SUM(G16:AP16)</f>
        <v>368522100</v>
      </c>
      <c r="AR16" s="243">
        <f t="shared" si="5"/>
        <v>3.6852210000000002E-3</v>
      </c>
      <c r="AS16" s="244">
        <f t="shared" si="6"/>
        <v>631477900</v>
      </c>
      <c r="AT16" s="243">
        <f t="shared" ref="AT16:AT78" si="9">AS16/F16*100</f>
        <v>63.147790000000001</v>
      </c>
      <c r="AU16" s="220"/>
      <c r="AV16" s="220"/>
      <c r="AW16" s="220" t="s">
        <v>4732</v>
      </c>
      <c r="AX16" s="242">
        <f t="shared" si="7"/>
        <v>0</v>
      </c>
      <c r="AY16" s="242">
        <f t="shared" si="7"/>
        <v>89962700</v>
      </c>
      <c r="AZ16" s="242">
        <f t="shared" si="7"/>
        <v>30802300</v>
      </c>
      <c r="BA16" s="242">
        <f t="shared" si="7"/>
        <v>0</v>
      </c>
      <c r="BB16" s="242">
        <f t="shared" si="7"/>
        <v>1500000</v>
      </c>
      <c r="BC16" s="242">
        <f t="shared" si="7"/>
        <v>8760100</v>
      </c>
      <c r="BD16" s="242">
        <f t="shared" si="7"/>
        <v>76123900</v>
      </c>
      <c r="BE16" s="242">
        <f t="shared" si="7"/>
        <v>0</v>
      </c>
    </row>
    <row r="17" spans="2:57" x14ac:dyDescent="0.3">
      <c r="B17" s="236" t="s">
        <v>48</v>
      </c>
      <c r="C17" s="237" t="s">
        <v>615</v>
      </c>
      <c r="D17" s="237">
        <v>4</v>
      </c>
      <c r="E17" s="237" t="s">
        <v>3596</v>
      </c>
      <c r="F17" s="235">
        <f t="shared" si="8"/>
        <v>1000000000</v>
      </c>
      <c r="G17" s="235">
        <f t="shared" si="4"/>
        <v>0</v>
      </c>
      <c r="H17" s="235">
        <f t="shared" si="4"/>
        <v>0</v>
      </c>
      <c r="I17" s="235">
        <f t="shared" si="4"/>
        <v>0</v>
      </c>
      <c r="J17" s="235">
        <f t="shared" si="4"/>
        <v>0</v>
      </c>
      <c r="K17" s="235">
        <f t="shared" si="4"/>
        <v>0</v>
      </c>
      <c r="L17" s="235">
        <f t="shared" si="4"/>
        <v>0</v>
      </c>
      <c r="M17" s="235">
        <f t="shared" si="4"/>
        <v>0</v>
      </c>
      <c r="N17" s="235">
        <f t="shared" si="4"/>
        <v>30802300</v>
      </c>
      <c r="O17" s="235">
        <f t="shared" si="4"/>
        <v>89962700</v>
      </c>
      <c r="P17" s="235">
        <f t="shared" si="4"/>
        <v>34256000</v>
      </c>
      <c r="Q17" s="235">
        <f t="shared" si="4"/>
        <v>0</v>
      </c>
      <c r="R17" s="235">
        <f t="shared" si="4"/>
        <v>0</v>
      </c>
      <c r="S17" s="235">
        <f t="shared" si="4"/>
        <v>2180000</v>
      </c>
      <c r="T17" s="235">
        <f t="shared" si="4"/>
        <v>10260100</v>
      </c>
      <c r="U17" s="235">
        <f t="shared" si="4"/>
        <v>76123900</v>
      </c>
      <c r="V17" s="235">
        <f t="shared" si="4"/>
        <v>124937100</v>
      </c>
      <c r="W17" s="235">
        <f t="shared" si="4"/>
        <v>0</v>
      </c>
      <c r="X17" s="235">
        <f t="shared" si="4"/>
        <v>0</v>
      </c>
      <c r="Y17" s="235">
        <f t="shared" si="4"/>
        <v>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SUM(G17:AP17)</f>
        <v>368522100</v>
      </c>
      <c r="AR17" s="238">
        <f t="shared" si="5"/>
        <v>3.6852210000000002E-3</v>
      </c>
      <c r="AS17" s="239">
        <f t="shared" si="6"/>
        <v>631477900</v>
      </c>
      <c r="AT17" s="238">
        <f>AS17/F17*100</f>
        <v>63.147790000000001</v>
      </c>
      <c r="AU17" s="220"/>
      <c r="AV17" s="220"/>
      <c r="AW17" s="220" t="s">
        <v>4732</v>
      </c>
      <c r="AX17" s="235">
        <f t="shared" si="7"/>
        <v>0</v>
      </c>
      <c r="AY17" s="235">
        <f t="shared" si="7"/>
        <v>89962700</v>
      </c>
      <c r="AZ17" s="235">
        <f t="shared" si="7"/>
        <v>30802300</v>
      </c>
      <c r="BA17" s="235">
        <f t="shared" si="7"/>
        <v>0</v>
      </c>
      <c r="BB17" s="235">
        <f t="shared" si="7"/>
        <v>1500000</v>
      </c>
      <c r="BC17" s="235">
        <f t="shared" si="7"/>
        <v>8760100</v>
      </c>
      <c r="BD17" s="235">
        <f t="shared" si="7"/>
        <v>76123900</v>
      </c>
      <c r="BE17" s="235">
        <f t="shared" si="7"/>
        <v>0</v>
      </c>
    </row>
    <row r="18" spans="2:57" x14ac:dyDescent="0.3">
      <c r="B18" s="226" t="s">
        <v>3712</v>
      </c>
      <c r="C18" s="227" t="s">
        <v>49</v>
      </c>
      <c r="D18" s="227">
        <v>4</v>
      </c>
      <c r="E18" s="227" t="s">
        <v>3596</v>
      </c>
      <c r="F18" s="228">
        <f>F19+F28+F32+F53</f>
        <v>1000000000</v>
      </c>
      <c r="G18" s="228">
        <f t="shared" ref="G18:AP18" si="10">G19+G28+G32+G53</f>
        <v>0</v>
      </c>
      <c r="H18" s="228">
        <f t="shared" si="10"/>
        <v>0</v>
      </c>
      <c r="I18" s="228">
        <f t="shared" si="10"/>
        <v>0</v>
      </c>
      <c r="J18" s="228">
        <f t="shared" si="10"/>
        <v>0</v>
      </c>
      <c r="K18" s="228">
        <f t="shared" si="10"/>
        <v>0</v>
      </c>
      <c r="L18" s="228">
        <f t="shared" si="10"/>
        <v>0</v>
      </c>
      <c r="M18" s="228">
        <f t="shared" si="10"/>
        <v>0</v>
      </c>
      <c r="N18" s="228">
        <f t="shared" si="10"/>
        <v>30802300</v>
      </c>
      <c r="O18" s="228">
        <f t="shared" si="10"/>
        <v>89962700</v>
      </c>
      <c r="P18" s="228">
        <f t="shared" si="10"/>
        <v>34256000</v>
      </c>
      <c r="Q18" s="228">
        <f t="shared" si="10"/>
        <v>0</v>
      </c>
      <c r="R18" s="228">
        <f t="shared" si="10"/>
        <v>0</v>
      </c>
      <c r="S18" s="228">
        <f t="shared" si="10"/>
        <v>2180000</v>
      </c>
      <c r="T18" s="228">
        <f t="shared" si="10"/>
        <v>10260100</v>
      </c>
      <c r="U18" s="228">
        <f t="shared" si="10"/>
        <v>76123900</v>
      </c>
      <c r="V18" s="228">
        <f t="shared" si="10"/>
        <v>124937100</v>
      </c>
      <c r="W18" s="228">
        <f t="shared" si="10"/>
        <v>0</v>
      </c>
      <c r="X18" s="228">
        <f t="shared" si="10"/>
        <v>0</v>
      </c>
      <c r="Y18" s="228">
        <f t="shared" si="10"/>
        <v>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SUM(G18:AP18)</f>
        <v>368522100</v>
      </c>
      <c r="AR18" s="229">
        <f t="shared" si="5"/>
        <v>3.6852210000000002E-3</v>
      </c>
      <c r="AS18" s="230">
        <f t="shared" si="6"/>
        <v>631477900</v>
      </c>
      <c r="AT18" s="229">
        <f t="shared" si="9"/>
        <v>63.147790000000001</v>
      </c>
      <c r="AU18" s="220"/>
      <c r="AV18" s="220"/>
      <c r="AW18" s="220" t="s">
        <v>4732</v>
      </c>
      <c r="AX18" s="228">
        <f>AX19+AX28+AX32+AX53</f>
        <v>0</v>
      </c>
      <c r="AY18" s="228">
        <f>AY19+AY28+AY32+AY53</f>
        <v>89962700</v>
      </c>
      <c r="AZ18" s="228">
        <f>AZ19+AZ28+AZ32+AZ53</f>
        <v>30802300</v>
      </c>
      <c r="BA18" s="228">
        <f>BA19+BA28+BA32+BA53</f>
        <v>0</v>
      </c>
      <c r="BB18" s="228">
        <f t="shared" ref="BB18" si="11">BB19+BB28+BB32+BB53</f>
        <v>1500000</v>
      </c>
      <c r="BC18" s="228">
        <f t="shared" ref="BC18:BD18" si="12">BC19+BC28+BC32+BC53</f>
        <v>8760100</v>
      </c>
      <c r="BD18" s="228">
        <f t="shared" si="12"/>
        <v>76123900</v>
      </c>
      <c r="BE18" s="228">
        <f t="shared" ref="BE18" si="13">BE19+BE28+BE32+BE53</f>
        <v>0</v>
      </c>
    </row>
    <row r="19" spans="2:57" x14ac:dyDescent="0.3">
      <c r="B19" s="254" t="s">
        <v>502</v>
      </c>
      <c r="C19" s="255" t="s">
        <v>50</v>
      </c>
      <c r="D19" s="255"/>
      <c r="E19" s="255"/>
      <c r="F19" s="256">
        <f>F20+F24</f>
        <v>124100000</v>
      </c>
      <c r="G19" s="256">
        <f t="shared" ref="G19:AP19" si="14">G20+G24</f>
        <v>0</v>
      </c>
      <c r="H19" s="256">
        <f t="shared" si="14"/>
        <v>0</v>
      </c>
      <c r="I19" s="256">
        <f t="shared" si="14"/>
        <v>0</v>
      </c>
      <c r="J19" s="256">
        <f t="shared" si="14"/>
        <v>0</v>
      </c>
      <c r="K19" s="256">
        <f t="shared" si="14"/>
        <v>0</v>
      </c>
      <c r="L19" s="256">
        <f t="shared" si="14"/>
        <v>0</v>
      </c>
      <c r="M19" s="256">
        <f t="shared" si="14"/>
        <v>0</v>
      </c>
      <c r="N19" s="256">
        <f t="shared" si="14"/>
        <v>6196000</v>
      </c>
      <c r="O19" s="256">
        <f t="shared" si="14"/>
        <v>28225000</v>
      </c>
      <c r="P19" s="256">
        <f t="shared" si="14"/>
        <v>11716000</v>
      </c>
      <c r="Q19" s="256">
        <f t="shared" si="14"/>
        <v>0</v>
      </c>
      <c r="R19" s="256">
        <f t="shared" si="14"/>
        <v>0</v>
      </c>
      <c r="S19" s="256">
        <f t="shared" si="14"/>
        <v>0</v>
      </c>
      <c r="T19" s="256">
        <f t="shared" si="14"/>
        <v>3406000</v>
      </c>
      <c r="U19" s="256">
        <f t="shared" si="14"/>
        <v>2965000</v>
      </c>
      <c r="V19" s="256">
        <f t="shared" si="14"/>
        <v>3010000</v>
      </c>
      <c r="W19" s="256">
        <f t="shared" si="14"/>
        <v>0</v>
      </c>
      <c r="X19" s="256">
        <f t="shared" si="14"/>
        <v>0</v>
      </c>
      <c r="Y19" s="256">
        <f t="shared" si="14"/>
        <v>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ref="AQ19:AQ23" si="15">SUM(G19:AP19)</f>
        <v>55518000</v>
      </c>
      <c r="AR19" s="257">
        <f t="shared" si="5"/>
        <v>4.4736502820306202E-3</v>
      </c>
      <c r="AS19" s="258">
        <f t="shared" si="6"/>
        <v>68582000</v>
      </c>
      <c r="AT19" s="257">
        <f t="shared" si="9"/>
        <v>55.2634971796938</v>
      </c>
      <c r="AU19" s="220" t="s">
        <v>531</v>
      </c>
      <c r="AV19" s="220" t="s">
        <v>532</v>
      </c>
      <c r="AW19" s="220" t="s">
        <v>4732</v>
      </c>
      <c r="AX19" s="256">
        <f t="shared" ref="AX19:AY19" si="16">AX20+AX24</f>
        <v>0</v>
      </c>
      <c r="AY19" s="256">
        <f t="shared" si="16"/>
        <v>28225000</v>
      </c>
      <c r="AZ19" s="256">
        <f t="shared" ref="AZ19:BA19" si="17">AZ20+AZ24</f>
        <v>6196000</v>
      </c>
      <c r="BA19" s="256">
        <f t="shared" si="17"/>
        <v>0</v>
      </c>
      <c r="BB19" s="256">
        <f t="shared" ref="BB19" si="18">BB20+BB24</f>
        <v>0</v>
      </c>
      <c r="BC19" s="256">
        <f t="shared" ref="BC19:BD19" si="19">BC20+BC24</f>
        <v>3406000</v>
      </c>
      <c r="BD19" s="256">
        <f t="shared" si="19"/>
        <v>2965000</v>
      </c>
      <c r="BE19" s="256">
        <f t="shared" ref="BE19" si="20">BE20+BE24</f>
        <v>0</v>
      </c>
    </row>
    <row r="20" spans="2:57" x14ac:dyDescent="0.3">
      <c r="B20" s="290" t="s">
        <v>8</v>
      </c>
      <c r="C20" s="222" t="s">
        <v>51</v>
      </c>
      <c r="D20" s="222"/>
      <c r="E20" s="222"/>
      <c r="F20" s="223">
        <f>SUM(F21:F23)</f>
        <v>83135000</v>
      </c>
      <c r="G20" s="223">
        <f>SUM(G21:G23)</f>
        <v>0</v>
      </c>
      <c r="H20" s="223">
        <f t="shared" ref="H20:AP20" si="21">SUM(H21:H23)</f>
        <v>0</v>
      </c>
      <c r="I20" s="223">
        <f t="shared" si="21"/>
        <v>0</v>
      </c>
      <c r="J20" s="223">
        <f t="shared" si="21"/>
        <v>0</v>
      </c>
      <c r="K20" s="223">
        <f t="shared" si="21"/>
        <v>0</v>
      </c>
      <c r="L20" s="223">
        <f t="shared" si="21"/>
        <v>0</v>
      </c>
      <c r="M20" s="223">
        <f t="shared" si="21"/>
        <v>0</v>
      </c>
      <c r="N20" s="223">
        <f t="shared" si="21"/>
        <v>1500000</v>
      </c>
      <c r="O20" s="223">
        <f t="shared" si="21"/>
        <v>12840000</v>
      </c>
      <c r="P20" s="223">
        <f t="shared" si="21"/>
        <v>11716000</v>
      </c>
      <c r="Q20" s="223">
        <f t="shared" si="21"/>
        <v>0</v>
      </c>
      <c r="R20" s="223">
        <f t="shared" si="21"/>
        <v>0</v>
      </c>
      <c r="S20" s="223">
        <f t="shared" si="21"/>
        <v>0</v>
      </c>
      <c r="T20" s="223">
        <f t="shared" si="21"/>
        <v>3406000</v>
      </c>
      <c r="U20" s="223">
        <f t="shared" si="21"/>
        <v>1485000</v>
      </c>
      <c r="V20" s="223">
        <f t="shared" si="21"/>
        <v>3010000</v>
      </c>
      <c r="W20" s="223">
        <f t="shared" si="21"/>
        <v>0</v>
      </c>
      <c r="X20" s="223">
        <f t="shared" si="21"/>
        <v>0</v>
      </c>
      <c r="Y20" s="223">
        <f t="shared" si="21"/>
        <v>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SUM(G20:AP20)</f>
        <v>33957000</v>
      </c>
      <c r="AR20" s="231">
        <f t="shared" si="5"/>
        <v>4.0845612557887769E-3</v>
      </c>
      <c r="AS20" s="232">
        <f t="shared" si="6"/>
        <v>49178000</v>
      </c>
      <c r="AT20" s="231">
        <f t="shared" si="9"/>
        <v>59.154387442112224</v>
      </c>
      <c r="AU20" s="220" t="s">
        <v>531</v>
      </c>
      <c r="AV20" s="220" t="s">
        <v>532</v>
      </c>
      <c r="AW20" s="220" t="s">
        <v>4732</v>
      </c>
      <c r="AX20" s="223">
        <f>SUM(AX21:AX23)</f>
        <v>0</v>
      </c>
      <c r="AY20" s="223">
        <f>SUM(AY21:AY23)</f>
        <v>12840000</v>
      </c>
      <c r="AZ20" s="223">
        <f>SUM(AZ21:AZ23)</f>
        <v>1500000</v>
      </c>
      <c r="BA20" s="223">
        <f>SUM(BA21:BA23)</f>
        <v>0</v>
      </c>
      <c r="BB20" s="223">
        <f t="shared" ref="BB20" si="22">SUM(BB21:BB23)</f>
        <v>0</v>
      </c>
      <c r="BC20" s="223">
        <f t="shared" ref="BC20:BD20" si="23">SUM(BC21:BC23)</f>
        <v>3406000</v>
      </c>
      <c r="BD20" s="223">
        <f t="shared" si="23"/>
        <v>1485000</v>
      </c>
      <c r="BE20" s="223">
        <f t="shared" ref="BE20" si="24">SUM(BE21:BE23)</f>
        <v>0</v>
      </c>
    </row>
    <row r="21" spans="2:57" x14ac:dyDescent="0.3">
      <c r="B21" s="288">
        <v>521211</v>
      </c>
      <c r="C21" s="220" t="s">
        <v>7</v>
      </c>
      <c r="D21" s="220"/>
      <c r="E21" s="220"/>
      <c r="F21" s="221">
        <v>19875000</v>
      </c>
      <c r="G21" s="221"/>
      <c r="H21" s="221"/>
      <c r="I21" s="221"/>
      <c r="J21" s="221"/>
      <c r="K21" s="221"/>
      <c r="L21" s="221"/>
      <c r="M21" s="221"/>
      <c r="N21" s="302">
        <v>1500000</v>
      </c>
      <c r="O21" s="302">
        <v>990000</v>
      </c>
      <c r="P21" s="221"/>
      <c r="Q21" s="221"/>
      <c r="R21" s="221"/>
      <c r="S21" s="221"/>
      <c r="T21" s="221">
        <v>1606000</v>
      </c>
      <c r="U21" s="221">
        <v>1485000</v>
      </c>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f t="shared" si="15"/>
        <v>5581000</v>
      </c>
      <c r="AR21" s="224">
        <f t="shared" si="5"/>
        <v>2.8080503144654089E-3</v>
      </c>
      <c r="AS21" s="225">
        <f t="shared" si="6"/>
        <v>14294000</v>
      </c>
      <c r="AT21" s="224">
        <f t="shared" si="9"/>
        <v>71.919496855345912</v>
      </c>
      <c r="AU21" s="220" t="s">
        <v>531</v>
      </c>
      <c r="AV21" s="220" t="s">
        <v>532</v>
      </c>
      <c r="AW21" s="220" t="s">
        <v>4732</v>
      </c>
      <c r="AX21" s="221"/>
      <c r="AY21" s="302">
        <v>990000</v>
      </c>
      <c r="AZ21" s="302">
        <v>1500000</v>
      </c>
      <c r="BA21" s="221"/>
      <c r="BB21" s="221"/>
      <c r="BC21" s="221">
        <v>1606000</v>
      </c>
      <c r="BD21" s="221">
        <v>1485000</v>
      </c>
      <c r="BE21" s="221"/>
    </row>
    <row r="22" spans="2:57" x14ac:dyDescent="0.3">
      <c r="B22" s="288">
        <v>522151</v>
      </c>
      <c r="C22" s="220" t="s">
        <v>11</v>
      </c>
      <c r="D22" s="220"/>
      <c r="E22" s="220"/>
      <c r="F22" s="221">
        <v>20000000</v>
      </c>
      <c r="G22" s="221"/>
      <c r="H22" s="221"/>
      <c r="I22" s="221"/>
      <c r="J22" s="221"/>
      <c r="K22" s="221"/>
      <c r="L22" s="221"/>
      <c r="M22" s="221"/>
      <c r="N22" s="221"/>
      <c r="O22" s="302">
        <v>900000</v>
      </c>
      <c r="P22" s="221"/>
      <c r="Q22" s="221"/>
      <c r="R22" s="221"/>
      <c r="S22" s="221"/>
      <c r="T22" s="221"/>
      <c r="U22" s="221"/>
      <c r="V22" s="221">
        <v>1200000</v>
      </c>
      <c r="W22" s="221"/>
      <c r="X22" s="221"/>
      <c r="Y22" s="221"/>
      <c r="Z22" s="221"/>
      <c r="AA22" s="221"/>
      <c r="AB22" s="221"/>
      <c r="AC22" s="221"/>
      <c r="AD22" s="221"/>
      <c r="AE22" s="221"/>
      <c r="AF22" s="221"/>
      <c r="AG22" s="221"/>
      <c r="AH22" s="221"/>
      <c r="AI22" s="221"/>
      <c r="AJ22" s="221"/>
      <c r="AK22" s="221"/>
      <c r="AL22" s="221"/>
      <c r="AM22" s="221"/>
      <c r="AN22" s="221"/>
      <c r="AO22" s="221"/>
      <c r="AP22" s="221"/>
      <c r="AQ22" s="221">
        <f t="shared" si="15"/>
        <v>2100000</v>
      </c>
      <c r="AR22" s="224">
        <f t="shared" si="5"/>
        <v>1.0499999999999999E-3</v>
      </c>
      <c r="AS22" s="225">
        <f t="shared" si="6"/>
        <v>17900000</v>
      </c>
      <c r="AT22" s="224">
        <f t="shared" si="9"/>
        <v>89.5</v>
      </c>
      <c r="AU22" s="220" t="s">
        <v>531</v>
      </c>
      <c r="AV22" s="220" t="s">
        <v>532</v>
      </c>
      <c r="AW22" s="220" t="s">
        <v>4732</v>
      </c>
      <c r="AX22" s="221"/>
      <c r="AY22" s="302">
        <v>900000</v>
      </c>
      <c r="AZ22" s="302"/>
      <c r="BA22" s="221"/>
      <c r="BB22" s="221"/>
      <c r="BC22" s="221"/>
      <c r="BD22" s="221"/>
      <c r="BE22" s="221"/>
    </row>
    <row r="23" spans="2:57" x14ac:dyDescent="0.3">
      <c r="B23" s="288">
        <v>524111</v>
      </c>
      <c r="C23" s="220" t="s">
        <v>19</v>
      </c>
      <c r="D23" s="220"/>
      <c r="E23" s="220"/>
      <c r="F23" s="221">
        <v>43260000</v>
      </c>
      <c r="G23" s="221"/>
      <c r="H23" s="221"/>
      <c r="I23" s="221"/>
      <c r="J23" s="221"/>
      <c r="K23" s="221"/>
      <c r="L23" s="221"/>
      <c r="M23" s="221"/>
      <c r="N23" s="221"/>
      <c r="O23" s="302">
        <v>10950000</v>
      </c>
      <c r="P23" s="221">
        <f>6060000+5656000</f>
        <v>11716000</v>
      </c>
      <c r="Q23" s="221"/>
      <c r="R23" s="221"/>
      <c r="S23" s="221"/>
      <c r="T23" s="221">
        <v>1800000</v>
      </c>
      <c r="U23" s="221"/>
      <c r="V23" s="221">
        <v>1810000</v>
      </c>
      <c r="W23" s="221"/>
      <c r="X23" s="221"/>
      <c r="Y23" s="221"/>
      <c r="Z23" s="221"/>
      <c r="AA23" s="221"/>
      <c r="AB23" s="221"/>
      <c r="AC23" s="221"/>
      <c r="AD23" s="221"/>
      <c r="AE23" s="221"/>
      <c r="AF23" s="221"/>
      <c r="AG23" s="221"/>
      <c r="AH23" s="221"/>
      <c r="AI23" s="221"/>
      <c r="AJ23" s="221"/>
      <c r="AK23" s="221"/>
      <c r="AL23" s="221"/>
      <c r="AM23" s="221"/>
      <c r="AN23" s="221"/>
      <c r="AO23" s="221"/>
      <c r="AP23" s="221"/>
      <c r="AQ23" s="221">
        <f t="shared" si="15"/>
        <v>26276000</v>
      </c>
      <c r="AR23" s="224">
        <f t="shared" si="5"/>
        <v>6.0739713361072593E-3</v>
      </c>
      <c r="AS23" s="225">
        <f t="shared" si="6"/>
        <v>16984000</v>
      </c>
      <c r="AT23" s="224">
        <f t="shared" si="9"/>
        <v>39.260286638927418</v>
      </c>
      <c r="AU23" s="220" t="s">
        <v>531</v>
      </c>
      <c r="AV23" s="220" t="s">
        <v>532</v>
      </c>
      <c r="AW23" s="220" t="s">
        <v>4732</v>
      </c>
      <c r="AX23" s="221"/>
      <c r="AY23" s="302">
        <v>10950000</v>
      </c>
      <c r="AZ23" s="302"/>
      <c r="BA23" s="221"/>
      <c r="BB23" s="221"/>
      <c r="BC23" s="221">
        <v>1800000</v>
      </c>
      <c r="BD23" s="221"/>
      <c r="BE23" s="221"/>
    </row>
    <row r="24" spans="2:57" x14ac:dyDescent="0.3">
      <c r="B24" s="290" t="s">
        <v>511</v>
      </c>
      <c r="C24" s="222" t="s">
        <v>55</v>
      </c>
      <c r="D24" s="222"/>
      <c r="E24" s="222"/>
      <c r="F24" s="223">
        <f>SUM(F25:F27)</f>
        <v>40965000</v>
      </c>
      <c r="G24" s="223">
        <f t="shared" ref="G24:AP24" si="25">SUM(G25:G27)</f>
        <v>0</v>
      </c>
      <c r="H24" s="223">
        <f t="shared" si="25"/>
        <v>0</v>
      </c>
      <c r="I24" s="223">
        <f t="shared" si="25"/>
        <v>0</v>
      </c>
      <c r="J24" s="223">
        <f t="shared" si="25"/>
        <v>0</v>
      </c>
      <c r="K24" s="223">
        <f t="shared" si="25"/>
        <v>0</v>
      </c>
      <c r="L24" s="223">
        <f t="shared" si="25"/>
        <v>0</v>
      </c>
      <c r="M24" s="223">
        <f t="shared" si="25"/>
        <v>0</v>
      </c>
      <c r="N24" s="223">
        <f t="shared" si="25"/>
        <v>4696000</v>
      </c>
      <c r="O24" s="223">
        <f t="shared" si="25"/>
        <v>15385000</v>
      </c>
      <c r="P24" s="223">
        <f t="shared" si="25"/>
        <v>0</v>
      </c>
      <c r="Q24" s="223">
        <f t="shared" si="25"/>
        <v>0</v>
      </c>
      <c r="R24" s="223">
        <f t="shared" si="25"/>
        <v>0</v>
      </c>
      <c r="S24" s="223">
        <f t="shared" si="25"/>
        <v>0</v>
      </c>
      <c r="T24" s="223">
        <f t="shared" si="25"/>
        <v>0</v>
      </c>
      <c r="U24" s="223">
        <f t="shared" si="25"/>
        <v>1480000</v>
      </c>
      <c r="V24" s="223">
        <f t="shared" si="25"/>
        <v>0</v>
      </c>
      <c r="W24" s="223">
        <f t="shared" si="25"/>
        <v>0</v>
      </c>
      <c r="X24" s="223">
        <f t="shared" si="25"/>
        <v>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SUM(G24:AP24)</f>
        <v>21561000</v>
      </c>
      <c r="AR24" s="231">
        <f t="shared" si="5"/>
        <v>5.2632735261808859E-3</v>
      </c>
      <c r="AS24" s="232">
        <f t="shared" si="6"/>
        <v>19404000</v>
      </c>
      <c r="AT24" s="231">
        <f t="shared" si="9"/>
        <v>47.367264738191139</v>
      </c>
      <c r="AU24" s="220" t="s">
        <v>531</v>
      </c>
      <c r="AV24" s="220" t="s">
        <v>532</v>
      </c>
      <c r="AW24" s="220" t="s">
        <v>4732</v>
      </c>
      <c r="AX24" s="223">
        <f t="shared" ref="AX24:BA24" si="26">SUM(AX25:AX27)</f>
        <v>0</v>
      </c>
      <c r="AY24" s="223">
        <f t="shared" si="26"/>
        <v>15385000</v>
      </c>
      <c r="AZ24" s="223">
        <f t="shared" si="26"/>
        <v>4696000</v>
      </c>
      <c r="BA24" s="223">
        <f t="shared" si="26"/>
        <v>0</v>
      </c>
      <c r="BB24" s="223">
        <f t="shared" ref="BB24" si="27">SUM(BB25:BB27)</f>
        <v>0</v>
      </c>
      <c r="BC24" s="223">
        <f t="shared" ref="BC24:BD24" si="28">SUM(BC25:BC27)</f>
        <v>0</v>
      </c>
      <c r="BD24" s="223">
        <f t="shared" si="28"/>
        <v>1480000</v>
      </c>
      <c r="BE24" s="223">
        <f t="shared" ref="BE24" si="29">SUM(BE25:BE27)</f>
        <v>0</v>
      </c>
    </row>
    <row r="25" spans="2:57" x14ac:dyDescent="0.3">
      <c r="B25" s="288">
        <v>521211</v>
      </c>
      <c r="C25" s="220" t="s">
        <v>7</v>
      </c>
      <c r="D25" s="220"/>
      <c r="E25" s="220"/>
      <c r="F25" s="221">
        <v>19500000</v>
      </c>
      <c r="G25" s="221"/>
      <c r="H25" s="221"/>
      <c r="I25" s="221"/>
      <c r="J25" s="221"/>
      <c r="K25" s="221"/>
      <c r="L25" s="221"/>
      <c r="M25" s="221"/>
      <c r="N25" s="302">
        <v>1036000</v>
      </c>
      <c r="O25" s="302">
        <v>1525000</v>
      </c>
      <c r="P25" s="221"/>
      <c r="Q25" s="221"/>
      <c r="R25" s="221"/>
      <c r="S25" s="221"/>
      <c r="T25" s="221"/>
      <c r="U25" s="221">
        <v>1480000</v>
      </c>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f t="shared" ref="AQ25:AQ78" si="30">SUM(G25:AP25)</f>
        <v>4041000</v>
      </c>
      <c r="AR25" s="224">
        <f t="shared" si="5"/>
        <v>2.0723076923076923E-3</v>
      </c>
      <c r="AS25" s="225">
        <f t="shared" si="6"/>
        <v>15459000</v>
      </c>
      <c r="AT25" s="224">
        <f t="shared" si="9"/>
        <v>79.276923076923083</v>
      </c>
      <c r="AU25" s="220" t="s">
        <v>531</v>
      </c>
      <c r="AV25" s="220" t="s">
        <v>532</v>
      </c>
      <c r="AW25" s="220" t="s">
        <v>4732</v>
      </c>
      <c r="AX25" s="221"/>
      <c r="AY25" s="302">
        <v>1525000</v>
      </c>
      <c r="AZ25" s="302">
        <v>1036000</v>
      </c>
      <c r="BA25" s="221"/>
      <c r="BB25" s="221"/>
      <c r="BC25" s="221"/>
      <c r="BD25" s="221">
        <v>1480000</v>
      </c>
      <c r="BE25" s="221"/>
    </row>
    <row r="26" spans="2:57" x14ac:dyDescent="0.3">
      <c r="B26" s="288">
        <v>522151</v>
      </c>
      <c r="C26" s="220" t="s">
        <v>11</v>
      </c>
      <c r="D26" s="220"/>
      <c r="E26" s="220"/>
      <c r="F26" s="221">
        <v>4000000</v>
      </c>
      <c r="G26" s="221"/>
      <c r="H26" s="221"/>
      <c r="I26" s="221"/>
      <c r="J26" s="221"/>
      <c r="K26" s="221"/>
      <c r="L26" s="221"/>
      <c r="M26" s="221"/>
      <c r="N26" s="302"/>
      <c r="O26" s="302">
        <v>900000</v>
      </c>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f t="shared" si="30"/>
        <v>900000</v>
      </c>
      <c r="AR26" s="224">
        <f t="shared" si="5"/>
        <v>2.2500000000000003E-3</v>
      </c>
      <c r="AS26" s="225">
        <f t="shared" si="6"/>
        <v>3100000</v>
      </c>
      <c r="AT26" s="224">
        <f t="shared" si="9"/>
        <v>77.5</v>
      </c>
      <c r="AU26" s="220" t="s">
        <v>531</v>
      </c>
      <c r="AV26" s="220" t="s">
        <v>532</v>
      </c>
      <c r="AW26" s="220" t="s">
        <v>4732</v>
      </c>
      <c r="AX26" s="221"/>
      <c r="AY26" s="302">
        <v>900000</v>
      </c>
      <c r="AZ26" s="302"/>
      <c r="BA26" s="221"/>
      <c r="BB26" s="221"/>
      <c r="BC26" s="221"/>
      <c r="BD26" s="221"/>
      <c r="BE26" s="221"/>
    </row>
    <row r="27" spans="2:57" x14ac:dyDescent="0.3">
      <c r="B27" s="288">
        <v>524111</v>
      </c>
      <c r="C27" s="220" t="s">
        <v>19</v>
      </c>
      <c r="D27" s="220"/>
      <c r="E27" s="220"/>
      <c r="F27" s="221">
        <v>17465000</v>
      </c>
      <c r="G27" s="221"/>
      <c r="H27" s="221"/>
      <c r="I27" s="221"/>
      <c r="J27" s="221"/>
      <c r="K27" s="221"/>
      <c r="L27" s="221"/>
      <c r="M27" s="221"/>
      <c r="N27" s="302">
        <v>3660000</v>
      </c>
      <c r="O27" s="302">
        <v>12960000</v>
      </c>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f t="shared" si="30"/>
        <v>16620000</v>
      </c>
      <c r="AR27" s="224">
        <f t="shared" si="5"/>
        <v>9.5161752075579725E-3</v>
      </c>
      <c r="AS27" s="225">
        <f t="shared" si="6"/>
        <v>845000</v>
      </c>
      <c r="AT27" s="224">
        <f t="shared" si="9"/>
        <v>4.8382479244202692</v>
      </c>
      <c r="AU27" s="220" t="s">
        <v>531</v>
      </c>
      <c r="AV27" s="220" t="s">
        <v>532</v>
      </c>
      <c r="AW27" s="220" t="s">
        <v>4732</v>
      </c>
      <c r="AX27" s="221"/>
      <c r="AY27" s="302">
        <v>12960000</v>
      </c>
      <c r="AZ27" s="302">
        <v>3660000</v>
      </c>
      <c r="BA27" s="221"/>
      <c r="BB27" s="221"/>
      <c r="BC27" s="221"/>
      <c r="BD27" s="221"/>
      <c r="BE27" s="221"/>
    </row>
    <row r="28" spans="2:57" x14ac:dyDescent="0.3">
      <c r="B28" s="254" t="s">
        <v>520</v>
      </c>
      <c r="C28" s="255" t="s">
        <v>57</v>
      </c>
      <c r="D28" s="255"/>
      <c r="E28" s="255"/>
      <c r="F28" s="256">
        <f>F29</f>
        <v>54500000</v>
      </c>
      <c r="G28" s="256">
        <f t="shared" ref="G28:AO28" si="31">G29</f>
        <v>0</v>
      </c>
      <c r="H28" s="256">
        <f t="shared" si="31"/>
        <v>0</v>
      </c>
      <c r="I28" s="256">
        <f t="shared" si="31"/>
        <v>0</v>
      </c>
      <c r="J28" s="256">
        <f t="shared" si="31"/>
        <v>0</v>
      </c>
      <c r="K28" s="256">
        <f t="shared" si="31"/>
        <v>0</v>
      </c>
      <c r="L28" s="256">
        <f t="shared" si="31"/>
        <v>0</v>
      </c>
      <c r="M28" s="256">
        <f t="shared" si="31"/>
        <v>0</v>
      </c>
      <c r="N28" s="256">
        <f t="shared" si="31"/>
        <v>2700000</v>
      </c>
      <c r="O28" s="256">
        <f t="shared" si="31"/>
        <v>3540000</v>
      </c>
      <c r="P28" s="256">
        <f t="shared" si="31"/>
        <v>2840000</v>
      </c>
      <c r="Q28" s="256">
        <f t="shared" si="31"/>
        <v>0</v>
      </c>
      <c r="R28" s="256">
        <f t="shared" si="31"/>
        <v>0</v>
      </c>
      <c r="S28" s="256">
        <f t="shared" si="31"/>
        <v>1250000</v>
      </c>
      <c r="T28" s="256">
        <f t="shared" si="31"/>
        <v>4280000</v>
      </c>
      <c r="U28" s="256">
        <f t="shared" si="31"/>
        <v>9244500</v>
      </c>
      <c r="V28" s="256">
        <f t="shared" si="31"/>
        <v>360000</v>
      </c>
      <c r="W28" s="256">
        <f t="shared" si="31"/>
        <v>0</v>
      </c>
      <c r="X28" s="256">
        <f t="shared" si="31"/>
        <v>0</v>
      </c>
      <c r="Y28" s="256">
        <f t="shared" si="31"/>
        <v>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AP29</f>
        <v>0</v>
      </c>
      <c r="AQ28" s="256">
        <f>SUM(G28:AP28)</f>
        <v>24214500</v>
      </c>
      <c r="AR28" s="257">
        <f t="shared" si="5"/>
        <v>4.4430275229357793E-3</v>
      </c>
      <c r="AS28" s="258">
        <f>F28-AQ28</f>
        <v>30285500</v>
      </c>
      <c r="AT28" s="257">
        <f t="shared" si="9"/>
        <v>55.569724770642203</v>
      </c>
      <c r="AU28" s="220" t="s">
        <v>531</v>
      </c>
      <c r="AV28" s="220" t="s">
        <v>534</v>
      </c>
      <c r="AW28" s="220" t="s">
        <v>4732</v>
      </c>
      <c r="AX28" s="256">
        <f t="shared" ref="AX28:BE28" si="32">AX29</f>
        <v>0</v>
      </c>
      <c r="AY28" s="256">
        <f t="shared" si="32"/>
        <v>3540000</v>
      </c>
      <c r="AZ28" s="256">
        <f t="shared" si="32"/>
        <v>2700000</v>
      </c>
      <c r="BA28" s="256">
        <f t="shared" si="32"/>
        <v>0</v>
      </c>
      <c r="BB28" s="256">
        <f t="shared" si="32"/>
        <v>0</v>
      </c>
      <c r="BC28" s="256">
        <f t="shared" si="32"/>
        <v>4280000</v>
      </c>
      <c r="BD28" s="256">
        <f t="shared" si="32"/>
        <v>9244500</v>
      </c>
      <c r="BE28" s="256">
        <f t="shared" si="32"/>
        <v>0</v>
      </c>
    </row>
    <row r="29" spans="2:57" x14ac:dyDescent="0.3">
      <c r="B29" s="290" t="s">
        <v>8</v>
      </c>
      <c r="C29" s="222" t="s">
        <v>59</v>
      </c>
      <c r="D29" s="222"/>
      <c r="E29" s="222"/>
      <c r="F29" s="223">
        <f>SUM(F30:F31)</f>
        <v>54500000</v>
      </c>
      <c r="G29" s="223">
        <f t="shared" ref="G29:AP29" si="33">SUM(G30:G31)</f>
        <v>0</v>
      </c>
      <c r="H29" s="223">
        <f t="shared" si="33"/>
        <v>0</v>
      </c>
      <c r="I29" s="223">
        <f t="shared" si="33"/>
        <v>0</v>
      </c>
      <c r="J29" s="223">
        <f t="shared" si="33"/>
        <v>0</v>
      </c>
      <c r="K29" s="223">
        <f t="shared" si="33"/>
        <v>0</v>
      </c>
      <c r="L29" s="223">
        <f t="shared" si="33"/>
        <v>0</v>
      </c>
      <c r="M29" s="223">
        <f t="shared" si="33"/>
        <v>0</v>
      </c>
      <c r="N29" s="223">
        <f t="shared" si="33"/>
        <v>2700000</v>
      </c>
      <c r="O29" s="223">
        <f t="shared" si="33"/>
        <v>3540000</v>
      </c>
      <c r="P29" s="223">
        <f t="shared" si="33"/>
        <v>2840000</v>
      </c>
      <c r="Q29" s="223">
        <f t="shared" si="33"/>
        <v>0</v>
      </c>
      <c r="R29" s="223">
        <f t="shared" si="33"/>
        <v>0</v>
      </c>
      <c r="S29" s="223">
        <f t="shared" si="33"/>
        <v>1250000</v>
      </c>
      <c r="T29" s="223">
        <f t="shared" si="33"/>
        <v>4280000</v>
      </c>
      <c r="U29" s="223">
        <f t="shared" si="33"/>
        <v>9244500</v>
      </c>
      <c r="V29" s="223">
        <f t="shared" si="33"/>
        <v>360000</v>
      </c>
      <c r="W29" s="223">
        <f t="shared" si="33"/>
        <v>0</v>
      </c>
      <c r="X29" s="223">
        <f t="shared" si="33"/>
        <v>0</v>
      </c>
      <c r="Y29" s="223">
        <f t="shared" si="33"/>
        <v>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0"/>
        <v>24214500</v>
      </c>
      <c r="AR29" s="231">
        <f t="shared" si="5"/>
        <v>4.4430275229357793E-3</v>
      </c>
      <c r="AS29" s="232">
        <f t="shared" si="6"/>
        <v>30285500</v>
      </c>
      <c r="AT29" s="231">
        <f t="shared" si="9"/>
        <v>55.569724770642203</v>
      </c>
      <c r="AU29" s="220" t="s">
        <v>531</v>
      </c>
      <c r="AV29" s="220" t="s">
        <v>534</v>
      </c>
      <c r="AW29" s="220" t="s">
        <v>4732</v>
      </c>
      <c r="AX29" s="223">
        <f t="shared" ref="AX29" si="34">SUM(AX30:AX31)</f>
        <v>0</v>
      </c>
      <c r="AY29" s="223">
        <f t="shared" ref="AY29:AZ29" si="35">SUM(AY30:AY31)</f>
        <v>3540000</v>
      </c>
      <c r="AZ29" s="223">
        <f t="shared" si="35"/>
        <v>2700000</v>
      </c>
      <c r="BA29" s="223">
        <f t="shared" ref="BA29" si="36">SUM(BA30:BA31)</f>
        <v>0</v>
      </c>
      <c r="BB29" s="223">
        <f t="shared" ref="BB29" si="37">SUM(BB30:BB31)</f>
        <v>0</v>
      </c>
      <c r="BC29" s="223">
        <f t="shared" ref="BC29:BD29" si="38">SUM(BC30:BC31)</f>
        <v>4280000</v>
      </c>
      <c r="BD29" s="223">
        <f t="shared" si="38"/>
        <v>9244500</v>
      </c>
      <c r="BE29" s="223">
        <f t="shared" ref="BE29" si="39">SUM(BE30:BE31)</f>
        <v>0</v>
      </c>
    </row>
    <row r="30" spans="2:57" x14ac:dyDescent="0.3">
      <c r="B30" s="288">
        <v>521211</v>
      </c>
      <c r="C30" s="220" t="s">
        <v>7</v>
      </c>
      <c r="D30" s="220"/>
      <c r="E30" s="220"/>
      <c r="F30" s="221">
        <v>21250000</v>
      </c>
      <c r="G30" s="221"/>
      <c r="H30" s="221"/>
      <c r="I30" s="221"/>
      <c r="J30" s="221"/>
      <c r="K30" s="221"/>
      <c r="L30" s="221"/>
      <c r="M30" s="221"/>
      <c r="N30" s="221"/>
      <c r="O30" s="302">
        <v>2460000</v>
      </c>
      <c r="P30" s="221"/>
      <c r="Q30" s="221"/>
      <c r="R30" s="221"/>
      <c r="S30" s="221"/>
      <c r="T30" s="221">
        <v>660000</v>
      </c>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f t="shared" si="30"/>
        <v>3120000</v>
      </c>
      <c r="AR30" s="224">
        <f t="shared" si="5"/>
        <v>1.4682352941176471E-3</v>
      </c>
      <c r="AS30" s="225">
        <f>F30-AQ30</f>
        <v>18130000</v>
      </c>
      <c r="AT30" s="224">
        <f t="shared" si="9"/>
        <v>85.317647058823525</v>
      </c>
      <c r="AU30" s="220" t="s">
        <v>531</v>
      </c>
      <c r="AV30" s="220" t="s">
        <v>534</v>
      </c>
      <c r="AW30" s="220" t="s">
        <v>4732</v>
      </c>
      <c r="AX30" s="221"/>
      <c r="AY30" s="302">
        <v>2460000</v>
      </c>
      <c r="AZ30" s="302"/>
      <c r="BA30" s="221"/>
      <c r="BB30" s="221"/>
      <c r="BC30" s="221">
        <v>660000</v>
      </c>
      <c r="BD30" s="221"/>
      <c r="BE30" s="221"/>
    </row>
    <row r="31" spans="2:57" x14ac:dyDescent="0.3">
      <c r="B31" s="288">
        <v>524111</v>
      </c>
      <c r="C31" s="220" t="s">
        <v>19</v>
      </c>
      <c r="D31" s="220"/>
      <c r="E31" s="220"/>
      <c r="F31" s="221">
        <v>33250000</v>
      </c>
      <c r="G31" s="221"/>
      <c r="H31" s="221"/>
      <c r="I31" s="221"/>
      <c r="J31" s="221"/>
      <c r="K31" s="221"/>
      <c r="L31" s="221"/>
      <c r="M31" s="221"/>
      <c r="N31" s="302">
        <v>2700000</v>
      </c>
      <c r="O31" s="302">
        <v>1080000</v>
      </c>
      <c r="P31" s="221">
        <f>1800000+1040000</f>
        <v>2840000</v>
      </c>
      <c r="Q31" s="221"/>
      <c r="R31" s="221"/>
      <c r="S31" s="221">
        <v>1250000</v>
      </c>
      <c r="T31" s="221">
        <v>3620000</v>
      </c>
      <c r="U31" s="221">
        <v>9244500</v>
      </c>
      <c r="V31" s="221">
        <v>360000</v>
      </c>
      <c r="W31" s="221"/>
      <c r="X31" s="221"/>
      <c r="Y31" s="221"/>
      <c r="Z31" s="221"/>
      <c r="AA31" s="221"/>
      <c r="AB31" s="221"/>
      <c r="AC31" s="221"/>
      <c r="AD31" s="221"/>
      <c r="AE31" s="221"/>
      <c r="AF31" s="221"/>
      <c r="AG31" s="221"/>
      <c r="AH31" s="221"/>
      <c r="AI31" s="221"/>
      <c r="AJ31" s="221"/>
      <c r="AK31" s="221"/>
      <c r="AL31" s="221"/>
      <c r="AM31" s="221"/>
      <c r="AN31" s="221"/>
      <c r="AO31" s="221"/>
      <c r="AP31" s="221"/>
      <c r="AQ31" s="221">
        <f t="shared" si="30"/>
        <v>21094500</v>
      </c>
      <c r="AR31" s="224">
        <f t="shared" si="5"/>
        <v>6.3442105263157899E-3</v>
      </c>
      <c r="AS31" s="225">
        <f t="shared" si="6"/>
        <v>12155500</v>
      </c>
      <c r="AT31" s="224">
        <f t="shared" si="9"/>
        <v>36.557894736842108</v>
      </c>
      <c r="AU31" s="220" t="s">
        <v>531</v>
      </c>
      <c r="AV31" s="220" t="s">
        <v>534</v>
      </c>
      <c r="AW31" s="220" t="s">
        <v>4732</v>
      </c>
      <c r="AX31" s="221"/>
      <c r="AY31" s="302">
        <v>1080000</v>
      </c>
      <c r="AZ31" s="302">
        <v>2700000</v>
      </c>
      <c r="BA31" s="221"/>
      <c r="BB31" s="221"/>
      <c r="BC31" s="221">
        <v>3620000</v>
      </c>
      <c r="BD31" s="221">
        <v>9244500</v>
      </c>
      <c r="BE31" s="221"/>
    </row>
    <row r="32" spans="2:57" x14ac:dyDescent="0.3">
      <c r="B32" s="254" t="s">
        <v>523</v>
      </c>
      <c r="C32" s="255" t="s">
        <v>61</v>
      </c>
      <c r="D32" s="255"/>
      <c r="E32" s="255"/>
      <c r="F32" s="256">
        <f>F33+F41+F48</f>
        <v>686300000</v>
      </c>
      <c r="G32" s="256">
        <f t="shared" ref="G32:AP32" si="40">G33+G41+G48</f>
        <v>0</v>
      </c>
      <c r="H32" s="256">
        <f t="shared" si="40"/>
        <v>0</v>
      </c>
      <c r="I32" s="256">
        <f t="shared" si="40"/>
        <v>0</v>
      </c>
      <c r="J32" s="256">
        <f t="shared" si="40"/>
        <v>0</v>
      </c>
      <c r="K32" s="256">
        <f t="shared" si="40"/>
        <v>0</v>
      </c>
      <c r="L32" s="256">
        <f t="shared" si="40"/>
        <v>0</v>
      </c>
      <c r="M32" s="256">
        <f t="shared" si="40"/>
        <v>0</v>
      </c>
      <c r="N32" s="256">
        <f t="shared" si="40"/>
        <v>7572800</v>
      </c>
      <c r="O32" s="256">
        <f t="shared" si="40"/>
        <v>35690450</v>
      </c>
      <c r="P32" s="256">
        <f t="shared" si="40"/>
        <v>6180000</v>
      </c>
      <c r="Q32" s="256">
        <f t="shared" si="40"/>
        <v>0</v>
      </c>
      <c r="R32" s="256">
        <f t="shared" si="40"/>
        <v>0</v>
      </c>
      <c r="S32" s="256">
        <f t="shared" si="40"/>
        <v>930000</v>
      </c>
      <c r="T32" s="256">
        <f t="shared" si="40"/>
        <v>1074100</v>
      </c>
      <c r="U32" s="256">
        <f t="shared" si="40"/>
        <v>63914400</v>
      </c>
      <c r="V32" s="256">
        <f t="shared" si="40"/>
        <v>98818490</v>
      </c>
      <c r="W32" s="256">
        <f t="shared" si="40"/>
        <v>0</v>
      </c>
      <c r="X32" s="256">
        <f t="shared" si="40"/>
        <v>0</v>
      </c>
      <c r="Y32" s="256">
        <f t="shared" si="40"/>
        <v>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SUM(G32:AP32)</f>
        <v>214180240</v>
      </c>
      <c r="AR32" s="257">
        <f t="shared" si="5"/>
        <v>3.1207961532857351E-3</v>
      </c>
      <c r="AS32" s="258">
        <f t="shared" si="6"/>
        <v>472119760</v>
      </c>
      <c r="AT32" s="257">
        <f t="shared" si="9"/>
        <v>68.792038467142646</v>
      </c>
      <c r="AU32" s="220" t="s">
        <v>535</v>
      </c>
      <c r="AV32" s="220" t="s">
        <v>536</v>
      </c>
      <c r="AW32" s="220" t="s">
        <v>4732</v>
      </c>
      <c r="AX32" s="256">
        <f t="shared" ref="AX32" si="41">AX33+AX41+AX48</f>
        <v>0</v>
      </c>
      <c r="AY32" s="256">
        <f t="shared" ref="AY32:AZ32" si="42">AY33+AY41+AY48</f>
        <v>35690450</v>
      </c>
      <c r="AZ32" s="256">
        <f t="shared" si="42"/>
        <v>7572800</v>
      </c>
      <c r="BA32" s="256">
        <f t="shared" ref="BA32" si="43">BA33+BA41+BA48</f>
        <v>0</v>
      </c>
      <c r="BB32" s="256">
        <f t="shared" ref="BB32" si="44">BB33+BB41+BB48</f>
        <v>0</v>
      </c>
      <c r="BC32" s="256">
        <f t="shared" ref="BC32:BD32" si="45">BC33+BC41+BC48</f>
        <v>1074100</v>
      </c>
      <c r="BD32" s="256">
        <f t="shared" si="45"/>
        <v>63914400</v>
      </c>
      <c r="BE32" s="256">
        <f t="shared" ref="BE32" si="46">BE33+BE41+BE48</f>
        <v>0</v>
      </c>
    </row>
    <row r="33" spans="2:57" x14ac:dyDescent="0.3">
      <c r="B33" s="290" t="s">
        <v>8</v>
      </c>
      <c r="C33" s="222" t="s">
        <v>62</v>
      </c>
      <c r="D33" s="222"/>
      <c r="E33" s="222"/>
      <c r="F33" s="223">
        <f>SUM(F34:F40)</f>
        <v>386924000</v>
      </c>
      <c r="G33" s="223">
        <f t="shared" ref="G33:AP33" si="47">SUM(G34:G40)</f>
        <v>0</v>
      </c>
      <c r="H33" s="223">
        <f t="shared" si="47"/>
        <v>0</v>
      </c>
      <c r="I33" s="223">
        <f t="shared" si="47"/>
        <v>0</v>
      </c>
      <c r="J33" s="223">
        <f t="shared" si="47"/>
        <v>0</v>
      </c>
      <c r="K33" s="223">
        <f t="shared" si="47"/>
        <v>0</v>
      </c>
      <c r="L33" s="223">
        <f t="shared" si="47"/>
        <v>0</v>
      </c>
      <c r="M33" s="223">
        <f t="shared" si="47"/>
        <v>0</v>
      </c>
      <c r="N33" s="223">
        <f t="shared" si="47"/>
        <v>7572800</v>
      </c>
      <c r="O33" s="223">
        <f t="shared" si="47"/>
        <v>16947450</v>
      </c>
      <c r="P33" s="223">
        <f t="shared" si="47"/>
        <v>6180000</v>
      </c>
      <c r="Q33" s="223">
        <f t="shared" si="47"/>
        <v>0</v>
      </c>
      <c r="R33" s="223">
        <f t="shared" si="47"/>
        <v>0</v>
      </c>
      <c r="S33" s="223">
        <f t="shared" si="47"/>
        <v>930000</v>
      </c>
      <c r="T33" s="223">
        <f t="shared" si="47"/>
        <v>771250</v>
      </c>
      <c r="U33" s="223">
        <f t="shared" si="47"/>
        <v>3813500</v>
      </c>
      <c r="V33" s="223">
        <f t="shared" si="47"/>
        <v>22708650</v>
      </c>
      <c r="W33" s="223">
        <f t="shared" si="47"/>
        <v>0</v>
      </c>
      <c r="X33" s="223">
        <f t="shared" si="47"/>
        <v>0</v>
      </c>
      <c r="Y33" s="223">
        <f t="shared" si="47"/>
        <v>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30"/>
        <v>58923650</v>
      </c>
      <c r="AR33" s="231">
        <f t="shared" si="5"/>
        <v>1.5228740010958225E-3</v>
      </c>
      <c r="AS33" s="232">
        <f t="shared" si="6"/>
        <v>328000350</v>
      </c>
      <c r="AT33" s="231">
        <f t="shared" si="9"/>
        <v>84.771259989041781</v>
      </c>
      <c r="AU33" s="220" t="s">
        <v>535</v>
      </c>
      <c r="AV33" s="220" t="s">
        <v>536</v>
      </c>
      <c r="AW33" s="220" t="s">
        <v>4732</v>
      </c>
      <c r="AX33" s="223">
        <f t="shared" ref="AX33" si="48">SUM(AX34:AX40)</f>
        <v>0</v>
      </c>
      <c r="AY33" s="223">
        <f t="shared" ref="AY33:AZ33" si="49">SUM(AY34:AY40)</f>
        <v>16947450</v>
      </c>
      <c r="AZ33" s="223">
        <f t="shared" si="49"/>
        <v>7572800</v>
      </c>
      <c r="BA33" s="223">
        <f t="shared" ref="BA33" si="50">SUM(BA34:BA40)</f>
        <v>0</v>
      </c>
      <c r="BB33" s="223">
        <f t="shared" ref="BB33" si="51">SUM(BB34:BB40)</f>
        <v>0</v>
      </c>
      <c r="BC33" s="223">
        <f t="shared" ref="BC33:BD33" si="52">SUM(BC34:BC40)</f>
        <v>771250</v>
      </c>
      <c r="BD33" s="223">
        <f t="shared" si="52"/>
        <v>3813500</v>
      </c>
      <c r="BE33" s="223">
        <f t="shared" ref="BE33" si="53">SUM(BE34:BE40)</f>
        <v>0</v>
      </c>
    </row>
    <row r="34" spans="2:57" x14ac:dyDescent="0.3">
      <c r="B34" s="288">
        <v>521211</v>
      </c>
      <c r="C34" s="220" t="s">
        <v>7</v>
      </c>
      <c r="D34" s="220"/>
      <c r="E34" s="220"/>
      <c r="F34" s="221">
        <v>64900000</v>
      </c>
      <c r="G34" s="221"/>
      <c r="H34" s="221"/>
      <c r="I34" s="221"/>
      <c r="J34" s="221"/>
      <c r="K34" s="221"/>
      <c r="L34" s="221"/>
      <c r="M34" s="221"/>
      <c r="N34" s="302">
        <v>1461500</v>
      </c>
      <c r="O34" s="302">
        <v>2871000</v>
      </c>
      <c r="P34" s="221"/>
      <c r="Q34" s="221"/>
      <c r="R34" s="221"/>
      <c r="S34" s="221"/>
      <c r="T34" s="221">
        <v>440000</v>
      </c>
      <c r="U34" s="221">
        <v>1422500</v>
      </c>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f t="shared" si="30"/>
        <v>6195000</v>
      </c>
      <c r="AR34" s="224">
        <f t="shared" si="5"/>
        <v>9.5454545454545456E-4</v>
      </c>
      <c r="AS34" s="225">
        <f>F34-AQ34</f>
        <v>58705000</v>
      </c>
      <c r="AT34" s="224">
        <f t="shared" si="9"/>
        <v>90.454545454545453</v>
      </c>
      <c r="AU34" s="220" t="s">
        <v>535</v>
      </c>
      <c r="AV34" s="220" t="s">
        <v>536</v>
      </c>
      <c r="AW34" s="220" t="s">
        <v>4732</v>
      </c>
      <c r="AX34" s="221"/>
      <c r="AY34" s="302">
        <v>2871000</v>
      </c>
      <c r="AZ34" s="302">
        <v>1461500</v>
      </c>
      <c r="BA34" s="221"/>
      <c r="BB34" s="221"/>
      <c r="BC34" s="221">
        <v>440000</v>
      </c>
      <c r="BD34" s="221">
        <v>1422500</v>
      </c>
      <c r="BE34" s="221"/>
    </row>
    <row r="35" spans="2:57" x14ac:dyDescent="0.3">
      <c r="B35" s="288">
        <v>521219</v>
      </c>
      <c r="C35" s="220" t="s">
        <v>53</v>
      </c>
      <c r="D35" s="220"/>
      <c r="E35" s="220"/>
      <c r="F35" s="221">
        <v>6000000</v>
      </c>
      <c r="G35" s="221"/>
      <c r="H35" s="221"/>
      <c r="I35" s="221"/>
      <c r="J35" s="221"/>
      <c r="K35" s="221"/>
      <c r="L35" s="221"/>
      <c r="M35" s="221"/>
      <c r="N35" s="302">
        <v>331300</v>
      </c>
      <c r="O35" s="302">
        <v>300450</v>
      </c>
      <c r="P35" s="221"/>
      <c r="Q35" s="221"/>
      <c r="R35" s="221"/>
      <c r="S35" s="221"/>
      <c r="T35" s="221">
        <v>331250</v>
      </c>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f t="shared" si="30"/>
        <v>963000</v>
      </c>
      <c r="AR35" s="224">
        <f t="shared" si="5"/>
        <v>1.6050000000000001E-3</v>
      </c>
      <c r="AS35" s="225">
        <f t="shared" si="6"/>
        <v>5037000</v>
      </c>
      <c r="AT35" s="224">
        <f t="shared" si="9"/>
        <v>83.95</v>
      </c>
      <c r="AU35" s="220" t="s">
        <v>535</v>
      </c>
      <c r="AV35" s="220" t="s">
        <v>536</v>
      </c>
      <c r="AW35" s="220" t="s">
        <v>4732</v>
      </c>
      <c r="AX35" s="221"/>
      <c r="AY35" s="302">
        <v>300450</v>
      </c>
      <c r="AZ35" s="302">
        <v>331300</v>
      </c>
      <c r="BA35" s="221"/>
      <c r="BB35" s="221"/>
      <c r="BC35" s="221">
        <v>331250</v>
      </c>
      <c r="BD35" s="221"/>
      <c r="BE35" s="221"/>
    </row>
    <row r="36" spans="2:57" x14ac:dyDescent="0.3">
      <c r="B36" s="288">
        <v>521811</v>
      </c>
      <c r="C36" s="220" t="s">
        <v>64</v>
      </c>
      <c r="D36" s="220"/>
      <c r="E36" s="220"/>
      <c r="F36" s="221">
        <v>30000000</v>
      </c>
      <c r="G36" s="221"/>
      <c r="H36" s="221"/>
      <c r="I36" s="221"/>
      <c r="J36" s="221"/>
      <c r="K36" s="221"/>
      <c r="L36" s="221"/>
      <c r="M36" s="221"/>
      <c r="N36" s="302">
        <v>2300000</v>
      </c>
      <c r="O36" s="302">
        <v>4846000</v>
      </c>
      <c r="P36" s="221"/>
      <c r="Q36" s="221"/>
      <c r="R36" s="221"/>
      <c r="S36" s="221"/>
      <c r="T36" s="221"/>
      <c r="U36" s="221">
        <v>2391000</v>
      </c>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f t="shared" si="30"/>
        <v>9537000</v>
      </c>
      <c r="AR36" s="224">
        <f t="shared" si="5"/>
        <v>3.179E-3</v>
      </c>
      <c r="AS36" s="225">
        <f t="shared" si="6"/>
        <v>20463000</v>
      </c>
      <c r="AT36" s="224">
        <f t="shared" si="9"/>
        <v>68.210000000000008</v>
      </c>
      <c r="AU36" s="220" t="s">
        <v>535</v>
      </c>
      <c r="AV36" s="220" t="s">
        <v>536</v>
      </c>
      <c r="AW36" s="220" t="s">
        <v>4732</v>
      </c>
      <c r="AX36" s="221"/>
      <c r="AY36" s="302">
        <v>4846000</v>
      </c>
      <c r="AZ36" s="302">
        <v>2300000</v>
      </c>
      <c r="BA36" s="221"/>
      <c r="BB36" s="221"/>
      <c r="BC36" s="221"/>
      <c r="BD36" s="221">
        <v>2391000</v>
      </c>
      <c r="BE36" s="221"/>
    </row>
    <row r="37" spans="2:57" x14ac:dyDescent="0.3">
      <c r="B37" s="289">
        <v>522151</v>
      </c>
      <c r="C37" s="220" t="s">
        <v>11</v>
      </c>
      <c r="D37" s="220"/>
      <c r="E37" s="220"/>
      <c r="F37" s="221">
        <v>25200000</v>
      </c>
      <c r="G37" s="221"/>
      <c r="H37" s="221"/>
      <c r="I37" s="221"/>
      <c r="J37" s="221"/>
      <c r="K37" s="221"/>
      <c r="L37" s="221"/>
      <c r="M37" s="221"/>
      <c r="N37" s="221"/>
      <c r="O37" s="302">
        <v>1800000</v>
      </c>
      <c r="P37" s="221"/>
      <c r="Q37" s="221"/>
      <c r="R37" s="221"/>
      <c r="S37" s="221"/>
      <c r="T37" s="221"/>
      <c r="U37" s="221"/>
      <c r="V37" s="221">
        <v>7200000</v>
      </c>
      <c r="W37" s="221"/>
      <c r="X37" s="221"/>
      <c r="Y37" s="221"/>
      <c r="Z37" s="221"/>
      <c r="AA37" s="221"/>
      <c r="AB37" s="221"/>
      <c r="AC37" s="221"/>
      <c r="AD37" s="221"/>
      <c r="AE37" s="221"/>
      <c r="AF37" s="221"/>
      <c r="AG37" s="221"/>
      <c r="AH37" s="221"/>
      <c r="AI37" s="221"/>
      <c r="AJ37" s="221"/>
      <c r="AK37" s="221"/>
      <c r="AL37" s="221"/>
      <c r="AM37" s="221"/>
      <c r="AN37" s="221"/>
      <c r="AO37" s="221"/>
      <c r="AP37" s="221"/>
      <c r="AQ37" s="221">
        <f t="shared" si="30"/>
        <v>9000000</v>
      </c>
      <c r="AR37" s="224">
        <f t="shared" si="5"/>
        <v>3.5714285714285713E-3</v>
      </c>
      <c r="AS37" s="225">
        <f t="shared" si="6"/>
        <v>16200000</v>
      </c>
      <c r="AT37" s="224">
        <f t="shared" si="9"/>
        <v>64.285714285714292</v>
      </c>
      <c r="AU37" s="220" t="s">
        <v>535</v>
      </c>
      <c r="AV37" s="220" t="s">
        <v>536</v>
      </c>
      <c r="AW37" s="220" t="s">
        <v>4732</v>
      </c>
      <c r="AX37" s="221"/>
      <c r="AY37" s="302">
        <v>1800000</v>
      </c>
      <c r="AZ37" s="302"/>
      <c r="BA37" s="221"/>
      <c r="BB37" s="221"/>
      <c r="BC37" s="221"/>
      <c r="BD37" s="221"/>
      <c r="BE37" s="221"/>
    </row>
    <row r="38" spans="2:57" x14ac:dyDescent="0.3">
      <c r="B38" s="288">
        <v>522192</v>
      </c>
      <c r="C38" s="220" t="s">
        <v>24</v>
      </c>
      <c r="D38" s="220"/>
      <c r="E38" s="220"/>
      <c r="F38" s="221">
        <v>6000000</v>
      </c>
      <c r="G38" s="221"/>
      <c r="H38" s="221"/>
      <c r="I38" s="221"/>
      <c r="J38" s="221"/>
      <c r="K38" s="221"/>
      <c r="L38" s="221"/>
      <c r="M38" s="221"/>
      <c r="N38" s="221"/>
      <c r="O38" s="302"/>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f t="shared" si="30"/>
        <v>0</v>
      </c>
      <c r="AR38" s="224">
        <f t="shared" si="5"/>
        <v>0</v>
      </c>
      <c r="AS38" s="225">
        <f t="shared" si="6"/>
        <v>6000000</v>
      </c>
      <c r="AT38" s="224">
        <f t="shared" si="9"/>
        <v>100</v>
      </c>
      <c r="AU38" s="220" t="s">
        <v>535</v>
      </c>
      <c r="AV38" s="220" t="s">
        <v>536</v>
      </c>
      <c r="AW38" s="220" t="s">
        <v>4732</v>
      </c>
      <c r="AX38" s="221"/>
      <c r="AY38" s="302"/>
      <c r="AZ38" s="302"/>
      <c r="BA38" s="221"/>
      <c r="BB38" s="221"/>
      <c r="BC38" s="221"/>
      <c r="BD38" s="221"/>
      <c r="BE38" s="221"/>
    </row>
    <row r="39" spans="2:57" x14ac:dyDescent="0.3">
      <c r="B39" s="288">
        <v>524111</v>
      </c>
      <c r="C39" s="220" t="s">
        <v>19</v>
      </c>
      <c r="D39" s="220"/>
      <c r="E39" s="220"/>
      <c r="F39" s="221">
        <v>253324000</v>
      </c>
      <c r="G39" s="221"/>
      <c r="H39" s="221"/>
      <c r="I39" s="221"/>
      <c r="J39" s="221"/>
      <c r="K39" s="221"/>
      <c r="L39" s="221"/>
      <c r="M39" s="221"/>
      <c r="N39" s="302">
        <v>3480000</v>
      </c>
      <c r="O39" s="302">
        <v>7130000</v>
      </c>
      <c r="P39" s="221">
        <v>6180000</v>
      </c>
      <c r="Q39" s="221"/>
      <c r="R39" s="221"/>
      <c r="S39" s="221">
        <v>930000</v>
      </c>
      <c r="T39" s="221"/>
      <c r="U39" s="221"/>
      <c r="V39" s="221">
        <v>15508650</v>
      </c>
      <c r="W39" s="221"/>
      <c r="X39" s="221"/>
      <c r="Y39" s="221"/>
      <c r="Z39" s="221"/>
      <c r="AA39" s="221"/>
      <c r="AB39" s="221"/>
      <c r="AC39" s="221"/>
      <c r="AD39" s="221"/>
      <c r="AE39" s="221"/>
      <c r="AF39" s="221"/>
      <c r="AG39" s="221"/>
      <c r="AH39" s="221"/>
      <c r="AI39" s="221"/>
      <c r="AJ39" s="221"/>
      <c r="AK39" s="221"/>
      <c r="AL39" s="221"/>
      <c r="AM39" s="221"/>
      <c r="AN39" s="221"/>
      <c r="AO39" s="221"/>
      <c r="AP39" s="221"/>
      <c r="AQ39" s="221">
        <f t="shared" si="30"/>
        <v>33228650</v>
      </c>
      <c r="AR39" s="224">
        <f t="shared" si="5"/>
        <v>1.3117055628365257E-3</v>
      </c>
      <c r="AS39" s="225">
        <f>F39-AQ39</f>
        <v>220095350</v>
      </c>
      <c r="AT39" s="224">
        <f t="shared" si="9"/>
        <v>86.882944371634736</v>
      </c>
      <c r="AU39" s="220" t="s">
        <v>535</v>
      </c>
      <c r="AV39" s="220" t="s">
        <v>536</v>
      </c>
      <c r="AW39" s="220" t="s">
        <v>4732</v>
      </c>
      <c r="AX39" s="221"/>
      <c r="AY39" s="302">
        <v>7130000</v>
      </c>
      <c r="AZ39" s="302">
        <v>3480000</v>
      </c>
      <c r="BA39" s="221"/>
      <c r="BB39" s="221"/>
      <c r="BC39" s="221"/>
      <c r="BD39" s="221"/>
      <c r="BE39" s="221"/>
    </row>
    <row r="40" spans="2:57" x14ac:dyDescent="0.3">
      <c r="B40" s="288">
        <v>524113</v>
      </c>
      <c r="C40" s="220" t="s">
        <v>13</v>
      </c>
      <c r="D40" s="220"/>
      <c r="E40" s="220"/>
      <c r="F40" s="221">
        <v>1500000</v>
      </c>
      <c r="G40" s="221"/>
      <c r="H40" s="221"/>
      <c r="I40" s="221"/>
      <c r="J40" s="221"/>
      <c r="K40" s="221"/>
      <c r="L40" s="221"/>
      <c r="M40" s="221"/>
      <c r="N40" s="221"/>
      <c r="O40" s="302"/>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f t="shared" si="30"/>
        <v>0</v>
      </c>
      <c r="AR40" s="224">
        <f t="shared" si="5"/>
        <v>0</v>
      </c>
      <c r="AS40" s="225">
        <f t="shared" si="6"/>
        <v>1500000</v>
      </c>
      <c r="AT40" s="224">
        <f t="shared" si="9"/>
        <v>100</v>
      </c>
      <c r="AU40" s="220" t="s">
        <v>535</v>
      </c>
      <c r="AV40" s="220" t="s">
        <v>536</v>
      </c>
      <c r="AW40" s="220" t="s">
        <v>4732</v>
      </c>
      <c r="AX40" s="221"/>
      <c r="AY40" s="302"/>
      <c r="AZ40" s="302"/>
      <c r="BA40" s="221"/>
      <c r="BB40" s="221"/>
      <c r="BC40" s="221"/>
      <c r="BD40" s="221"/>
      <c r="BE40" s="221"/>
    </row>
    <row r="41" spans="2:57" x14ac:dyDescent="0.3">
      <c r="B41" s="290" t="s">
        <v>511</v>
      </c>
      <c r="C41" s="222" t="s">
        <v>65</v>
      </c>
      <c r="D41" s="222"/>
      <c r="E41" s="222"/>
      <c r="F41" s="223">
        <f>SUM(F42:F47)</f>
        <v>247816000</v>
      </c>
      <c r="G41" s="223">
        <f t="shared" ref="G41:AP41" si="54">SUM(G42:G47)</f>
        <v>0</v>
      </c>
      <c r="H41" s="223">
        <f t="shared" si="54"/>
        <v>0</v>
      </c>
      <c r="I41" s="223">
        <f t="shared" si="54"/>
        <v>0</v>
      </c>
      <c r="J41" s="223">
        <f t="shared" si="54"/>
        <v>0</v>
      </c>
      <c r="K41" s="223">
        <f t="shared" si="54"/>
        <v>0</v>
      </c>
      <c r="L41" s="223">
        <f t="shared" si="54"/>
        <v>0</v>
      </c>
      <c r="M41" s="223">
        <f t="shared" si="54"/>
        <v>0</v>
      </c>
      <c r="N41" s="223">
        <f t="shared" si="54"/>
        <v>0</v>
      </c>
      <c r="O41" s="223">
        <f t="shared" si="54"/>
        <v>18743000</v>
      </c>
      <c r="P41" s="223">
        <f t="shared" si="54"/>
        <v>0</v>
      </c>
      <c r="Q41" s="223">
        <f t="shared" si="54"/>
        <v>0</v>
      </c>
      <c r="R41" s="223">
        <f t="shared" si="54"/>
        <v>0</v>
      </c>
      <c r="S41" s="223">
        <f t="shared" si="54"/>
        <v>0</v>
      </c>
      <c r="T41" s="223">
        <f t="shared" si="54"/>
        <v>302850</v>
      </c>
      <c r="U41" s="223">
        <f t="shared" si="54"/>
        <v>60100900</v>
      </c>
      <c r="V41" s="223">
        <f t="shared" si="54"/>
        <v>76109840</v>
      </c>
      <c r="W41" s="223">
        <f t="shared" si="54"/>
        <v>0</v>
      </c>
      <c r="X41" s="223">
        <f t="shared" si="54"/>
        <v>0</v>
      </c>
      <c r="Y41" s="223">
        <f t="shared" si="54"/>
        <v>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SUM(G41:AP41)</f>
        <v>155256590</v>
      </c>
      <c r="AR41" s="231">
        <f t="shared" si="5"/>
        <v>6.2649945927623716E-3</v>
      </c>
      <c r="AS41" s="232">
        <f t="shared" si="6"/>
        <v>92559410</v>
      </c>
      <c r="AT41" s="231">
        <f t="shared" si="9"/>
        <v>37.350054072376281</v>
      </c>
      <c r="AU41" s="220" t="s">
        <v>535</v>
      </c>
      <c r="AV41" s="220" t="s">
        <v>536</v>
      </c>
      <c r="AW41" s="220" t="s">
        <v>4732</v>
      </c>
      <c r="AX41" s="223">
        <f t="shared" ref="AX41:BA41" si="55">SUM(AX42:AX47)</f>
        <v>0</v>
      </c>
      <c r="AY41" s="223">
        <f t="shared" si="55"/>
        <v>18743000</v>
      </c>
      <c r="AZ41" s="223">
        <f t="shared" si="55"/>
        <v>0</v>
      </c>
      <c r="BA41" s="223">
        <f t="shared" si="55"/>
        <v>0</v>
      </c>
      <c r="BB41" s="223">
        <f t="shared" ref="BB41" si="56">SUM(BB42:BB47)</f>
        <v>0</v>
      </c>
      <c r="BC41" s="223">
        <f t="shared" ref="BC41:BD41" si="57">SUM(BC42:BC47)</f>
        <v>302850</v>
      </c>
      <c r="BD41" s="223">
        <f t="shared" si="57"/>
        <v>60100900</v>
      </c>
      <c r="BE41" s="223">
        <f t="shared" ref="BE41" si="58">SUM(BE42:BE47)</f>
        <v>0</v>
      </c>
    </row>
    <row r="42" spans="2:57" x14ac:dyDescent="0.3">
      <c r="B42" s="288">
        <v>521211</v>
      </c>
      <c r="C42" s="220" t="s">
        <v>7</v>
      </c>
      <c r="D42" s="220"/>
      <c r="E42" s="220"/>
      <c r="F42" s="221">
        <v>71456000</v>
      </c>
      <c r="G42" s="221"/>
      <c r="H42" s="221"/>
      <c r="I42" s="221"/>
      <c r="J42" s="221"/>
      <c r="K42" s="221"/>
      <c r="L42" s="221"/>
      <c r="M42" s="221"/>
      <c r="N42" s="221"/>
      <c r="O42" s="221"/>
      <c r="P42" s="221"/>
      <c r="Q42" s="221"/>
      <c r="R42" s="221"/>
      <c r="S42" s="221"/>
      <c r="T42" s="221"/>
      <c r="U42" s="221">
        <v>10438550</v>
      </c>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f t="shared" si="30"/>
        <v>10438550</v>
      </c>
      <c r="AR42" s="224">
        <f t="shared" si="5"/>
        <v>1.4608360389610389E-3</v>
      </c>
      <c r="AS42" s="225">
        <f t="shared" si="6"/>
        <v>61017450</v>
      </c>
      <c r="AT42" s="224">
        <f t="shared" si="9"/>
        <v>85.391639610389618</v>
      </c>
      <c r="AU42" s="220" t="s">
        <v>535</v>
      </c>
      <c r="AV42" s="220" t="s">
        <v>536</v>
      </c>
      <c r="AW42" s="220" t="s">
        <v>4732</v>
      </c>
      <c r="AX42" s="221"/>
      <c r="AY42" s="302"/>
      <c r="AZ42" s="302"/>
      <c r="BA42" s="221"/>
      <c r="BB42" s="221"/>
      <c r="BC42" s="221"/>
      <c r="BD42" s="221">
        <v>10438550</v>
      </c>
      <c r="BE42" s="221"/>
    </row>
    <row r="43" spans="2:57" x14ac:dyDescent="0.3">
      <c r="B43" s="288">
        <v>521219</v>
      </c>
      <c r="C43" s="220" t="s">
        <v>53</v>
      </c>
      <c r="D43" s="220"/>
      <c r="E43" s="220"/>
      <c r="F43" s="221">
        <v>5000000</v>
      </c>
      <c r="G43" s="221"/>
      <c r="H43" s="221"/>
      <c r="I43" s="221"/>
      <c r="J43" s="221"/>
      <c r="K43" s="221"/>
      <c r="L43" s="221"/>
      <c r="M43" s="221"/>
      <c r="N43" s="221"/>
      <c r="O43" s="221"/>
      <c r="P43" s="221"/>
      <c r="Q43" s="221"/>
      <c r="R43" s="221"/>
      <c r="S43" s="221"/>
      <c r="T43" s="221">
        <v>302850</v>
      </c>
      <c r="U43" s="221">
        <v>3960000</v>
      </c>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f t="shared" si="30"/>
        <v>4262850</v>
      </c>
      <c r="AR43" s="224">
        <f t="shared" si="5"/>
        <v>8.5257000000000006E-3</v>
      </c>
      <c r="AS43" s="225">
        <f t="shared" si="6"/>
        <v>737150</v>
      </c>
      <c r="AT43" s="224">
        <f t="shared" si="9"/>
        <v>14.743</v>
      </c>
      <c r="AU43" s="220" t="s">
        <v>535</v>
      </c>
      <c r="AV43" s="220" t="s">
        <v>536</v>
      </c>
      <c r="AW43" s="220" t="s">
        <v>4732</v>
      </c>
      <c r="AX43" s="221"/>
      <c r="AY43" s="302"/>
      <c r="AZ43" s="302"/>
      <c r="BA43" s="221"/>
      <c r="BB43" s="221"/>
      <c r="BC43" s="221">
        <v>302850</v>
      </c>
      <c r="BD43" s="221">
        <v>3960000</v>
      </c>
      <c r="BE43" s="221"/>
    </row>
    <row r="44" spans="2:57" x14ac:dyDescent="0.3">
      <c r="B44" s="288">
        <v>521811</v>
      </c>
      <c r="C44" s="220" t="s">
        <v>64</v>
      </c>
      <c r="D44" s="220"/>
      <c r="E44" s="220"/>
      <c r="F44" s="221">
        <v>15000000</v>
      </c>
      <c r="G44" s="221"/>
      <c r="H44" s="221"/>
      <c r="I44" s="221"/>
      <c r="J44" s="221"/>
      <c r="K44" s="221"/>
      <c r="L44" s="221"/>
      <c r="M44" s="221"/>
      <c r="N44" s="221"/>
      <c r="O44" s="221"/>
      <c r="P44" s="221"/>
      <c r="Q44" s="221"/>
      <c r="R44" s="221"/>
      <c r="S44" s="221"/>
      <c r="T44" s="221"/>
      <c r="U44" s="221">
        <v>2453500</v>
      </c>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f t="shared" si="30"/>
        <v>2453500</v>
      </c>
      <c r="AR44" s="224">
        <f t="shared" si="5"/>
        <v>1.6356666666666666E-3</v>
      </c>
      <c r="AS44" s="225">
        <f t="shared" si="6"/>
        <v>12546500</v>
      </c>
      <c r="AT44" s="224">
        <f t="shared" si="9"/>
        <v>83.643333333333331</v>
      </c>
      <c r="AU44" s="220" t="s">
        <v>535</v>
      </c>
      <c r="AV44" s="220" t="s">
        <v>536</v>
      </c>
      <c r="AW44" s="220" t="s">
        <v>4732</v>
      </c>
      <c r="AX44" s="221"/>
      <c r="AY44" s="302"/>
      <c r="AZ44" s="302"/>
      <c r="BA44" s="221"/>
      <c r="BB44" s="221"/>
      <c r="BC44" s="221"/>
      <c r="BD44" s="221">
        <v>2453500</v>
      </c>
      <c r="BE44" s="221"/>
    </row>
    <row r="45" spans="2:57" x14ac:dyDescent="0.3">
      <c r="B45" s="288">
        <v>522151</v>
      </c>
      <c r="C45" s="220" t="s">
        <v>11</v>
      </c>
      <c r="D45" s="220"/>
      <c r="E45" s="220"/>
      <c r="F45" s="221">
        <v>16200000</v>
      </c>
      <c r="G45" s="221"/>
      <c r="H45" s="221"/>
      <c r="I45" s="221"/>
      <c r="J45" s="221"/>
      <c r="K45" s="221"/>
      <c r="L45" s="221"/>
      <c r="M45" s="221"/>
      <c r="N45" s="221"/>
      <c r="O45" s="221"/>
      <c r="P45" s="221"/>
      <c r="Q45" s="221"/>
      <c r="R45" s="221"/>
      <c r="S45" s="221"/>
      <c r="T45" s="221"/>
      <c r="U45" s="221">
        <v>6300000</v>
      </c>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f t="shared" si="30"/>
        <v>6300000</v>
      </c>
      <c r="AR45" s="224">
        <f t="shared" si="5"/>
        <v>3.8888888888888888E-3</v>
      </c>
      <c r="AS45" s="225">
        <f t="shared" si="6"/>
        <v>9900000</v>
      </c>
      <c r="AT45" s="224">
        <f t="shared" si="9"/>
        <v>61.111111111111114</v>
      </c>
      <c r="AU45" s="220" t="s">
        <v>535</v>
      </c>
      <c r="AV45" s="220" t="s">
        <v>536</v>
      </c>
      <c r="AW45" s="220" t="s">
        <v>4732</v>
      </c>
      <c r="AX45" s="221"/>
      <c r="AY45" s="302"/>
      <c r="AZ45" s="302"/>
      <c r="BA45" s="221"/>
      <c r="BB45" s="221"/>
      <c r="BC45" s="221"/>
      <c r="BD45" s="221">
        <v>6300000</v>
      </c>
      <c r="BE45" s="221"/>
    </row>
    <row r="46" spans="2:57" x14ac:dyDescent="0.3">
      <c r="B46" s="288">
        <v>522192</v>
      </c>
      <c r="C46" s="220" t="s">
        <v>24</v>
      </c>
      <c r="D46" s="220"/>
      <c r="E46" s="220"/>
      <c r="F46" s="221">
        <v>2000000</v>
      </c>
      <c r="G46" s="221"/>
      <c r="H46" s="221"/>
      <c r="I46" s="221"/>
      <c r="J46" s="221"/>
      <c r="K46" s="221"/>
      <c r="L46" s="221"/>
      <c r="M46" s="221"/>
      <c r="N46" s="221"/>
      <c r="O46" s="302">
        <v>365000</v>
      </c>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f t="shared" si="30"/>
        <v>365000</v>
      </c>
      <c r="AR46" s="224">
        <f t="shared" si="5"/>
        <v>1.825E-3</v>
      </c>
      <c r="AS46" s="225">
        <f t="shared" si="6"/>
        <v>1635000</v>
      </c>
      <c r="AT46" s="224">
        <f t="shared" si="9"/>
        <v>81.75</v>
      </c>
      <c r="AU46" s="220" t="s">
        <v>535</v>
      </c>
      <c r="AV46" s="220" t="s">
        <v>536</v>
      </c>
      <c r="AW46" s="220" t="s">
        <v>4732</v>
      </c>
      <c r="AX46" s="221"/>
      <c r="AY46" s="302">
        <v>365000</v>
      </c>
      <c r="AZ46" s="302"/>
      <c r="BA46" s="221"/>
      <c r="BB46" s="221"/>
      <c r="BC46" s="221"/>
      <c r="BD46" s="221"/>
      <c r="BE46" s="221"/>
    </row>
    <row r="47" spans="2:57" x14ac:dyDescent="0.3">
      <c r="B47" s="288">
        <v>524111</v>
      </c>
      <c r="C47" s="220" t="s">
        <v>19</v>
      </c>
      <c r="D47" s="220"/>
      <c r="E47" s="220"/>
      <c r="F47" s="221">
        <v>138160000</v>
      </c>
      <c r="G47" s="221"/>
      <c r="H47" s="221"/>
      <c r="I47" s="221"/>
      <c r="J47" s="221"/>
      <c r="K47" s="221"/>
      <c r="L47" s="221"/>
      <c r="M47" s="221"/>
      <c r="N47" s="221"/>
      <c r="O47" s="302">
        <v>18378000</v>
      </c>
      <c r="P47" s="221"/>
      <c r="Q47" s="221"/>
      <c r="R47" s="221"/>
      <c r="S47" s="221"/>
      <c r="T47" s="221"/>
      <c r="U47" s="221">
        <v>36948850</v>
      </c>
      <c r="V47" s="221">
        <f>27294800+48815040</f>
        <v>76109840</v>
      </c>
      <c r="W47" s="221"/>
      <c r="X47" s="221"/>
      <c r="Y47" s="221"/>
      <c r="Z47" s="221"/>
      <c r="AA47" s="221"/>
      <c r="AB47" s="221"/>
      <c r="AC47" s="221"/>
      <c r="AD47" s="221"/>
      <c r="AE47" s="221"/>
      <c r="AF47" s="221"/>
      <c r="AG47" s="221"/>
      <c r="AH47" s="221"/>
      <c r="AI47" s="221"/>
      <c r="AJ47" s="221"/>
      <c r="AK47" s="221"/>
      <c r="AL47" s="221"/>
      <c r="AM47" s="221"/>
      <c r="AN47" s="221"/>
      <c r="AO47" s="221"/>
      <c r="AP47" s="221"/>
      <c r="AQ47" s="221">
        <f t="shared" si="30"/>
        <v>131436690</v>
      </c>
      <c r="AR47" s="224">
        <f t="shared" ref="AR47:AR78" si="59">AQ47/F47/100</f>
        <v>9.5133678343949039E-3</v>
      </c>
      <c r="AS47" s="225">
        <f t="shared" si="6"/>
        <v>6723310</v>
      </c>
      <c r="AT47" s="224">
        <f t="shared" si="9"/>
        <v>4.866321656050955</v>
      </c>
      <c r="AU47" s="220" t="s">
        <v>535</v>
      </c>
      <c r="AV47" s="220" t="s">
        <v>536</v>
      </c>
      <c r="AW47" s="220" t="s">
        <v>4732</v>
      </c>
      <c r="AX47" s="221"/>
      <c r="AY47" s="302">
        <v>18378000</v>
      </c>
      <c r="AZ47" s="302"/>
      <c r="BA47" s="221"/>
      <c r="BB47" s="221"/>
      <c r="BC47" s="221"/>
      <c r="BD47" s="221">
        <v>36948850</v>
      </c>
      <c r="BE47" s="221"/>
    </row>
    <row r="48" spans="2:57" x14ac:dyDescent="0.3">
      <c r="B48" s="290" t="s">
        <v>512</v>
      </c>
      <c r="C48" s="222" t="s">
        <v>795</v>
      </c>
      <c r="D48" s="222"/>
      <c r="E48" s="222"/>
      <c r="F48" s="223">
        <f>SUM(F49:F52)</f>
        <v>51560000</v>
      </c>
      <c r="G48" s="223">
        <f t="shared" ref="G48:AO48" si="60">SUM(G49:G52)</f>
        <v>0</v>
      </c>
      <c r="H48" s="223">
        <f t="shared" si="60"/>
        <v>0</v>
      </c>
      <c r="I48" s="223">
        <f t="shared" si="60"/>
        <v>0</v>
      </c>
      <c r="J48" s="223">
        <f t="shared" si="60"/>
        <v>0</v>
      </c>
      <c r="K48" s="223">
        <f t="shared" si="60"/>
        <v>0</v>
      </c>
      <c r="L48" s="223">
        <f t="shared" si="60"/>
        <v>0</v>
      </c>
      <c r="M48" s="223">
        <f t="shared" si="60"/>
        <v>0</v>
      </c>
      <c r="N48" s="223">
        <f t="shared" si="60"/>
        <v>0</v>
      </c>
      <c r="O48" s="223">
        <f t="shared" si="60"/>
        <v>0</v>
      </c>
      <c r="P48" s="223">
        <f t="shared" si="60"/>
        <v>0</v>
      </c>
      <c r="Q48" s="223">
        <f t="shared" si="60"/>
        <v>0</v>
      </c>
      <c r="R48" s="223">
        <f t="shared" si="60"/>
        <v>0</v>
      </c>
      <c r="S48" s="223">
        <f t="shared" si="60"/>
        <v>0</v>
      </c>
      <c r="T48" s="223">
        <f t="shared" si="60"/>
        <v>0</v>
      </c>
      <c r="U48" s="223">
        <f t="shared" si="60"/>
        <v>0</v>
      </c>
      <c r="V48" s="223">
        <f t="shared" si="60"/>
        <v>0</v>
      </c>
      <c r="W48" s="223">
        <f t="shared" si="60"/>
        <v>0</v>
      </c>
      <c r="X48" s="223">
        <f t="shared" si="60"/>
        <v>0</v>
      </c>
      <c r="Y48" s="223">
        <f t="shared" si="60"/>
        <v>0</v>
      </c>
      <c r="Z48" s="223">
        <f t="shared" si="60"/>
        <v>0</v>
      </c>
      <c r="AA48" s="223">
        <f t="shared" si="60"/>
        <v>0</v>
      </c>
      <c r="AB48" s="223">
        <f t="shared" si="60"/>
        <v>0</v>
      </c>
      <c r="AC48" s="223">
        <f t="shared" si="60"/>
        <v>0</v>
      </c>
      <c r="AD48" s="223">
        <f t="shared" si="60"/>
        <v>0</v>
      </c>
      <c r="AE48" s="223">
        <f t="shared" si="60"/>
        <v>0</v>
      </c>
      <c r="AF48" s="223">
        <f t="shared" si="60"/>
        <v>0</v>
      </c>
      <c r="AG48" s="223">
        <f t="shared" si="60"/>
        <v>0</v>
      </c>
      <c r="AH48" s="223">
        <f t="shared" si="60"/>
        <v>0</v>
      </c>
      <c r="AI48" s="223">
        <f t="shared" si="60"/>
        <v>0</v>
      </c>
      <c r="AJ48" s="223">
        <f t="shared" si="60"/>
        <v>0</v>
      </c>
      <c r="AK48" s="223">
        <f t="shared" si="60"/>
        <v>0</v>
      </c>
      <c r="AL48" s="223">
        <f t="shared" si="60"/>
        <v>0</v>
      </c>
      <c r="AM48" s="223">
        <f t="shared" si="60"/>
        <v>0</v>
      </c>
      <c r="AN48" s="223">
        <f t="shared" si="60"/>
        <v>0</v>
      </c>
      <c r="AO48" s="223">
        <f t="shared" si="60"/>
        <v>0</v>
      </c>
      <c r="AP48" s="223">
        <f>SUM(AP49:AP52)</f>
        <v>0</v>
      </c>
      <c r="AQ48" s="223">
        <f>SUM(G48:AP48)</f>
        <v>0</v>
      </c>
      <c r="AR48" s="231">
        <f t="shared" si="59"/>
        <v>0</v>
      </c>
      <c r="AS48" s="232">
        <f t="shared" ref="AS48" si="61">F48-AQ48</f>
        <v>51560000</v>
      </c>
      <c r="AT48" s="231">
        <f t="shared" ref="AT48" si="62">AS48/F48*100</f>
        <v>100</v>
      </c>
      <c r="AU48" s="220" t="s">
        <v>535</v>
      </c>
      <c r="AV48" s="220" t="s">
        <v>536</v>
      </c>
      <c r="AW48" s="220" t="s">
        <v>4732</v>
      </c>
      <c r="AX48" s="223">
        <f t="shared" ref="AX48:BA48" si="63">SUM(AX49:AX52)</f>
        <v>0</v>
      </c>
      <c r="AY48" s="223">
        <f t="shared" si="63"/>
        <v>0</v>
      </c>
      <c r="AZ48" s="223">
        <f t="shared" si="63"/>
        <v>0</v>
      </c>
      <c r="BA48" s="223">
        <f t="shared" si="63"/>
        <v>0</v>
      </c>
      <c r="BB48" s="223">
        <f t="shared" ref="BB48" si="64">SUM(BB49:BB52)</f>
        <v>0</v>
      </c>
      <c r="BC48" s="223">
        <f t="shared" ref="BC48:BD48" si="65">SUM(BC49:BC52)</f>
        <v>0</v>
      </c>
      <c r="BD48" s="223">
        <f t="shared" si="65"/>
        <v>0</v>
      </c>
      <c r="BE48" s="223">
        <f t="shared" ref="BE48" si="66">SUM(BE49:BE52)</f>
        <v>0</v>
      </c>
    </row>
    <row r="49" spans="2:57" x14ac:dyDescent="0.3">
      <c r="B49" s="288">
        <v>521211</v>
      </c>
      <c r="C49" s="220" t="s">
        <v>7</v>
      </c>
      <c r="D49" s="220"/>
      <c r="E49" s="220"/>
      <c r="F49" s="221">
        <v>20830000</v>
      </c>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f t="shared" si="30"/>
        <v>0</v>
      </c>
      <c r="AR49" s="224">
        <f t="shared" si="59"/>
        <v>0</v>
      </c>
      <c r="AS49" s="225">
        <f t="shared" si="6"/>
        <v>20830000</v>
      </c>
      <c r="AT49" s="224">
        <f t="shared" si="9"/>
        <v>100</v>
      </c>
      <c r="AU49" s="220" t="s">
        <v>535</v>
      </c>
      <c r="AV49" s="220" t="s">
        <v>536</v>
      </c>
      <c r="AW49" s="220" t="s">
        <v>4732</v>
      </c>
      <c r="AX49" s="221"/>
      <c r="AY49" s="302"/>
      <c r="AZ49" s="302"/>
      <c r="BA49" s="221"/>
      <c r="BB49" s="221"/>
      <c r="BC49" s="221"/>
      <c r="BD49" s="221"/>
      <c r="BE49" s="221"/>
    </row>
    <row r="50" spans="2:57" x14ac:dyDescent="0.3">
      <c r="B50" s="288">
        <v>521219</v>
      </c>
      <c r="C50" s="220" t="s">
        <v>53</v>
      </c>
      <c r="D50" s="220"/>
      <c r="E50" s="220"/>
      <c r="F50" s="221">
        <v>500000</v>
      </c>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f t="shared" si="30"/>
        <v>0</v>
      </c>
      <c r="AR50" s="224">
        <f t="shared" si="59"/>
        <v>0</v>
      </c>
      <c r="AS50" s="225">
        <f t="shared" si="6"/>
        <v>500000</v>
      </c>
      <c r="AT50" s="224">
        <f t="shared" si="9"/>
        <v>100</v>
      </c>
      <c r="AU50" s="220" t="s">
        <v>535</v>
      </c>
      <c r="AV50" s="220" t="s">
        <v>536</v>
      </c>
      <c r="AW50" s="220" t="s">
        <v>4732</v>
      </c>
      <c r="AX50" s="221"/>
      <c r="AY50" s="302"/>
      <c r="AZ50" s="302"/>
      <c r="BA50" s="221"/>
      <c r="BB50" s="221"/>
      <c r="BC50" s="221"/>
      <c r="BD50" s="221"/>
      <c r="BE50" s="221"/>
    </row>
    <row r="51" spans="2:57" x14ac:dyDescent="0.3">
      <c r="B51" s="288">
        <v>522151</v>
      </c>
      <c r="C51" s="220" t="s">
        <v>11</v>
      </c>
      <c r="D51" s="220"/>
      <c r="E51" s="220"/>
      <c r="F51" s="221">
        <v>7200000</v>
      </c>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f t="shared" si="30"/>
        <v>0</v>
      </c>
      <c r="AR51" s="224">
        <f t="shared" si="59"/>
        <v>0</v>
      </c>
      <c r="AS51" s="225">
        <f t="shared" si="6"/>
        <v>7200000</v>
      </c>
      <c r="AT51" s="224">
        <f t="shared" si="9"/>
        <v>100</v>
      </c>
      <c r="AU51" s="220" t="s">
        <v>535</v>
      </c>
      <c r="AV51" s="220" t="s">
        <v>536</v>
      </c>
      <c r="AW51" s="220" t="s">
        <v>4732</v>
      </c>
      <c r="AX51" s="221"/>
      <c r="AY51" s="302"/>
      <c r="AZ51" s="302"/>
      <c r="BA51" s="221"/>
      <c r="BB51" s="221"/>
      <c r="BC51" s="221"/>
      <c r="BD51" s="221"/>
      <c r="BE51" s="221"/>
    </row>
    <row r="52" spans="2:57" x14ac:dyDescent="0.3">
      <c r="B52" s="288">
        <v>524111</v>
      </c>
      <c r="C52" s="220" t="s">
        <v>19</v>
      </c>
      <c r="D52" s="220"/>
      <c r="E52" s="220"/>
      <c r="F52" s="221">
        <v>23030000</v>
      </c>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f t="shared" si="30"/>
        <v>0</v>
      </c>
      <c r="AR52" s="224">
        <f t="shared" si="59"/>
        <v>0</v>
      </c>
      <c r="AS52" s="225">
        <f t="shared" si="6"/>
        <v>23030000</v>
      </c>
      <c r="AT52" s="224">
        <f t="shared" si="9"/>
        <v>100</v>
      </c>
      <c r="AU52" s="220" t="s">
        <v>535</v>
      </c>
      <c r="AV52" s="220" t="s">
        <v>536</v>
      </c>
      <c r="AW52" s="220" t="s">
        <v>4732</v>
      </c>
      <c r="AX52" s="221"/>
      <c r="AY52" s="302"/>
      <c r="AZ52" s="302"/>
      <c r="BA52" s="221"/>
      <c r="BB52" s="221"/>
      <c r="BC52" s="221"/>
      <c r="BD52" s="221"/>
      <c r="BE52" s="221"/>
    </row>
    <row r="53" spans="2:57" x14ac:dyDescent="0.3">
      <c r="B53" s="254" t="s">
        <v>526</v>
      </c>
      <c r="C53" s="255" t="s">
        <v>67</v>
      </c>
      <c r="D53" s="255"/>
      <c r="E53" s="255"/>
      <c r="F53" s="256">
        <f>F54</f>
        <v>135100000</v>
      </c>
      <c r="G53" s="256">
        <f t="shared" ref="G53:AP53" si="67">G54</f>
        <v>0</v>
      </c>
      <c r="H53" s="256">
        <f t="shared" si="67"/>
        <v>0</v>
      </c>
      <c r="I53" s="256">
        <f t="shared" si="67"/>
        <v>0</v>
      </c>
      <c r="J53" s="256">
        <f t="shared" si="67"/>
        <v>0</v>
      </c>
      <c r="K53" s="256">
        <f t="shared" si="67"/>
        <v>0</v>
      </c>
      <c r="L53" s="256">
        <f t="shared" si="67"/>
        <v>0</v>
      </c>
      <c r="M53" s="256">
        <f t="shared" si="67"/>
        <v>0</v>
      </c>
      <c r="N53" s="256">
        <f t="shared" si="67"/>
        <v>14333500</v>
      </c>
      <c r="O53" s="256">
        <f t="shared" si="67"/>
        <v>22507250</v>
      </c>
      <c r="P53" s="256">
        <f t="shared" si="67"/>
        <v>13520000</v>
      </c>
      <c r="Q53" s="256">
        <f t="shared" si="67"/>
        <v>0</v>
      </c>
      <c r="R53" s="256">
        <f t="shared" si="67"/>
        <v>0</v>
      </c>
      <c r="S53" s="256">
        <f t="shared" si="67"/>
        <v>0</v>
      </c>
      <c r="T53" s="256">
        <f t="shared" si="67"/>
        <v>1500000</v>
      </c>
      <c r="U53" s="256">
        <f t="shared" si="67"/>
        <v>0</v>
      </c>
      <c r="V53" s="256">
        <f t="shared" si="67"/>
        <v>22748610</v>
      </c>
      <c r="W53" s="256">
        <f t="shared" si="67"/>
        <v>0</v>
      </c>
      <c r="X53" s="256">
        <f t="shared" si="67"/>
        <v>0</v>
      </c>
      <c r="Y53" s="256">
        <f t="shared" si="67"/>
        <v>0</v>
      </c>
      <c r="Z53" s="256">
        <f t="shared" si="67"/>
        <v>0</v>
      </c>
      <c r="AA53" s="256">
        <f t="shared" si="67"/>
        <v>0</v>
      </c>
      <c r="AB53" s="256">
        <f t="shared" si="67"/>
        <v>0</v>
      </c>
      <c r="AC53" s="256">
        <f t="shared" si="67"/>
        <v>0</v>
      </c>
      <c r="AD53" s="256">
        <f t="shared" si="67"/>
        <v>0</v>
      </c>
      <c r="AE53" s="256">
        <f t="shared" si="67"/>
        <v>0</v>
      </c>
      <c r="AF53" s="256">
        <f t="shared" si="67"/>
        <v>0</v>
      </c>
      <c r="AG53" s="256">
        <f t="shared" si="67"/>
        <v>0</v>
      </c>
      <c r="AH53" s="256">
        <f t="shared" si="67"/>
        <v>0</v>
      </c>
      <c r="AI53" s="256">
        <f t="shared" si="67"/>
        <v>0</v>
      </c>
      <c r="AJ53" s="256">
        <f t="shared" si="67"/>
        <v>0</v>
      </c>
      <c r="AK53" s="256">
        <f t="shared" si="67"/>
        <v>0</v>
      </c>
      <c r="AL53" s="256">
        <f t="shared" si="67"/>
        <v>0</v>
      </c>
      <c r="AM53" s="256">
        <f t="shared" si="67"/>
        <v>0</v>
      </c>
      <c r="AN53" s="256">
        <f t="shared" si="67"/>
        <v>0</v>
      </c>
      <c r="AO53" s="256">
        <f t="shared" si="67"/>
        <v>0</v>
      </c>
      <c r="AP53" s="256">
        <f t="shared" si="67"/>
        <v>0</v>
      </c>
      <c r="AQ53" s="256">
        <f>SUM(G53:AP53)</f>
        <v>74609360</v>
      </c>
      <c r="AR53" s="257">
        <f t="shared" si="59"/>
        <v>5.5225284974093269E-3</v>
      </c>
      <c r="AS53" s="258">
        <f t="shared" si="6"/>
        <v>60490640</v>
      </c>
      <c r="AT53" s="257">
        <f t="shared" si="9"/>
        <v>44.774715025906737</v>
      </c>
      <c r="AU53" s="220" t="s">
        <v>535</v>
      </c>
      <c r="AV53" s="220" t="s">
        <v>538</v>
      </c>
      <c r="AW53" s="220" t="s">
        <v>4732</v>
      </c>
      <c r="AX53" s="256">
        <f t="shared" ref="AX53:BE53" si="68">AX54</f>
        <v>0</v>
      </c>
      <c r="AY53" s="256">
        <f t="shared" si="68"/>
        <v>22507250</v>
      </c>
      <c r="AZ53" s="256">
        <f t="shared" si="68"/>
        <v>14333500</v>
      </c>
      <c r="BA53" s="256">
        <f t="shared" si="68"/>
        <v>0</v>
      </c>
      <c r="BB53" s="256">
        <f t="shared" si="68"/>
        <v>1500000</v>
      </c>
      <c r="BC53" s="256">
        <f t="shared" si="68"/>
        <v>0</v>
      </c>
      <c r="BD53" s="256">
        <f t="shared" si="68"/>
        <v>0</v>
      </c>
      <c r="BE53" s="256">
        <f t="shared" si="68"/>
        <v>0</v>
      </c>
    </row>
    <row r="54" spans="2:57" x14ac:dyDescent="0.3">
      <c r="B54" s="290" t="s">
        <v>8</v>
      </c>
      <c r="C54" s="222" t="s">
        <v>68</v>
      </c>
      <c r="D54" s="222"/>
      <c r="E54" s="222"/>
      <c r="F54" s="223">
        <f>SUM(F55:F59)</f>
        <v>135100000</v>
      </c>
      <c r="G54" s="223">
        <f t="shared" ref="G54:AP54" si="69">SUM(G55:G59)</f>
        <v>0</v>
      </c>
      <c r="H54" s="223">
        <f t="shared" si="69"/>
        <v>0</v>
      </c>
      <c r="I54" s="223">
        <f t="shared" si="69"/>
        <v>0</v>
      </c>
      <c r="J54" s="223">
        <f t="shared" si="69"/>
        <v>0</v>
      </c>
      <c r="K54" s="223">
        <f t="shared" si="69"/>
        <v>0</v>
      </c>
      <c r="L54" s="223">
        <f t="shared" si="69"/>
        <v>0</v>
      </c>
      <c r="M54" s="223">
        <f t="shared" si="69"/>
        <v>0</v>
      </c>
      <c r="N54" s="223">
        <f t="shared" si="69"/>
        <v>14333500</v>
      </c>
      <c r="O54" s="223">
        <f t="shared" si="69"/>
        <v>22507250</v>
      </c>
      <c r="P54" s="223">
        <f t="shared" si="69"/>
        <v>13520000</v>
      </c>
      <c r="Q54" s="223">
        <f t="shared" si="69"/>
        <v>0</v>
      </c>
      <c r="R54" s="223">
        <f t="shared" si="69"/>
        <v>0</v>
      </c>
      <c r="S54" s="223">
        <f t="shared" si="69"/>
        <v>0</v>
      </c>
      <c r="T54" s="223">
        <f t="shared" si="69"/>
        <v>1500000</v>
      </c>
      <c r="U54" s="223">
        <f t="shared" si="69"/>
        <v>0</v>
      </c>
      <c r="V54" s="223">
        <f t="shared" si="69"/>
        <v>22748610</v>
      </c>
      <c r="W54" s="223">
        <f t="shared" si="69"/>
        <v>0</v>
      </c>
      <c r="X54" s="223">
        <f t="shared" si="69"/>
        <v>0</v>
      </c>
      <c r="Y54" s="223">
        <f t="shared" si="69"/>
        <v>0</v>
      </c>
      <c r="Z54" s="223">
        <f t="shared" si="69"/>
        <v>0</v>
      </c>
      <c r="AA54" s="223">
        <f t="shared" si="69"/>
        <v>0</v>
      </c>
      <c r="AB54" s="223">
        <f t="shared" si="69"/>
        <v>0</v>
      </c>
      <c r="AC54" s="223">
        <f t="shared" si="69"/>
        <v>0</v>
      </c>
      <c r="AD54" s="223">
        <f t="shared" si="69"/>
        <v>0</v>
      </c>
      <c r="AE54" s="223">
        <f t="shared" si="69"/>
        <v>0</v>
      </c>
      <c r="AF54" s="223">
        <f t="shared" si="69"/>
        <v>0</v>
      </c>
      <c r="AG54" s="223">
        <f t="shared" si="69"/>
        <v>0</v>
      </c>
      <c r="AH54" s="223">
        <f t="shared" si="69"/>
        <v>0</v>
      </c>
      <c r="AI54" s="223">
        <f t="shared" si="69"/>
        <v>0</v>
      </c>
      <c r="AJ54" s="223">
        <f t="shared" si="69"/>
        <v>0</v>
      </c>
      <c r="AK54" s="223">
        <f t="shared" si="69"/>
        <v>0</v>
      </c>
      <c r="AL54" s="223">
        <f t="shared" si="69"/>
        <v>0</v>
      </c>
      <c r="AM54" s="223">
        <f t="shared" si="69"/>
        <v>0</v>
      </c>
      <c r="AN54" s="223">
        <f t="shared" si="69"/>
        <v>0</v>
      </c>
      <c r="AO54" s="223">
        <f t="shared" si="69"/>
        <v>0</v>
      </c>
      <c r="AP54" s="223">
        <f t="shared" si="69"/>
        <v>0</v>
      </c>
      <c r="AQ54" s="223">
        <f>SUM(G54:AP54)</f>
        <v>74609360</v>
      </c>
      <c r="AR54" s="231">
        <f t="shared" si="59"/>
        <v>5.5225284974093269E-3</v>
      </c>
      <c r="AS54" s="232">
        <f t="shared" si="6"/>
        <v>60490640</v>
      </c>
      <c r="AT54" s="231">
        <f t="shared" si="9"/>
        <v>44.774715025906737</v>
      </c>
      <c r="AU54" s="220" t="s">
        <v>535</v>
      </c>
      <c r="AV54" s="220" t="s">
        <v>538</v>
      </c>
      <c r="AW54" s="220" t="s">
        <v>4732</v>
      </c>
      <c r="AX54" s="223">
        <f t="shared" ref="AX54" si="70">SUM(AX55:AX59)</f>
        <v>0</v>
      </c>
      <c r="AY54" s="223">
        <f t="shared" ref="AY54:AZ54" si="71">SUM(AY55:AY59)</f>
        <v>22507250</v>
      </c>
      <c r="AZ54" s="223">
        <f t="shared" si="71"/>
        <v>14333500</v>
      </c>
      <c r="BA54" s="223">
        <f t="shared" ref="BA54" si="72">SUM(BA55:BA59)</f>
        <v>0</v>
      </c>
      <c r="BB54" s="223">
        <f t="shared" ref="BB54" si="73">SUM(BB55:BB59)</f>
        <v>1500000</v>
      </c>
      <c r="BC54" s="223">
        <f t="shared" ref="BC54:BD54" si="74">SUM(BC55:BC59)</f>
        <v>0</v>
      </c>
      <c r="BD54" s="223">
        <f t="shared" si="74"/>
        <v>0</v>
      </c>
      <c r="BE54" s="223">
        <f t="shared" ref="BE54" si="75">SUM(BE55:BE59)</f>
        <v>0</v>
      </c>
    </row>
    <row r="55" spans="2:57" x14ac:dyDescent="0.3">
      <c r="B55" s="288">
        <v>521211</v>
      </c>
      <c r="C55" s="220" t="s">
        <v>7</v>
      </c>
      <c r="D55" s="220"/>
      <c r="E55" s="220"/>
      <c r="F55" s="221">
        <v>13900000</v>
      </c>
      <c r="G55" s="221"/>
      <c r="H55" s="221"/>
      <c r="I55" s="221"/>
      <c r="J55" s="221"/>
      <c r="K55" s="221"/>
      <c r="L55" s="221"/>
      <c r="M55" s="221"/>
      <c r="N55" s="302">
        <v>2493500</v>
      </c>
      <c r="O55" s="302">
        <v>5497250</v>
      </c>
      <c r="P55" s="221"/>
      <c r="Q55" s="221"/>
      <c r="R55" s="221"/>
      <c r="S55" s="221"/>
      <c r="T55" s="221">
        <v>1500000</v>
      </c>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f t="shared" si="30"/>
        <v>9490750</v>
      </c>
      <c r="AR55" s="224">
        <f t="shared" si="59"/>
        <v>6.8278776978417267E-3</v>
      </c>
      <c r="AS55" s="225">
        <f t="shared" si="6"/>
        <v>4409250</v>
      </c>
      <c r="AT55" s="224">
        <f t="shared" si="9"/>
        <v>31.721223021582734</v>
      </c>
      <c r="AU55" s="220" t="s">
        <v>535</v>
      </c>
      <c r="AV55" s="220" t="s">
        <v>538</v>
      </c>
      <c r="AW55" s="220" t="s">
        <v>4732</v>
      </c>
      <c r="AX55" s="221"/>
      <c r="AY55" s="302">
        <v>5497250</v>
      </c>
      <c r="AZ55" s="302">
        <v>2493500</v>
      </c>
      <c r="BA55" s="221"/>
      <c r="BB55" s="221">
        <v>1500000</v>
      </c>
      <c r="BC55" s="221"/>
      <c r="BD55" s="221"/>
      <c r="BE55" s="221"/>
    </row>
    <row r="56" spans="2:57" x14ac:dyDescent="0.3">
      <c r="B56" s="288">
        <v>521219</v>
      </c>
      <c r="C56" s="220" t="s">
        <v>53</v>
      </c>
      <c r="D56" s="220"/>
      <c r="E56" s="220"/>
      <c r="F56" s="221">
        <v>8784000</v>
      </c>
      <c r="G56" s="221"/>
      <c r="H56" s="221"/>
      <c r="I56" s="221"/>
      <c r="J56" s="221"/>
      <c r="K56" s="221"/>
      <c r="L56" s="221"/>
      <c r="M56" s="221"/>
      <c r="N56" s="221"/>
      <c r="O56" s="302"/>
      <c r="P56" s="221"/>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f t="shared" si="30"/>
        <v>0</v>
      </c>
      <c r="AR56" s="224">
        <f t="shared" si="59"/>
        <v>0</v>
      </c>
      <c r="AS56" s="225">
        <f t="shared" si="6"/>
        <v>8784000</v>
      </c>
      <c r="AT56" s="224">
        <f t="shared" si="9"/>
        <v>100</v>
      </c>
      <c r="AU56" s="220" t="s">
        <v>535</v>
      </c>
      <c r="AV56" s="220" t="s">
        <v>538</v>
      </c>
      <c r="AW56" s="220" t="s">
        <v>4732</v>
      </c>
      <c r="AX56" s="221"/>
      <c r="AY56" s="302"/>
      <c r="AZ56" s="302"/>
      <c r="BA56" s="221"/>
      <c r="BB56" s="221"/>
      <c r="BC56" s="221"/>
      <c r="BD56" s="221"/>
      <c r="BE56" s="221"/>
    </row>
    <row r="57" spans="2:57" x14ac:dyDescent="0.3">
      <c r="B57" s="288">
        <v>522151</v>
      </c>
      <c r="C57" s="220" t="s">
        <v>11</v>
      </c>
      <c r="D57" s="220"/>
      <c r="E57" s="220"/>
      <c r="F57" s="221">
        <v>10000000</v>
      </c>
      <c r="G57" s="221"/>
      <c r="H57" s="221"/>
      <c r="I57" s="221"/>
      <c r="J57" s="221"/>
      <c r="K57" s="221"/>
      <c r="L57" s="221"/>
      <c r="M57" s="221"/>
      <c r="N57" s="221"/>
      <c r="O57" s="302"/>
      <c r="P57" s="221">
        <v>7200000</v>
      </c>
      <c r="Q57" s="221"/>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f t="shared" si="30"/>
        <v>7200000</v>
      </c>
      <c r="AR57" s="224">
        <f t="shared" si="59"/>
        <v>7.1999999999999998E-3</v>
      </c>
      <c r="AS57" s="225">
        <f t="shared" si="6"/>
        <v>2800000</v>
      </c>
      <c r="AT57" s="224">
        <f t="shared" si="9"/>
        <v>28.000000000000004</v>
      </c>
      <c r="AU57" s="220" t="s">
        <v>535</v>
      </c>
      <c r="AV57" s="220" t="s">
        <v>538</v>
      </c>
      <c r="AW57" s="220" t="s">
        <v>4732</v>
      </c>
      <c r="AX57" s="221"/>
      <c r="AY57" s="302"/>
      <c r="AZ57" s="302"/>
      <c r="BA57" s="221"/>
      <c r="BB57" s="221"/>
      <c r="BC57" s="221"/>
      <c r="BD57" s="221"/>
      <c r="BE57" s="221"/>
    </row>
    <row r="58" spans="2:57" x14ac:dyDescent="0.3">
      <c r="B58" s="288">
        <v>522192</v>
      </c>
      <c r="C58" s="220" t="s">
        <v>24</v>
      </c>
      <c r="D58" s="220"/>
      <c r="E58" s="220"/>
      <c r="F58" s="221">
        <v>5000000</v>
      </c>
      <c r="G58" s="221"/>
      <c r="H58" s="221"/>
      <c r="I58" s="221"/>
      <c r="J58" s="221"/>
      <c r="K58" s="221"/>
      <c r="L58" s="221"/>
      <c r="M58" s="221"/>
      <c r="N58" s="221"/>
      <c r="O58" s="302"/>
      <c r="P58" s="221"/>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f t="shared" si="30"/>
        <v>0</v>
      </c>
      <c r="AR58" s="224">
        <f t="shared" si="59"/>
        <v>0</v>
      </c>
      <c r="AS58" s="225">
        <f t="shared" si="6"/>
        <v>5000000</v>
      </c>
      <c r="AT58" s="224">
        <f t="shared" si="9"/>
        <v>100</v>
      </c>
      <c r="AU58" s="220" t="s">
        <v>535</v>
      </c>
      <c r="AV58" s="220" t="s">
        <v>538</v>
      </c>
      <c r="AW58" s="220" t="s">
        <v>4732</v>
      </c>
      <c r="AX58" s="221"/>
      <c r="AY58" s="302"/>
      <c r="AZ58" s="302"/>
      <c r="BA58" s="221"/>
      <c r="BB58" s="221"/>
      <c r="BC58" s="221"/>
      <c r="BD58" s="221"/>
      <c r="BE58" s="221"/>
    </row>
    <row r="59" spans="2:57" x14ac:dyDescent="0.3">
      <c r="B59" s="288">
        <v>524111</v>
      </c>
      <c r="C59" s="220" t="s">
        <v>19</v>
      </c>
      <c r="D59" s="220"/>
      <c r="E59" s="220"/>
      <c r="F59" s="221">
        <v>97416000</v>
      </c>
      <c r="G59" s="221"/>
      <c r="H59" s="221"/>
      <c r="I59" s="221"/>
      <c r="J59" s="221"/>
      <c r="K59" s="221"/>
      <c r="L59" s="221"/>
      <c r="M59" s="221"/>
      <c r="N59" s="302">
        <v>11840000</v>
      </c>
      <c r="O59" s="302">
        <v>17010000</v>
      </c>
      <c r="P59" s="221">
        <v>6320000</v>
      </c>
      <c r="Q59" s="221"/>
      <c r="R59" s="221"/>
      <c r="S59" s="221"/>
      <c r="T59" s="221"/>
      <c r="U59" s="221"/>
      <c r="V59" s="221">
        <f>11343740+11404870</f>
        <v>22748610</v>
      </c>
      <c r="W59" s="221"/>
      <c r="X59" s="221"/>
      <c r="Y59" s="221"/>
      <c r="Z59" s="221"/>
      <c r="AA59" s="221"/>
      <c r="AB59" s="221"/>
      <c r="AC59" s="221"/>
      <c r="AD59" s="221"/>
      <c r="AE59" s="221"/>
      <c r="AF59" s="221"/>
      <c r="AG59" s="221"/>
      <c r="AH59" s="221"/>
      <c r="AI59" s="221"/>
      <c r="AJ59" s="221"/>
      <c r="AK59" s="221"/>
      <c r="AL59" s="221"/>
      <c r="AM59" s="221"/>
      <c r="AN59" s="221"/>
      <c r="AO59" s="221"/>
      <c r="AP59" s="221"/>
      <c r="AQ59" s="221">
        <f t="shared" si="30"/>
        <v>57918610</v>
      </c>
      <c r="AR59" s="224">
        <f t="shared" si="59"/>
        <v>5.9454925268949653E-3</v>
      </c>
      <c r="AS59" s="225">
        <f t="shared" si="6"/>
        <v>39497390</v>
      </c>
      <c r="AT59" s="224">
        <f t="shared" si="9"/>
        <v>40.545074731050342</v>
      </c>
      <c r="AU59" s="220" t="s">
        <v>535</v>
      </c>
      <c r="AV59" s="220" t="s">
        <v>538</v>
      </c>
      <c r="AW59" s="220" t="s">
        <v>4732</v>
      </c>
      <c r="AX59" s="221"/>
      <c r="AY59" s="302">
        <v>17010000</v>
      </c>
      <c r="AZ59" s="302">
        <v>11840000</v>
      </c>
      <c r="BA59" s="221"/>
      <c r="BB59" s="221"/>
      <c r="BC59" s="221"/>
      <c r="BD59" s="221"/>
      <c r="BE59" s="221"/>
    </row>
    <row r="60" spans="2:57" x14ac:dyDescent="0.3">
      <c r="B60" s="246" t="s">
        <v>69</v>
      </c>
      <c r="C60" s="247" t="s">
        <v>70</v>
      </c>
      <c r="D60" s="247"/>
      <c r="E60" s="247"/>
      <c r="F60" s="248">
        <f t="shared" ref="F60:AP60" si="76">F61+F204</f>
        <v>15863164000</v>
      </c>
      <c r="G60" s="248">
        <f t="shared" si="76"/>
        <v>0</v>
      </c>
      <c r="H60" s="248">
        <f t="shared" si="76"/>
        <v>0</v>
      </c>
      <c r="I60" s="248">
        <f t="shared" si="76"/>
        <v>0</v>
      </c>
      <c r="J60" s="248">
        <f t="shared" si="76"/>
        <v>74237800</v>
      </c>
      <c r="K60" s="248">
        <f t="shared" si="76"/>
        <v>0</v>
      </c>
      <c r="L60" s="248">
        <f t="shared" si="76"/>
        <v>0</v>
      </c>
      <c r="M60" s="248">
        <f t="shared" si="76"/>
        <v>63640000</v>
      </c>
      <c r="N60" s="248">
        <f t="shared" si="76"/>
        <v>167335190</v>
      </c>
      <c r="O60" s="248">
        <f t="shared" si="76"/>
        <v>320537487</v>
      </c>
      <c r="P60" s="248">
        <f t="shared" si="76"/>
        <v>1763177854</v>
      </c>
      <c r="Q60" s="248">
        <f t="shared" si="76"/>
        <v>95254996</v>
      </c>
      <c r="R60" s="248">
        <f t="shared" si="76"/>
        <v>0</v>
      </c>
      <c r="S60" s="248">
        <f t="shared" si="76"/>
        <v>757387100</v>
      </c>
      <c r="T60" s="248">
        <f t="shared" si="76"/>
        <v>179018093</v>
      </c>
      <c r="U60" s="248">
        <f t="shared" si="76"/>
        <v>235964831</v>
      </c>
      <c r="V60" s="248">
        <f t="shared" si="76"/>
        <v>2034687981</v>
      </c>
      <c r="W60" s="248">
        <f t="shared" si="76"/>
        <v>0</v>
      </c>
      <c r="X60" s="248">
        <f t="shared" si="76"/>
        <v>7559500</v>
      </c>
      <c r="Y60" s="248">
        <f t="shared" si="76"/>
        <v>0</v>
      </c>
      <c r="Z60" s="248">
        <f t="shared" si="76"/>
        <v>0</v>
      </c>
      <c r="AA60" s="248">
        <f t="shared" si="76"/>
        <v>0</v>
      </c>
      <c r="AB60" s="248">
        <f t="shared" si="76"/>
        <v>0</v>
      </c>
      <c r="AC60" s="248">
        <f t="shared" si="76"/>
        <v>0</v>
      </c>
      <c r="AD60" s="248">
        <f t="shared" si="76"/>
        <v>0</v>
      </c>
      <c r="AE60" s="248">
        <f t="shared" si="76"/>
        <v>0</v>
      </c>
      <c r="AF60" s="248">
        <f t="shared" si="76"/>
        <v>0</v>
      </c>
      <c r="AG60" s="248">
        <f t="shared" si="76"/>
        <v>0</v>
      </c>
      <c r="AH60" s="248">
        <f t="shared" si="76"/>
        <v>0</v>
      </c>
      <c r="AI60" s="248">
        <f t="shared" si="76"/>
        <v>0</v>
      </c>
      <c r="AJ60" s="248">
        <f t="shared" si="76"/>
        <v>0</v>
      </c>
      <c r="AK60" s="248">
        <f t="shared" si="76"/>
        <v>0</v>
      </c>
      <c r="AL60" s="248">
        <f t="shared" si="76"/>
        <v>0</v>
      </c>
      <c r="AM60" s="248">
        <f t="shared" si="76"/>
        <v>0</v>
      </c>
      <c r="AN60" s="248">
        <f t="shared" si="76"/>
        <v>0</v>
      </c>
      <c r="AO60" s="248">
        <f t="shared" si="76"/>
        <v>0</v>
      </c>
      <c r="AP60" s="248">
        <f t="shared" si="76"/>
        <v>0</v>
      </c>
      <c r="AQ60" s="248">
        <f>SUM(G60:AP60)</f>
        <v>5698800832</v>
      </c>
      <c r="AR60" s="249">
        <f t="shared" si="59"/>
        <v>3.5924742579727473E-3</v>
      </c>
      <c r="AS60" s="250">
        <f t="shared" ref="AS60:AS64" si="77">F60-AQ60</f>
        <v>10164363168</v>
      </c>
      <c r="AT60" s="249">
        <f t="shared" ref="AT60:AT65" si="78">AS60/F60*100</f>
        <v>64.075257420272521</v>
      </c>
      <c r="AU60" s="220"/>
      <c r="AV60" s="220"/>
      <c r="AW60" s="220" t="s">
        <v>4732</v>
      </c>
      <c r="AX60" s="248">
        <f>AX61+AX204</f>
        <v>99961115</v>
      </c>
      <c r="AY60" s="248">
        <f>AY61+AY204</f>
        <v>320537487</v>
      </c>
      <c r="AZ60" s="248">
        <f>AZ61+AZ204</f>
        <v>67374075</v>
      </c>
      <c r="BA60" s="248">
        <f>BA61+BA204</f>
        <v>95254996</v>
      </c>
      <c r="BB60" s="248">
        <f t="shared" ref="BB60" si="79">BB61+BB204</f>
        <v>93939616</v>
      </c>
      <c r="BC60" s="248">
        <f t="shared" ref="BC60:BD60" si="80">BC61+BC204</f>
        <v>85078477</v>
      </c>
      <c r="BD60" s="248">
        <f t="shared" si="80"/>
        <v>235964831</v>
      </c>
      <c r="BE60" s="248">
        <f t="shared" ref="BE60" si="81">BE61+BE204</f>
        <v>7559500</v>
      </c>
    </row>
    <row r="61" spans="2:57" x14ac:dyDescent="0.3">
      <c r="B61" s="240">
        <v>2378</v>
      </c>
      <c r="C61" s="241" t="s">
        <v>71</v>
      </c>
      <c r="D61" s="241"/>
      <c r="E61" s="241"/>
      <c r="F61" s="242">
        <f t="shared" ref="F61:AP61" si="82">F62+F67+F141+F146</f>
        <v>7280664000</v>
      </c>
      <c r="G61" s="242">
        <f t="shared" si="82"/>
        <v>0</v>
      </c>
      <c r="H61" s="242">
        <f t="shared" si="82"/>
        <v>0</v>
      </c>
      <c r="I61" s="242">
        <f t="shared" si="82"/>
        <v>0</v>
      </c>
      <c r="J61" s="242">
        <f t="shared" si="82"/>
        <v>74237800</v>
      </c>
      <c r="K61" s="242">
        <f t="shared" si="82"/>
        <v>0</v>
      </c>
      <c r="L61" s="242">
        <f t="shared" si="82"/>
        <v>0</v>
      </c>
      <c r="M61" s="242">
        <f t="shared" si="82"/>
        <v>63640000</v>
      </c>
      <c r="N61" s="242">
        <f t="shared" si="82"/>
        <v>167335190</v>
      </c>
      <c r="O61" s="242">
        <f t="shared" si="82"/>
        <v>320537487</v>
      </c>
      <c r="P61" s="242">
        <f t="shared" si="82"/>
        <v>207482498</v>
      </c>
      <c r="Q61" s="242">
        <f t="shared" si="82"/>
        <v>95254996</v>
      </c>
      <c r="R61" s="242">
        <f t="shared" si="82"/>
        <v>0</v>
      </c>
      <c r="S61" s="242">
        <f t="shared" si="82"/>
        <v>757387100</v>
      </c>
      <c r="T61" s="242">
        <f t="shared" si="82"/>
        <v>179018093</v>
      </c>
      <c r="U61" s="242">
        <f t="shared" si="82"/>
        <v>198072198</v>
      </c>
      <c r="V61" s="242">
        <f t="shared" si="82"/>
        <v>154451558</v>
      </c>
      <c r="W61" s="242">
        <f t="shared" si="82"/>
        <v>0</v>
      </c>
      <c r="X61" s="242">
        <f t="shared" si="82"/>
        <v>4670000</v>
      </c>
      <c r="Y61" s="242">
        <f t="shared" si="82"/>
        <v>0</v>
      </c>
      <c r="Z61" s="242">
        <f t="shared" si="82"/>
        <v>0</v>
      </c>
      <c r="AA61" s="242">
        <f t="shared" si="82"/>
        <v>0</v>
      </c>
      <c r="AB61" s="242">
        <f t="shared" si="82"/>
        <v>0</v>
      </c>
      <c r="AC61" s="242">
        <f t="shared" si="82"/>
        <v>0</v>
      </c>
      <c r="AD61" s="242">
        <f t="shared" si="82"/>
        <v>0</v>
      </c>
      <c r="AE61" s="242">
        <f t="shared" si="82"/>
        <v>0</v>
      </c>
      <c r="AF61" s="242">
        <f t="shared" si="82"/>
        <v>0</v>
      </c>
      <c r="AG61" s="242">
        <f t="shared" si="82"/>
        <v>0</v>
      </c>
      <c r="AH61" s="242">
        <f t="shared" si="82"/>
        <v>0</v>
      </c>
      <c r="AI61" s="242">
        <f t="shared" si="82"/>
        <v>0</v>
      </c>
      <c r="AJ61" s="242">
        <f t="shared" si="82"/>
        <v>0</v>
      </c>
      <c r="AK61" s="242">
        <f t="shared" si="82"/>
        <v>0</v>
      </c>
      <c r="AL61" s="242">
        <f t="shared" si="82"/>
        <v>0</v>
      </c>
      <c r="AM61" s="242">
        <f t="shared" si="82"/>
        <v>0</v>
      </c>
      <c r="AN61" s="242">
        <f t="shared" si="82"/>
        <v>0</v>
      </c>
      <c r="AO61" s="242">
        <f t="shared" si="82"/>
        <v>0</v>
      </c>
      <c r="AP61" s="242">
        <f t="shared" si="82"/>
        <v>0</v>
      </c>
      <c r="AQ61" s="242">
        <f t="shared" si="30"/>
        <v>2222086920</v>
      </c>
      <c r="AR61" s="243">
        <f t="shared" si="59"/>
        <v>3.0520388250302442E-3</v>
      </c>
      <c r="AS61" s="244">
        <f t="shared" si="77"/>
        <v>5058577080</v>
      </c>
      <c r="AT61" s="243">
        <f t="shared" si="78"/>
        <v>69.479611749697554</v>
      </c>
      <c r="AU61" s="220"/>
      <c r="AV61" s="220"/>
      <c r="AW61" s="220" t="s">
        <v>4732</v>
      </c>
      <c r="AX61" s="242">
        <f>AX62+AX67+AX141+AX146</f>
        <v>99961115</v>
      </c>
      <c r="AY61" s="242">
        <f>AY62+AY67+AY141+AY146</f>
        <v>320537487</v>
      </c>
      <c r="AZ61" s="242">
        <f>AZ62+AZ67+AZ141+AZ146</f>
        <v>67374075</v>
      </c>
      <c r="BA61" s="242">
        <f>BA62+BA67+BA141+BA146</f>
        <v>95254996</v>
      </c>
      <c r="BB61" s="242">
        <f t="shared" ref="BB61" si="83">BB62+BB67+BB141+BB146</f>
        <v>93939616</v>
      </c>
      <c r="BC61" s="242">
        <f t="shared" ref="BC61:BD61" si="84">BC62+BC67+BC141+BC146</f>
        <v>85078477</v>
      </c>
      <c r="BD61" s="242">
        <f t="shared" si="84"/>
        <v>198072198</v>
      </c>
      <c r="BE61" s="242">
        <f t="shared" ref="BE61" si="85">BE62+BE67+BE141+BE146</f>
        <v>4670000</v>
      </c>
    </row>
    <row r="62" spans="2:57" x14ac:dyDescent="0.3">
      <c r="B62" s="236" t="s">
        <v>820</v>
      </c>
      <c r="C62" s="237" t="s">
        <v>821</v>
      </c>
      <c r="D62" s="237">
        <v>1</v>
      </c>
      <c r="E62" s="237" t="s">
        <v>42</v>
      </c>
      <c r="F62" s="235">
        <f t="shared" ref="F62:U64" si="86">F63</f>
        <v>115000000</v>
      </c>
      <c r="G62" s="235">
        <f t="shared" si="86"/>
        <v>0</v>
      </c>
      <c r="H62" s="235">
        <f t="shared" si="86"/>
        <v>0</v>
      </c>
      <c r="I62" s="235">
        <f t="shared" si="86"/>
        <v>0</v>
      </c>
      <c r="J62" s="235">
        <f t="shared" si="86"/>
        <v>0</v>
      </c>
      <c r="K62" s="235">
        <f t="shared" si="86"/>
        <v>0</v>
      </c>
      <c r="L62" s="235">
        <f t="shared" si="86"/>
        <v>0</v>
      </c>
      <c r="M62" s="235">
        <f t="shared" si="86"/>
        <v>0</v>
      </c>
      <c r="N62" s="235">
        <f t="shared" si="86"/>
        <v>0</v>
      </c>
      <c r="O62" s="235">
        <f t="shared" si="86"/>
        <v>0</v>
      </c>
      <c r="P62" s="235">
        <f t="shared" si="86"/>
        <v>0</v>
      </c>
      <c r="Q62" s="235">
        <f t="shared" si="86"/>
        <v>0</v>
      </c>
      <c r="R62" s="235">
        <f t="shared" si="86"/>
        <v>0</v>
      </c>
      <c r="S62" s="235">
        <f t="shared" si="86"/>
        <v>114200000</v>
      </c>
      <c r="T62" s="235">
        <f t="shared" si="86"/>
        <v>0</v>
      </c>
      <c r="U62" s="235">
        <f t="shared" si="86"/>
        <v>0</v>
      </c>
      <c r="V62" s="235">
        <f t="shared" ref="G62:AP64" si="87">V63</f>
        <v>0</v>
      </c>
      <c r="W62" s="235">
        <f t="shared" si="87"/>
        <v>0</v>
      </c>
      <c r="X62" s="235">
        <f t="shared" si="87"/>
        <v>0</v>
      </c>
      <c r="Y62" s="235">
        <f t="shared" si="87"/>
        <v>0</v>
      </c>
      <c r="Z62" s="235">
        <f t="shared" si="87"/>
        <v>0</v>
      </c>
      <c r="AA62" s="235">
        <f t="shared" si="87"/>
        <v>0</v>
      </c>
      <c r="AB62" s="235">
        <f t="shared" si="87"/>
        <v>0</v>
      </c>
      <c r="AC62" s="235">
        <f t="shared" si="87"/>
        <v>0</v>
      </c>
      <c r="AD62" s="235">
        <f t="shared" si="87"/>
        <v>0</v>
      </c>
      <c r="AE62" s="235">
        <f t="shared" si="87"/>
        <v>0</v>
      </c>
      <c r="AF62" s="235">
        <f t="shared" si="87"/>
        <v>0</v>
      </c>
      <c r="AG62" s="235">
        <f t="shared" si="87"/>
        <v>0</v>
      </c>
      <c r="AH62" s="235">
        <f t="shared" si="87"/>
        <v>0</v>
      </c>
      <c r="AI62" s="235">
        <f t="shared" si="87"/>
        <v>0</v>
      </c>
      <c r="AJ62" s="235">
        <f t="shared" si="87"/>
        <v>0</v>
      </c>
      <c r="AK62" s="235">
        <f t="shared" si="87"/>
        <v>0</v>
      </c>
      <c r="AL62" s="235">
        <f t="shared" si="87"/>
        <v>0</v>
      </c>
      <c r="AM62" s="235">
        <f t="shared" si="87"/>
        <v>0</v>
      </c>
      <c r="AN62" s="235">
        <f t="shared" si="87"/>
        <v>0</v>
      </c>
      <c r="AO62" s="235">
        <f t="shared" si="87"/>
        <v>0</v>
      </c>
      <c r="AP62" s="235">
        <f t="shared" si="87"/>
        <v>0</v>
      </c>
      <c r="AQ62" s="235">
        <f t="shared" si="30"/>
        <v>114200000</v>
      </c>
      <c r="AR62" s="238">
        <f t="shared" si="59"/>
        <v>9.930434782608695E-3</v>
      </c>
      <c r="AS62" s="239">
        <f t="shared" si="77"/>
        <v>800000</v>
      </c>
      <c r="AT62" s="238">
        <f t="shared" si="78"/>
        <v>0.69565217391304346</v>
      </c>
      <c r="AU62" s="220" t="s">
        <v>576</v>
      </c>
      <c r="AV62" s="220" t="s">
        <v>560</v>
      </c>
      <c r="AW62" s="220" t="s">
        <v>4836</v>
      </c>
      <c r="AX62" s="235">
        <f t="shared" ref="AX62:BE64" si="88">AX63</f>
        <v>0</v>
      </c>
      <c r="AY62" s="235">
        <f t="shared" si="88"/>
        <v>0</v>
      </c>
      <c r="AZ62" s="235">
        <f t="shared" si="88"/>
        <v>0</v>
      </c>
      <c r="BA62" s="235">
        <f t="shared" si="88"/>
        <v>0</v>
      </c>
      <c r="BB62" s="235">
        <f t="shared" si="88"/>
        <v>0</v>
      </c>
      <c r="BC62" s="235">
        <f t="shared" si="88"/>
        <v>0</v>
      </c>
      <c r="BD62" s="235">
        <f t="shared" si="88"/>
        <v>0</v>
      </c>
      <c r="BE62" s="235">
        <f t="shared" si="88"/>
        <v>0</v>
      </c>
    </row>
    <row r="63" spans="2:57" x14ac:dyDescent="0.3">
      <c r="B63" s="226" t="s">
        <v>3737</v>
      </c>
      <c r="C63" s="227" t="s">
        <v>824</v>
      </c>
      <c r="D63" s="227">
        <v>1</v>
      </c>
      <c r="E63" s="227" t="s">
        <v>42</v>
      </c>
      <c r="F63" s="228">
        <f t="shared" si="86"/>
        <v>115000000</v>
      </c>
      <c r="G63" s="228">
        <f t="shared" si="87"/>
        <v>0</v>
      </c>
      <c r="H63" s="228">
        <f t="shared" si="87"/>
        <v>0</v>
      </c>
      <c r="I63" s="228">
        <f t="shared" si="87"/>
        <v>0</v>
      </c>
      <c r="J63" s="228">
        <f t="shared" si="87"/>
        <v>0</v>
      </c>
      <c r="K63" s="228">
        <f t="shared" si="87"/>
        <v>0</v>
      </c>
      <c r="L63" s="228">
        <f t="shared" si="87"/>
        <v>0</v>
      </c>
      <c r="M63" s="228">
        <f t="shared" si="87"/>
        <v>0</v>
      </c>
      <c r="N63" s="228">
        <f t="shared" si="87"/>
        <v>0</v>
      </c>
      <c r="O63" s="228">
        <f t="shared" si="87"/>
        <v>0</v>
      </c>
      <c r="P63" s="228">
        <f t="shared" si="87"/>
        <v>0</v>
      </c>
      <c r="Q63" s="228">
        <f t="shared" si="87"/>
        <v>0</v>
      </c>
      <c r="R63" s="228">
        <f t="shared" si="87"/>
        <v>0</v>
      </c>
      <c r="S63" s="228">
        <f t="shared" si="87"/>
        <v>114200000</v>
      </c>
      <c r="T63" s="228">
        <f t="shared" si="87"/>
        <v>0</v>
      </c>
      <c r="U63" s="228">
        <f t="shared" si="87"/>
        <v>0</v>
      </c>
      <c r="V63" s="228">
        <f t="shared" si="87"/>
        <v>0</v>
      </c>
      <c r="W63" s="228">
        <f t="shared" si="87"/>
        <v>0</v>
      </c>
      <c r="X63" s="228">
        <f t="shared" si="87"/>
        <v>0</v>
      </c>
      <c r="Y63" s="228">
        <f t="shared" si="87"/>
        <v>0</v>
      </c>
      <c r="Z63" s="228">
        <f t="shared" si="87"/>
        <v>0</v>
      </c>
      <c r="AA63" s="228">
        <f t="shared" si="87"/>
        <v>0</v>
      </c>
      <c r="AB63" s="228">
        <f t="shared" si="87"/>
        <v>0</v>
      </c>
      <c r="AC63" s="228">
        <f t="shared" si="87"/>
        <v>0</v>
      </c>
      <c r="AD63" s="228">
        <f t="shared" si="87"/>
        <v>0</v>
      </c>
      <c r="AE63" s="228">
        <f t="shared" si="87"/>
        <v>0</v>
      </c>
      <c r="AF63" s="228">
        <f t="shared" si="87"/>
        <v>0</v>
      </c>
      <c r="AG63" s="228">
        <f t="shared" si="87"/>
        <v>0</v>
      </c>
      <c r="AH63" s="228">
        <f t="shared" si="87"/>
        <v>0</v>
      </c>
      <c r="AI63" s="228">
        <f t="shared" si="87"/>
        <v>0</v>
      </c>
      <c r="AJ63" s="228">
        <f t="shared" si="87"/>
        <v>0</v>
      </c>
      <c r="AK63" s="228">
        <f t="shared" si="87"/>
        <v>0</v>
      </c>
      <c r="AL63" s="228">
        <f t="shared" si="87"/>
        <v>0</v>
      </c>
      <c r="AM63" s="228">
        <f t="shared" si="87"/>
        <v>0</v>
      </c>
      <c r="AN63" s="228">
        <f t="shared" si="87"/>
        <v>0</v>
      </c>
      <c r="AO63" s="228">
        <f t="shared" si="87"/>
        <v>0</v>
      </c>
      <c r="AP63" s="228">
        <f t="shared" si="87"/>
        <v>0</v>
      </c>
      <c r="AQ63" s="228">
        <f t="shared" si="30"/>
        <v>114200000</v>
      </c>
      <c r="AR63" s="229">
        <f t="shared" si="59"/>
        <v>9.930434782608695E-3</v>
      </c>
      <c r="AS63" s="230">
        <f t="shared" si="77"/>
        <v>800000</v>
      </c>
      <c r="AT63" s="229">
        <f t="shared" si="78"/>
        <v>0.69565217391304346</v>
      </c>
      <c r="AU63" s="220" t="s">
        <v>576</v>
      </c>
      <c r="AV63" s="220" t="s">
        <v>560</v>
      </c>
      <c r="AW63" s="220" t="s">
        <v>4836</v>
      </c>
      <c r="AX63" s="228">
        <f t="shared" si="88"/>
        <v>0</v>
      </c>
      <c r="AY63" s="228">
        <f t="shared" si="88"/>
        <v>0</v>
      </c>
      <c r="AZ63" s="228">
        <f t="shared" si="88"/>
        <v>0</v>
      </c>
      <c r="BA63" s="228">
        <f t="shared" si="88"/>
        <v>0</v>
      </c>
      <c r="BB63" s="228">
        <f t="shared" si="88"/>
        <v>0</v>
      </c>
      <c r="BC63" s="228">
        <f t="shared" si="88"/>
        <v>0</v>
      </c>
      <c r="BD63" s="228">
        <f t="shared" si="88"/>
        <v>0</v>
      </c>
      <c r="BE63" s="228">
        <f t="shared" si="88"/>
        <v>0</v>
      </c>
    </row>
    <row r="64" spans="2:57" x14ac:dyDescent="0.3">
      <c r="B64" s="226">
        <v>301</v>
      </c>
      <c r="C64" s="227" t="s">
        <v>834</v>
      </c>
      <c r="D64" s="227"/>
      <c r="E64" s="227"/>
      <c r="F64" s="228">
        <f t="shared" si="86"/>
        <v>115000000</v>
      </c>
      <c r="G64" s="228">
        <f t="shared" si="87"/>
        <v>0</v>
      </c>
      <c r="H64" s="228">
        <f t="shared" si="87"/>
        <v>0</v>
      </c>
      <c r="I64" s="228">
        <f t="shared" si="87"/>
        <v>0</v>
      </c>
      <c r="J64" s="228">
        <f t="shared" si="87"/>
        <v>0</v>
      </c>
      <c r="K64" s="228">
        <f t="shared" si="87"/>
        <v>0</v>
      </c>
      <c r="L64" s="228">
        <f t="shared" si="87"/>
        <v>0</v>
      </c>
      <c r="M64" s="228">
        <f t="shared" si="87"/>
        <v>0</v>
      </c>
      <c r="N64" s="228">
        <f t="shared" si="87"/>
        <v>0</v>
      </c>
      <c r="O64" s="228">
        <f t="shared" si="87"/>
        <v>0</v>
      </c>
      <c r="P64" s="228">
        <f t="shared" si="87"/>
        <v>0</v>
      </c>
      <c r="Q64" s="228">
        <f t="shared" si="87"/>
        <v>0</v>
      </c>
      <c r="R64" s="228">
        <f t="shared" si="87"/>
        <v>0</v>
      </c>
      <c r="S64" s="228">
        <f t="shared" si="87"/>
        <v>114200000</v>
      </c>
      <c r="T64" s="228">
        <f t="shared" si="87"/>
        <v>0</v>
      </c>
      <c r="U64" s="228">
        <f t="shared" si="87"/>
        <v>0</v>
      </c>
      <c r="V64" s="228">
        <f t="shared" si="87"/>
        <v>0</v>
      </c>
      <c r="W64" s="228">
        <f t="shared" si="87"/>
        <v>0</v>
      </c>
      <c r="X64" s="228">
        <f t="shared" si="87"/>
        <v>0</v>
      </c>
      <c r="Y64" s="228">
        <f t="shared" si="87"/>
        <v>0</v>
      </c>
      <c r="Z64" s="228">
        <f t="shared" si="87"/>
        <v>0</v>
      </c>
      <c r="AA64" s="228">
        <f t="shared" si="87"/>
        <v>0</v>
      </c>
      <c r="AB64" s="228">
        <f t="shared" si="87"/>
        <v>0</v>
      </c>
      <c r="AC64" s="228">
        <f t="shared" si="87"/>
        <v>0</v>
      </c>
      <c r="AD64" s="228">
        <f t="shared" si="87"/>
        <v>0</v>
      </c>
      <c r="AE64" s="228">
        <f t="shared" si="87"/>
        <v>0</v>
      </c>
      <c r="AF64" s="228">
        <f t="shared" si="87"/>
        <v>0</v>
      </c>
      <c r="AG64" s="228">
        <f t="shared" si="87"/>
        <v>0</v>
      </c>
      <c r="AH64" s="228">
        <f t="shared" si="87"/>
        <v>0</v>
      </c>
      <c r="AI64" s="228">
        <f t="shared" si="87"/>
        <v>0</v>
      </c>
      <c r="AJ64" s="228">
        <f t="shared" si="87"/>
        <v>0</v>
      </c>
      <c r="AK64" s="228">
        <f t="shared" si="87"/>
        <v>0</v>
      </c>
      <c r="AL64" s="228">
        <f t="shared" si="87"/>
        <v>0</v>
      </c>
      <c r="AM64" s="228">
        <f t="shared" si="87"/>
        <v>0</v>
      </c>
      <c r="AN64" s="228">
        <f t="shared" si="87"/>
        <v>0</v>
      </c>
      <c r="AO64" s="228">
        <f t="shared" si="87"/>
        <v>0</v>
      </c>
      <c r="AP64" s="228">
        <f t="shared" si="87"/>
        <v>0</v>
      </c>
      <c r="AQ64" s="228">
        <f t="shared" si="30"/>
        <v>114200000</v>
      </c>
      <c r="AR64" s="229">
        <f t="shared" si="59"/>
        <v>9.930434782608695E-3</v>
      </c>
      <c r="AS64" s="230">
        <f t="shared" si="77"/>
        <v>800000</v>
      </c>
      <c r="AT64" s="229">
        <f t="shared" si="78"/>
        <v>0.69565217391304346</v>
      </c>
      <c r="AU64" s="220" t="s">
        <v>576</v>
      </c>
      <c r="AV64" s="220" t="s">
        <v>560</v>
      </c>
      <c r="AW64" s="220" t="s">
        <v>4836</v>
      </c>
      <c r="AX64" s="228">
        <f t="shared" si="88"/>
        <v>0</v>
      </c>
      <c r="AY64" s="228">
        <f t="shared" si="88"/>
        <v>0</v>
      </c>
      <c r="AZ64" s="228">
        <f t="shared" si="88"/>
        <v>0</v>
      </c>
      <c r="BA64" s="228">
        <f t="shared" si="88"/>
        <v>0</v>
      </c>
      <c r="BB64" s="228">
        <f t="shared" si="88"/>
        <v>0</v>
      </c>
      <c r="BC64" s="228">
        <f t="shared" si="88"/>
        <v>0</v>
      </c>
      <c r="BD64" s="228">
        <f t="shared" si="88"/>
        <v>0</v>
      </c>
      <c r="BE64" s="228">
        <f t="shared" si="88"/>
        <v>0</v>
      </c>
    </row>
    <row r="65" spans="2:57" x14ac:dyDescent="0.3">
      <c r="B65" s="290" t="s">
        <v>8</v>
      </c>
      <c r="C65" s="222" t="s">
        <v>836</v>
      </c>
      <c r="D65" s="222"/>
      <c r="E65" s="222"/>
      <c r="F65" s="223">
        <f>SUM(F66)</f>
        <v>115000000</v>
      </c>
      <c r="G65" s="223">
        <f t="shared" ref="G65:AP65" si="89">SUM(G66)</f>
        <v>0</v>
      </c>
      <c r="H65" s="223">
        <f t="shared" si="89"/>
        <v>0</v>
      </c>
      <c r="I65" s="223">
        <f t="shared" si="89"/>
        <v>0</v>
      </c>
      <c r="J65" s="223">
        <f t="shared" si="89"/>
        <v>0</v>
      </c>
      <c r="K65" s="223">
        <f t="shared" si="89"/>
        <v>0</v>
      </c>
      <c r="L65" s="223">
        <f t="shared" si="89"/>
        <v>0</v>
      </c>
      <c r="M65" s="223">
        <f t="shared" si="89"/>
        <v>0</v>
      </c>
      <c r="N65" s="223">
        <f t="shared" si="89"/>
        <v>0</v>
      </c>
      <c r="O65" s="223">
        <f t="shared" si="89"/>
        <v>0</v>
      </c>
      <c r="P65" s="223">
        <f t="shared" si="89"/>
        <v>0</v>
      </c>
      <c r="Q65" s="223">
        <f t="shared" si="89"/>
        <v>0</v>
      </c>
      <c r="R65" s="223">
        <f t="shared" si="89"/>
        <v>0</v>
      </c>
      <c r="S65" s="223">
        <f t="shared" si="89"/>
        <v>114200000</v>
      </c>
      <c r="T65" s="223">
        <f t="shared" si="89"/>
        <v>0</v>
      </c>
      <c r="U65" s="223">
        <f t="shared" si="89"/>
        <v>0</v>
      </c>
      <c r="V65" s="223">
        <f t="shared" si="89"/>
        <v>0</v>
      </c>
      <c r="W65" s="223">
        <f t="shared" si="89"/>
        <v>0</v>
      </c>
      <c r="X65" s="223">
        <f t="shared" si="89"/>
        <v>0</v>
      </c>
      <c r="Y65" s="223">
        <f t="shared" si="89"/>
        <v>0</v>
      </c>
      <c r="Z65" s="223">
        <f t="shared" si="89"/>
        <v>0</v>
      </c>
      <c r="AA65" s="223">
        <f t="shared" si="89"/>
        <v>0</v>
      </c>
      <c r="AB65" s="223">
        <f t="shared" si="89"/>
        <v>0</v>
      </c>
      <c r="AC65" s="223">
        <f t="shared" si="89"/>
        <v>0</v>
      </c>
      <c r="AD65" s="223">
        <f t="shared" si="89"/>
        <v>0</v>
      </c>
      <c r="AE65" s="223">
        <f t="shared" si="89"/>
        <v>0</v>
      </c>
      <c r="AF65" s="223">
        <f t="shared" si="89"/>
        <v>0</v>
      </c>
      <c r="AG65" s="223">
        <f t="shared" si="89"/>
        <v>0</v>
      </c>
      <c r="AH65" s="223">
        <f t="shared" si="89"/>
        <v>0</v>
      </c>
      <c r="AI65" s="223">
        <f t="shared" si="89"/>
        <v>0</v>
      </c>
      <c r="AJ65" s="223">
        <f t="shared" si="89"/>
        <v>0</v>
      </c>
      <c r="AK65" s="223">
        <f t="shared" si="89"/>
        <v>0</v>
      </c>
      <c r="AL65" s="223">
        <f t="shared" si="89"/>
        <v>0</v>
      </c>
      <c r="AM65" s="223">
        <f t="shared" si="89"/>
        <v>0</v>
      </c>
      <c r="AN65" s="223">
        <f t="shared" si="89"/>
        <v>0</v>
      </c>
      <c r="AO65" s="223">
        <f t="shared" si="89"/>
        <v>0</v>
      </c>
      <c r="AP65" s="223">
        <f t="shared" si="89"/>
        <v>0</v>
      </c>
      <c r="AQ65" s="223">
        <f t="shared" si="30"/>
        <v>114200000</v>
      </c>
      <c r="AR65" s="231">
        <f t="shared" si="59"/>
        <v>9.930434782608695E-3</v>
      </c>
      <c r="AS65" s="232">
        <f>F65-AQ65</f>
        <v>800000</v>
      </c>
      <c r="AT65" s="231">
        <f t="shared" si="78"/>
        <v>0.69565217391304346</v>
      </c>
      <c r="AU65" s="220" t="s">
        <v>576</v>
      </c>
      <c r="AV65" s="220" t="s">
        <v>560</v>
      </c>
      <c r="AW65" s="220" t="s">
        <v>4836</v>
      </c>
      <c r="AX65" s="223">
        <f t="shared" ref="AX65:BE65" si="90">SUM(AX66)</f>
        <v>0</v>
      </c>
      <c r="AY65" s="223">
        <f t="shared" si="90"/>
        <v>0</v>
      </c>
      <c r="AZ65" s="223">
        <f t="shared" si="90"/>
        <v>0</v>
      </c>
      <c r="BA65" s="223">
        <f t="shared" si="90"/>
        <v>0</v>
      </c>
      <c r="BB65" s="223">
        <f t="shared" si="90"/>
        <v>0</v>
      </c>
      <c r="BC65" s="223">
        <f t="shared" si="90"/>
        <v>0</v>
      </c>
      <c r="BD65" s="223">
        <f t="shared" si="90"/>
        <v>0</v>
      </c>
      <c r="BE65" s="223">
        <f t="shared" si="90"/>
        <v>0</v>
      </c>
    </row>
    <row r="66" spans="2:57" x14ac:dyDescent="0.3">
      <c r="B66" s="288">
        <v>532111</v>
      </c>
      <c r="C66" s="220" t="s">
        <v>43</v>
      </c>
      <c r="D66" s="220"/>
      <c r="E66" s="220"/>
      <c r="F66" s="221">
        <v>115000000</v>
      </c>
      <c r="G66" s="221"/>
      <c r="H66" s="221"/>
      <c r="I66" s="221"/>
      <c r="J66" s="221"/>
      <c r="K66" s="221"/>
      <c r="L66" s="221"/>
      <c r="M66" s="221"/>
      <c r="N66" s="221"/>
      <c r="O66" s="221"/>
      <c r="P66" s="221"/>
      <c r="Q66" s="221"/>
      <c r="R66" s="221"/>
      <c r="S66" s="221">
        <v>114200000</v>
      </c>
      <c r="T66" s="221"/>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f t="shared" si="30"/>
        <v>114200000</v>
      </c>
      <c r="AR66" s="224">
        <f t="shared" si="59"/>
        <v>9.930434782608695E-3</v>
      </c>
      <c r="AS66" s="225">
        <f>F66-AQ66</f>
        <v>800000</v>
      </c>
      <c r="AT66" s="224">
        <f t="shared" si="9"/>
        <v>0.69565217391304346</v>
      </c>
      <c r="AU66" s="220" t="s">
        <v>576</v>
      </c>
      <c r="AV66" s="220" t="s">
        <v>560</v>
      </c>
      <c r="AW66" s="220" t="s">
        <v>4836</v>
      </c>
      <c r="AX66" s="221"/>
      <c r="AY66" s="221"/>
      <c r="AZ66" s="302"/>
      <c r="BA66" s="221"/>
      <c r="BB66" s="221"/>
      <c r="BC66" s="221"/>
      <c r="BD66" s="221"/>
      <c r="BE66" s="221"/>
    </row>
    <row r="67" spans="2:57" x14ac:dyDescent="0.3">
      <c r="B67" s="236" t="s">
        <v>841</v>
      </c>
      <c r="C67" s="237" t="s">
        <v>842</v>
      </c>
      <c r="D67" s="237">
        <v>9</v>
      </c>
      <c r="E67" s="237" t="s">
        <v>3740</v>
      </c>
      <c r="F67" s="235">
        <f t="shared" ref="F67:AP67" si="91">F68+F76+F123</f>
        <v>5085940000</v>
      </c>
      <c r="G67" s="235">
        <f t="shared" si="91"/>
        <v>0</v>
      </c>
      <c r="H67" s="235">
        <f t="shared" si="91"/>
        <v>0</v>
      </c>
      <c r="I67" s="235">
        <f t="shared" si="91"/>
        <v>0</v>
      </c>
      <c r="J67" s="235">
        <f t="shared" si="91"/>
        <v>63640000</v>
      </c>
      <c r="K67" s="235">
        <f t="shared" si="91"/>
        <v>0</v>
      </c>
      <c r="L67" s="235">
        <f t="shared" si="91"/>
        <v>0</v>
      </c>
      <c r="M67" s="235">
        <f t="shared" si="91"/>
        <v>63640000</v>
      </c>
      <c r="N67" s="235">
        <f t="shared" si="91"/>
        <v>136990690</v>
      </c>
      <c r="O67" s="235">
        <f t="shared" si="91"/>
        <v>226935794</v>
      </c>
      <c r="P67" s="235">
        <f t="shared" si="91"/>
        <v>184892998</v>
      </c>
      <c r="Q67" s="235">
        <f t="shared" si="91"/>
        <v>75325796</v>
      </c>
      <c r="R67" s="235">
        <f t="shared" si="91"/>
        <v>0</v>
      </c>
      <c r="S67" s="235">
        <f t="shared" si="91"/>
        <v>94014600</v>
      </c>
      <c r="T67" s="235">
        <f t="shared" si="91"/>
        <v>158835210</v>
      </c>
      <c r="U67" s="235">
        <f t="shared" si="91"/>
        <v>115921543</v>
      </c>
      <c r="V67" s="235">
        <f t="shared" si="91"/>
        <v>103366027</v>
      </c>
      <c r="W67" s="235">
        <f t="shared" si="91"/>
        <v>0</v>
      </c>
      <c r="X67" s="235">
        <f t="shared" si="91"/>
        <v>0</v>
      </c>
      <c r="Y67" s="235">
        <f t="shared" si="91"/>
        <v>0</v>
      </c>
      <c r="Z67" s="235">
        <f t="shared" si="91"/>
        <v>0</v>
      </c>
      <c r="AA67" s="235">
        <f t="shared" si="91"/>
        <v>0</v>
      </c>
      <c r="AB67" s="235">
        <f t="shared" si="91"/>
        <v>0</v>
      </c>
      <c r="AC67" s="235">
        <f t="shared" si="91"/>
        <v>0</v>
      </c>
      <c r="AD67" s="235">
        <f t="shared" si="91"/>
        <v>0</v>
      </c>
      <c r="AE67" s="235">
        <f t="shared" si="91"/>
        <v>0</v>
      </c>
      <c r="AF67" s="235">
        <f t="shared" si="91"/>
        <v>0</v>
      </c>
      <c r="AG67" s="235">
        <f t="shared" si="91"/>
        <v>0</v>
      </c>
      <c r="AH67" s="235">
        <f t="shared" si="91"/>
        <v>0</v>
      </c>
      <c r="AI67" s="235">
        <f t="shared" si="91"/>
        <v>0</v>
      </c>
      <c r="AJ67" s="235">
        <f t="shared" si="91"/>
        <v>0</v>
      </c>
      <c r="AK67" s="235">
        <f t="shared" si="91"/>
        <v>0</v>
      </c>
      <c r="AL67" s="235">
        <f t="shared" si="91"/>
        <v>0</v>
      </c>
      <c r="AM67" s="235">
        <f t="shared" si="91"/>
        <v>0</v>
      </c>
      <c r="AN67" s="235">
        <f t="shared" si="91"/>
        <v>0</v>
      </c>
      <c r="AO67" s="235">
        <f t="shared" si="91"/>
        <v>0</v>
      </c>
      <c r="AP67" s="235">
        <f t="shared" si="91"/>
        <v>0</v>
      </c>
      <c r="AQ67" s="235">
        <f>SUM(G67:AP67)</f>
        <v>1223562658</v>
      </c>
      <c r="AR67" s="238">
        <f t="shared" si="59"/>
        <v>2.4057748577450775E-3</v>
      </c>
      <c r="AS67" s="239">
        <f>F67-AQ67</f>
        <v>3862377342</v>
      </c>
      <c r="AT67" s="238">
        <f>AS67/F67*100</f>
        <v>75.942251422549219</v>
      </c>
      <c r="AU67" s="220"/>
      <c r="AV67" s="220"/>
      <c r="AW67" s="220" t="s">
        <v>4732</v>
      </c>
      <c r="AX67" s="235">
        <f>AX68+AX76+AX123</f>
        <v>99961115</v>
      </c>
      <c r="AY67" s="235">
        <f>AY68+AY76+AY123</f>
        <v>226935794</v>
      </c>
      <c r="AZ67" s="235">
        <f>AZ68+AZ76+AZ123</f>
        <v>37029575</v>
      </c>
      <c r="BA67" s="235">
        <f>BA68+BA76+BA123</f>
        <v>75325796</v>
      </c>
      <c r="BB67" s="235">
        <f t="shared" ref="BB67" si="92">BB68+BB76+BB123</f>
        <v>83939616</v>
      </c>
      <c r="BC67" s="235">
        <f t="shared" ref="BC67:BD67" si="93">BC68+BC76+BC123</f>
        <v>74895594</v>
      </c>
      <c r="BD67" s="235">
        <f t="shared" si="93"/>
        <v>115921543</v>
      </c>
      <c r="BE67" s="235">
        <f t="shared" ref="BE67" si="94">BE68+BE76+BE123</f>
        <v>0</v>
      </c>
    </row>
    <row r="68" spans="2:57" x14ac:dyDescent="0.3">
      <c r="B68" s="226" t="s">
        <v>3792</v>
      </c>
      <c r="C68" s="227" t="s">
        <v>1037</v>
      </c>
      <c r="D68" s="227">
        <v>2</v>
      </c>
      <c r="E68" s="227" t="s">
        <v>3740</v>
      </c>
      <c r="F68" s="228">
        <f>F69</f>
        <v>153780000</v>
      </c>
      <c r="G68" s="228">
        <f t="shared" ref="G68:U68" si="95">G69</f>
        <v>0</v>
      </c>
      <c r="H68" s="228">
        <f t="shared" si="95"/>
        <v>0</v>
      </c>
      <c r="I68" s="228">
        <f t="shared" si="95"/>
        <v>0</v>
      </c>
      <c r="J68" s="228">
        <f t="shared" si="95"/>
        <v>0</v>
      </c>
      <c r="K68" s="228">
        <f t="shared" si="95"/>
        <v>0</v>
      </c>
      <c r="L68" s="228">
        <f t="shared" si="95"/>
        <v>0</v>
      </c>
      <c r="M68" s="228">
        <f t="shared" si="95"/>
        <v>0</v>
      </c>
      <c r="N68" s="228">
        <f t="shared" si="95"/>
        <v>1890000</v>
      </c>
      <c r="O68" s="228">
        <f t="shared" si="95"/>
        <v>3436750</v>
      </c>
      <c r="P68" s="228">
        <f t="shared" si="95"/>
        <v>3570000</v>
      </c>
      <c r="Q68" s="228">
        <f t="shared" si="95"/>
        <v>0</v>
      </c>
      <c r="R68" s="228">
        <f t="shared" si="95"/>
        <v>0</v>
      </c>
      <c r="S68" s="228">
        <f t="shared" si="95"/>
        <v>10960600</v>
      </c>
      <c r="T68" s="228">
        <f t="shared" si="95"/>
        <v>0</v>
      </c>
      <c r="U68" s="228">
        <f t="shared" si="95"/>
        <v>5000500</v>
      </c>
      <c r="V68" s="228">
        <f t="shared" ref="G68:AP69" si="96">V69</f>
        <v>3840000</v>
      </c>
      <c r="W68" s="228">
        <f t="shared" si="96"/>
        <v>0</v>
      </c>
      <c r="X68" s="228">
        <f t="shared" si="96"/>
        <v>0</v>
      </c>
      <c r="Y68" s="228">
        <f t="shared" si="96"/>
        <v>0</v>
      </c>
      <c r="Z68" s="228">
        <f t="shared" si="96"/>
        <v>0</v>
      </c>
      <c r="AA68" s="228">
        <f t="shared" si="96"/>
        <v>0</v>
      </c>
      <c r="AB68" s="228">
        <f t="shared" si="96"/>
        <v>0</v>
      </c>
      <c r="AC68" s="228">
        <f t="shared" si="96"/>
        <v>0</v>
      </c>
      <c r="AD68" s="228">
        <f t="shared" si="96"/>
        <v>0</v>
      </c>
      <c r="AE68" s="228">
        <f t="shared" si="96"/>
        <v>0</v>
      </c>
      <c r="AF68" s="228">
        <f t="shared" si="96"/>
        <v>0</v>
      </c>
      <c r="AG68" s="228">
        <f t="shared" si="96"/>
        <v>0</v>
      </c>
      <c r="AH68" s="228">
        <f t="shared" si="96"/>
        <v>0</v>
      </c>
      <c r="AI68" s="228">
        <f t="shared" si="96"/>
        <v>0</v>
      </c>
      <c r="AJ68" s="228">
        <f t="shared" si="96"/>
        <v>0</v>
      </c>
      <c r="AK68" s="228">
        <f t="shared" si="96"/>
        <v>0</v>
      </c>
      <c r="AL68" s="228">
        <f t="shared" si="96"/>
        <v>0</v>
      </c>
      <c r="AM68" s="228">
        <f t="shared" si="96"/>
        <v>0</v>
      </c>
      <c r="AN68" s="228">
        <f t="shared" si="96"/>
        <v>0</v>
      </c>
      <c r="AO68" s="228">
        <f t="shared" si="96"/>
        <v>0</v>
      </c>
      <c r="AP68" s="228">
        <f t="shared" si="96"/>
        <v>0</v>
      </c>
      <c r="AQ68" s="228">
        <f t="shared" si="30"/>
        <v>28697850</v>
      </c>
      <c r="AR68" s="229">
        <f t="shared" si="59"/>
        <v>1.8661626999609833E-3</v>
      </c>
      <c r="AS68" s="230">
        <f t="shared" si="6"/>
        <v>125082150</v>
      </c>
      <c r="AT68" s="229">
        <f t="shared" si="9"/>
        <v>81.338373000390163</v>
      </c>
      <c r="AU68" s="220" t="s">
        <v>542</v>
      </c>
      <c r="AV68" s="220" t="s">
        <v>543</v>
      </c>
      <c r="AW68" s="220" t="s">
        <v>4732</v>
      </c>
      <c r="AX68" s="228">
        <f t="shared" ref="AX68:BE69" si="97">AX69</f>
        <v>0</v>
      </c>
      <c r="AY68" s="228">
        <f t="shared" si="97"/>
        <v>3436750</v>
      </c>
      <c r="AZ68" s="228">
        <f t="shared" si="97"/>
        <v>1890000</v>
      </c>
      <c r="BA68" s="228">
        <f t="shared" si="97"/>
        <v>0</v>
      </c>
      <c r="BB68" s="228">
        <f t="shared" si="97"/>
        <v>0</v>
      </c>
      <c r="BC68" s="228">
        <f t="shared" si="97"/>
        <v>0</v>
      </c>
      <c r="BD68" s="228">
        <f t="shared" si="97"/>
        <v>5000500</v>
      </c>
      <c r="BE68" s="228">
        <f t="shared" si="97"/>
        <v>0</v>
      </c>
    </row>
    <row r="69" spans="2:57" x14ac:dyDescent="0.3">
      <c r="B69" s="226">
        <v>311</v>
      </c>
      <c r="C69" s="227" t="s">
        <v>1186</v>
      </c>
      <c r="D69" s="227"/>
      <c r="E69" s="227"/>
      <c r="F69" s="228">
        <f>F70</f>
        <v>153780000</v>
      </c>
      <c r="G69" s="228">
        <f t="shared" si="96"/>
        <v>0</v>
      </c>
      <c r="H69" s="228">
        <f t="shared" si="96"/>
        <v>0</v>
      </c>
      <c r="I69" s="228">
        <f t="shared" si="96"/>
        <v>0</v>
      </c>
      <c r="J69" s="228">
        <f t="shared" si="96"/>
        <v>0</v>
      </c>
      <c r="K69" s="228">
        <f t="shared" si="96"/>
        <v>0</v>
      </c>
      <c r="L69" s="228">
        <f t="shared" si="96"/>
        <v>0</v>
      </c>
      <c r="M69" s="228">
        <f t="shared" si="96"/>
        <v>0</v>
      </c>
      <c r="N69" s="228">
        <f t="shared" si="96"/>
        <v>1890000</v>
      </c>
      <c r="O69" s="228">
        <f t="shared" si="96"/>
        <v>3436750</v>
      </c>
      <c r="P69" s="228">
        <f t="shared" si="96"/>
        <v>3570000</v>
      </c>
      <c r="Q69" s="228">
        <f t="shared" si="96"/>
        <v>0</v>
      </c>
      <c r="R69" s="228">
        <f t="shared" si="96"/>
        <v>0</v>
      </c>
      <c r="S69" s="228">
        <f t="shared" si="96"/>
        <v>10960600</v>
      </c>
      <c r="T69" s="228">
        <f t="shared" si="96"/>
        <v>0</v>
      </c>
      <c r="U69" s="228">
        <f t="shared" si="96"/>
        <v>5000500</v>
      </c>
      <c r="V69" s="228">
        <f t="shared" si="96"/>
        <v>3840000</v>
      </c>
      <c r="W69" s="228">
        <f t="shared" si="96"/>
        <v>0</v>
      </c>
      <c r="X69" s="228">
        <f t="shared" si="96"/>
        <v>0</v>
      </c>
      <c r="Y69" s="228">
        <f t="shared" si="96"/>
        <v>0</v>
      </c>
      <c r="Z69" s="228">
        <f t="shared" si="96"/>
        <v>0</v>
      </c>
      <c r="AA69" s="228">
        <f t="shared" si="96"/>
        <v>0</v>
      </c>
      <c r="AB69" s="228">
        <f t="shared" si="96"/>
        <v>0</v>
      </c>
      <c r="AC69" s="228">
        <f t="shared" si="96"/>
        <v>0</v>
      </c>
      <c r="AD69" s="228">
        <f t="shared" si="96"/>
        <v>0</v>
      </c>
      <c r="AE69" s="228">
        <f t="shared" si="96"/>
        <v>0</v>
      </c>
      <c r="AF69" s="228">
        <f t="shared" si="96"/>
        <v>0</v>
      </c>
      <c r="AG69" s="228">
        <f t="shared" si="96"/>
        <v>0</v>
      </c>
      <c r="AH69" s="228">
        <f t="shared" si="96"/>
        <v>0</v>
      </c>
      <c r="AI69" s="228">
        <f t="shared" si="96"/>
        <v>0</v>
      </c>
      <c r="AJ69" s="228">
        <f t="shared" si="96"/>
        <v>0</v>
      </c>
      <c r="AK69" s="228">
        <f t="shared" si="96"/>
        <v>0</v>
      </c>
      <c r="AL69" s="228">
        <f t="shared" si="96"/>
        <v>0</v>
      </c>
      <c r="AM69" s="228">
        <f t="shared" si="96"/>
        <v>0</v>
      </c>
      <c r="AN69" s="228">
        <f t="shared" si="96"/>
        <v>0</v>
      </c>
      <c r="AO69" s="228">
        <f t="shared" si="96"/>
        <v>0</v>
      </c>
      <c r="AP69" s="228">
        <f t="shared" si="96"/>
        <v>0</v>
      </c>
      <c r="AQ69" s="228">
        <f t="shared" si="30"/>
        <v>28697850</v>
      </c>
      <c r="AR69" s="229">
        <f t="shared" si="59"/>
        <v>1.8661626999609833E-3</v>
      </c>
      <c r="AS69" s="230">
        <f t="shared" si="6"/>
        <v>125082150</v>
      </c>
      <c r="AT69" s="229">
        <f t="shared" si="9"/>
        <v>81.338373000390163</v>
      </c>
      <c r="AU69" s="220" t="s">
        <v>542</v>
      </c>
      <c r="AV69" s="220" t="s">
        <v>543</v>
      </c>
      <c r="AW69" s="220" t="s">
        <v>4732</v>
      </c>
      <c r="AX69" s="228">
        <f t="shared" si="97"/>
        <v>0</v>
      </c>
      <c r="AY69" s="228">
        <f t="shared" si="97"/>
        <v>3436750</v>
      </c>
      <c r="AZ69" s="228">
        <f t="shared" si="97"/>
        <v>1890000</v>
      </c>
      <c r="BA69" s="228">
        <f t="shared" si="97"/>
        <v>0</v>
      </c>
      <c r="BB69" s="228">
        <f t="shared" si="97"/>
        <v>0</v>
      </c>
      <c r="BC69" s="228">
        <f t="shared" si="97"/>
        <v>0</v>
      </c>
      <c r="BD69" s="228">
        <f t="shared" si="97"/>
        <v>5000500</v>
      </c>
      <c r="BE69" s="228">
        <f t="shared" si="97"/>
        <v>0</v>
      </c>
    </row>
    <row r="70" spans="2:57" x14ac:dyDescent="0.3">
      <c r="B70" s="290" t="s">
        <v>8</v>
      </c>
      <c r="C70" s="222" t="s">
        <v>75</v>
      </c>
      <c r="D70" s="222"/>
      <c r="E70" s="222"/>
      <c r="F70" s="223">
        <f>SUM(F71:F75)</f>
        <v>153780000</v>
      </c>
      <c r="G70" s="223">
        <f t="shared" ref="G70:AP70" si="98">SUM(G71:G75)</f>
        <v>0</v>
      </c>
      <c r="H70" s="223">
        <f t="shared" si="98"/>
        <v>0</v>
      </c>
      <c r="I70" s="223">
        <f t="shared" si="98"/>
        <v>0</v>
      </c>
      <c r="J70" s="223">
        <f t="shared" si="98"/>
        <v>0</v>
      </c>
      <c r="K70" s="223">
        <f t="shared" si="98"/>
        <v>0</v>
      </c>
      <c r="L70" s="223">
        <f t="shared" si="98"/>
        <v>0</v>
      </c>
      <c r="M70" s="223">
        <f t="shared" si="98"/>
        <v>0</v>
      </c>
      <c r="N70" s="223">
        <f t="shared" si="98"/>
        <v>1890000</v>
      </c>
      <c r="O70" s="223">
        <f t="shared" si="98"/>
        <v>3436750</v>
      </c>
      <c r="P70" s="223">
        <f t="shared" si="98"/>
        <v>3570000</v>
      </c>
      <c r="Q70" s="223">
        <f t="shared" si="98"/>
        <v>0</v>
      </c>
      <c r="R70" s="223">
        <f t="shared" si="98"/>
        <v>0</v>
      </c>
      <c r="S70" s="223">
        <f t="shared" si="98"/>
        <v>10960600</v>
      </c>
      <c r="T70" s="223">
        <f t="shared" si="98"/>
        <v>0</v>
      </c>
      <c r="U70" s="223">
        <f t="shared" si="98"/>
        <v>5000500</v>
      </c>
      <c r="V70" s="223">
        <f t="shared" si="98"/>
        <v>3840000</v>
      </c>
      <c r="W70" s="223">
        <f t="shared" si="98"/>
        <v>0</v>
      </c>
      <c r="X70" s="223">
        <f t="shared" si="98"/>
        <v>0</v>
      </c>
      <c r="Y70" s="223">
        <f t="shared" si="98"/>
        <v>0</v>
      </c>
      <c r="Z70" s="223">
        <f t="shared" si="98"/>
        <v>0</v>
      </c>
      <c r="AA70" s="223">
        <f t="shared" si="98"/>
        <v>0</v>
      </c>
      <c r="AB70" s="223">
        <f t="shared" si="98"/>
        <v>0</v>
      </c>
      <c r="AC70" s="223">
        <f t="shared" si="98"/>
        <v>0</v>
      </c>
      <c r="AD70" s="223">
        <f t="shared" si="98"/>
        <v>0</v>
      </c>
      <c r="AE70" s="223">
        <f t="shared" si="98"/>
        <v>0</v>
      </c>
      <c r="AF70" s="223">
        <f t="shared" si="98"/>
        <v>0</v>
      </c>
      <c r="AG70" s="223">
        <f t="shared" si="98"/>
        <v>0</v>
      </c>
      <c r="AH70" s="223">
        <f t="shared" si="98"/>
        <v>0</v>
      </c>
      <c r="AI70" s="223">
        <f t="shared" si="98"/>
        <v>0</v>
      </c>
      <c r="AJ70" s="223">
        <f t="shared" si="98"/>
        <v>0</v>
      </c>
      <c r="AK70" s="223">
        <f t="shared" si="98"/>
        <v>0</v>
      </c>
      <c r="AL70" s="223">
        <f t="shared" si="98"/>
        <v>0</v>
      </c>
      <c r="AM70" s="223">
        <f t="shared" si="98"/>
        <v>0</v>
      </c>
      <c r="AN70" s="223">
        <f t="shared" si="98"/>
        <v>0</v>
      </c>
      <c r="AO70" s="223">
        <f t="shared" si="98"/>
        <v>0</v>
      </c>
      <c r="AP70" s="223">
        <f t="shared" si="98"/>
        <v>0</v>
      </c>
      <c r="AQ70" s="223">
        <f>SUM(G70:AP70)</f>
        <v>28697850</v>
      </c>
      <c r="AR70" s="231">
        <f t="shared" si="59"/>
        <v>1.8661626999609833E-3</v>
      </c>
      <c r="AS70" s="232">
        <f t="shared" si="6"/>
        <v>125082150</v>
      </c>
      <c r="AT70" s="231">
        <f t="shared" si="9"/>
        <v>81.338373000390163</v>
      </c>
      <c r="AU70" s="220" t="s">
        <v>542</v>
      </c>
      <c r="AV70" s="220" t="s">
        <v>543</v>
      </c>
      <c r="AW70" s="220" t="s">
        <v>4732</v>
      </c>
      <c r="AX70" s="223">
        <f t="shared" ref="AX70" si="99">SUM(AX71:AX75)</f>
        <v>0</v>
      </c>
      <c r="AY70" s="223">
        <f t="shared" ref="AY70:AZ70" si="100">SUM(AY71:AY75)</f>
        <v>3436750</v>
      </c>
      <c r="AZ70" s="223">
        <f t="shared" si="100"/>
        <v>1890000</v>
      </c>
      <c r="BA70" s="223">
        <f t="shared" ref="BA70" si="101">SUM(BA71:BA75)</f>
        <v>0</v>
      </c>
      <c r="BB70" s="223">
        <f t="shared" ref="BB70" si="102">SUM(BB71:BB75)</f>
        <v>0</v>
      </c>
      <c r="BC70" s="223">
        <f t="shared" ref="BC70:BD70" si="103">SUM(BC71:BC75)</f>
        <v>0</v>
      </c>
      <c r="BD70" s="223">
        <f t="shared" si="103"/>
        <v>5000500</v>
      </c>
      <c r="BE70" s="223">
        <f t="shared" ref="BE70" si="104">SUM(BE71:BE75)</f>
        <v>0</v>
      </c>
    </row>
    <row r="71" spans="2:57" x14ac:dyDescent="0.3">
      <c r="B71" s="288">
        <v>521211</v>
      </c>
      <c r="C71" s="220" t="s">
        <v>7</v>
      </c>
      <c r="D71" s="220"/>
      <c r="E71" s="220"/>
      <c r="F71" s="221">
        <v>14400000</v>
      </c>
      <c r="G71" s="221"/>
      <c r="H71" s="221"/>
      <c r="I71" s="221"/>
      <c r="J71" s="221"/>
      <c r="K71" s="221"/>
      <c r="L71" s="221"/>
      <c r="M71" s="221"/>
      <c r="N71" s="302">
        <v>1890000</v>
      </c>
      <c r="O71" s="221">
        <v>986000</v>
      </c>
      <c r="P71" s="221"/>
      <c r="Q71" s="221"/>
      <c r="R71" s="221"/>
      <c r="S71" s="221"/>
      <c r="T71" s="221"/>
      <c r="U71" s="221">
        <v>3071500</v>
      </c>
      <c r="V71" s="221"/>
      <c r="W71" s="221"/>
      <c r="X71" s="221"/>
      <c r="Y71" s="221"/>
      <c r="Z71" s="221"/>
      <c r="AA71" s="221"/>
      <c r="AB71" s="221"/>
      <c r="AC71" s="221"/>
      <c r="AD71" s="221"/>
      <c r="AE71" s="221"/>
      <c r="AF71" s="221"/>
      <c r="AG71" s="221"/>
      <c r="AH71" s="221"/>
      <c r="AI71" s="221"/>
      <c r="AJ71" s="221"/>
      <c r="AK71" s="221"/>
      <c r="AL71" s="221"/>
      <c r="AM71" s="221"/>
      <c r="AN71" s="221"/>
      <c r="AO71" s="221"/>
      <c r="AP71" s="221"/>
      <c r="AQ71" s="221">
        <f t="shared" si="30"/>
        <v>5947500</v>
      </c>
      <c r="AR71" s="224">
        <f t="shared" si="59"/>
        <v>4.130208333333333E-3</v>
      </c>
      <c r="AS71" s="225">
        <f t="shared" si="6"/>
        <v>8452500</v>
      </c>
      <c r="AT71" s="224">
        <f t="shared" si="9"/>
        <v>58.697916666666671</v>
      </c>
      <c r="AU71" s="220" t="s">
        <v>542</v>
      </c>
      <c r="AV71" s="220" t="s">
        <v>543</v>
      </c>
      <c r="AW71" s="220" t="s">
        <v>4732</v>
      </c>
      <c r="AX71" s="221"/>
      <c r="AY71" s="221">
        <v>986000</v>
      </c>
      <c r="AZ71" s="302">
        <v>1890000</v>
      </c>
      <c r="BA71" s="221"/>
      <c r="BB71" s="221"/>
      <c r="BC71" s="221"/>
      <c r="BD71" s="221">
        <v>3071500</v>
      </c>
      <c r="BE71" s="221"/>
    </row>
    <row r="72" spans="2:57" x14ac:dyDescent="0.3">
      <c r="B72" s="288">
        <v>521219</v>
      </c>
      <c r="C72" s="220" t="s">
        <v>53</v>
      </c>
      <c r="D72" s="220"/>
      <c r="E72" s="220"/>
      <c r="F72" s="221">
        <v>8000000</v>
      </c>
      <c r="G72" s="221"/>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f t="shared" si="30"/>
        <v>0</v>
      </c>
      <c r="AR72" s="224">
        <f t="shared" si="59"/>
        <v>0</v>
      </c>
      <c r="AS72" s="225">
        <f t="shared" si="6"/>
        <v>8000000</v>
      </c>
      <c r="AT72" s="224">
        <f t="shared" si="9"/>
        <v>100</v>
      </c>
      <c r="AU72" s="220" t="s">
        <v>542</v>
      </c>
      <c r="AV72" s="220" t="s">
        <v>543</v>
      </c>
      <c r="AW72" s="220" t="s">
        <v>4732</v>
      </c>
      <c r="AX72" s="221"/>
      <c r="AY72" s="221"/>
      <c r="AZ72" s="302"/>
      <c r="BA72" s="221"/>
      <c r="BB72" s="221"/>
      <c r="BC72" s="221"/>
      <c r="BD72" s="221"/>
      <c r="BE72" s="221"/>
    </row>
    <row r="73" spans="2:57" x14ac:dyDescent="0.3">
      <c r="B73" s="288">
        <v>521811</v>
      </c>
      <c r="C73" s="220" t="s">
        <v>64</v>
      </c>
      <c r="D73" s="220"/>
      <c r="E73" s="220"/>
      <c r="F73" s="221">
        <v>12000000</v>
      </c>
      <c r="G73" s="221"/>
      <c r="H73" s="221"/>
      <c r="I73" s="221"/>
      <c r="J73" s="221"/>
      <c r="K73" s="221"/>
      <c r="L73" s="221"/>
      <c r="M73" s="221"/>
      <c r="N73" s="221"/>
      <c r="O73" s="221">
        <v>2450750</v>
      </c>
      <c r="P73" s="221"/>
      <c r="Q73" s="221"/>
      <c r="R73" s="221"/>
      <c r="S73" s="221"/>
      <c r="T73" s="221"/>
      <c r="U73" s="221">
        <v>1929000</v>
      </c>
      <c r="V73" s="221"/>
      <c r="W73" s="221"/>
      <c r="X73" s="221"/>
      <c r="Y73" s="221"/>
      <c r="Z73" s="221"/>
      <c r="AA73" s="221"/>
      <c r="AB73" s="221"/>
      <c r="AC73" s="221"/>
      <c r="AD73" s="221"/>
      <c r="AE73" s="221"/>
      <c r="AF73" s="221"/>
      <c r="AG73" s="221"/>
      <c r="AH73" s="221"/>
      <c r="AI73" s="221"/>
      <c r="AJ73" s="221"/>
      <c r="AK73" s="221"/>
      <c r="AL73" s="221"/>
      <c r="AM73" s="221"/>
      <c r="AN73" s="221"/>
      <c r="AO73" s="221"/>
      <c r="AP73" s="221"/>
      <c r="AQ73" s="221">
        <f t="shared" si="30"/>
        <v>4379750</v>
      </c>
      <c r="AR73" s="224">
        <f t="shared" si="59"/>
        <v>3.6497916666666671E-3</v>
      </c>
      <c r="AS73" s="225">
        <f>F73-AQ73</f>
        <v>7620250</v>
      </c>
      <c r="AT73" s="224">
        <f t="shared" si="9"/>
        <v>63.502083333333339</v>
      </c>
      <c r="AU73" s="220" t="s">
        <v>542</v>
      </c>
      <c r="AV73" s="220" t="s">
        <v>543</v>
      </c>
      <c r="AW73" s="220" t="s">
        <v>4732</v>
      </c>
      <c r="AX73" s="221"/>
      <c r="AY73" s="221">
        <v>2450750</v>
      </c>
      <c r="AZ73" s="302"/>
      <c r="BA73" s="221"/>
      <c r="BB73" s="221"/>
      <c r="BC73" s="221"/>
      <c r="BD73" s="221">
        <v>1929000</v>
      </c>
      <c r="BE73" s="221"/>
    </row>
    <row r="74" spans="2:57" x14ac:dyDescent="0.3">
      <c r="B74" s="288">
        <v>522151</v>
      </c>
      <c r="C74" s="220" t="s">
        <v>11</v>
      </c>
      <c r="D74" s="220"/>
      <c r="E74" s="220"/>
      <c r="F74" s="221">
        <v>4000000</v>
      </c>
      <c r="G74" s="221"/>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f t="shared" si="30"/>
        <v>0</v>
      </c>
      <c r="AR74" s="224">
        <f t="shared" si="59"/>
        <v>0</v>
      </c>
      <c r="AS74" s="225">
        <f t="shared" si="6"/>
        <v>4000000</v>
      </c>
      <c r="AT74" s="224">
        <f t="shared" si="9"/>
        <v>100</v>
      </c>
      <c r="AU74" s="220" t="s">
        <v>542</v>
      </c>
      <c r="AV74" s="220" t="s">
        <v>543</v>
      </c>
      <c r="AW74" s="220" t="s">
        <v>4732</v>
      </c>
      <c r="AX74" s="221"/>
      <c r="AY74" s="221"/>
      <c r="AZ74" s="302"/>
      <c r="BA74" s="221"/>
      <c r="BB74" s="221"/>
      <c r="BC74" s="221"/>
      <c r="BD74" s="221"/>
      <c r="BE74" s="221"/>
    </row>
    <row r="75" spans="2:57" x14ac:dyDescent="0.3">
      <c r="B75" s="288">
        <v>524111</v>
      </c>
      <c r="C75" s="220" t="s">
        <v>19</v>
      </c>
      <c r="D75" s="220"/>
      <c r="E75" s="220"/>
      <c r="F75" s="221">
        <v>115380000</v>
      </c>
      <c r="G75" s="221"/>
      <c r="H75" s="221"/>
      <c r="I75" s="221"/>
      <c r="J75" s="221"/>
      <c r="K75" s="221"/>
      <c r="L75" s="221"/>
      <c r="M75" s="221"/>
      <c r="N75" s="221"/>
      <c r="O75" s="221"/>
      <c r="P75" s="221">
        <v>3570000</v>
      </c>
      <c r="Q75" s="221"/>
      <c r="R75" s="221"/>
      <c r="S75" s="221">
        <v>10960600</v>
      </c>
      <c r="T75" s="221"/>
      <c r="U75" s="221"/>
      <c r="V75" s="221">
        <v>3840000</v>
      </c>
      <c r="W75" s="221"/>
      <c r="X75" s="221"/>
      <c r="Y75" s="221"/>
      <c r="Z75" s="221"/>
      <c r="AA75" s="221"/>
      <c r="AB75" s="221"/>
      <c r="AC75" s="221"/>
      <c r="AD75" s="221"/>
      <c r="AE75" s="221"/>
      <c r="AF75" s="221"/>
      <c r="AG75" s="221"/>
      <c r="AH75" s="221"/>
      <c r="AI75" s="221"/>
      <c r="AJ75" s="221"/>
      <c r="AK75" s="221"/>
      <c r="AL75" s="221"/>
      <c r="AM75" s="221"/>
      <c r="AN75" s="221"/>
      <c r="AO75" s="221"/>
      <c r="AP75" s="221"/>
      <c r="AQ75" s="221">
        <f t="shared" si="30"/>
        <v>18370600</v>
      </c>
      <c r="AR75" s="224">
        <f t="shared" si="59"/>
        <v>1.5921823539608252E-3</v>
      </c>
      <c r="AS75" s="225">
        <f t="shared" si="6"/>
        <v>97009400</v>
      </c>
      <c r="AT75" s="224">
        <f t="shared" si="9"/>
        <v>84.078176460391745</v>
      </c>
      <c r="AU75" s="220" t="s">
        <v>542</v>
      </c>
      <c r="AV75" s="220" t="s">
        <v>543</v>
      </c>
      <c r="AW75" s="220" t="s">
        <v>4732</v>
      </c>
      <c r="AX75" s="221"/>
      <c r="AY75" s="221"/>
      <c r="AZ75" s="302"/>
      <c r="BA75" s="221"/>
      <c r="BB75" s="221"/>
      <c r="BC75" s="221"/>
      <c r="BD75" s="221"/>
      <c r="BE75" s="221"/>
    </row>
    <row r="76" spans="2:57" x14ac:dyDescent="0.3">
      <c r="B76" s="226" t="s">
        <v>3855</v>
      </c>
      <c r="C76" s="227" t="s">
        <v>1270</v>
      </c>
      <c r="D76" s="227">
        <v>1</v>
      </c>
      <c r="E76" s="227" t="s">
        <v>3740</v>
      </c>
      <c r="F76" s="228">
        <f t="shared" ref="F76:AP76" si="105">F77</f>
        <v>2736502000</v>
      </c>
      <c r="G76" s="228">
        <f t="shared" si="105"/>
        <v>0</v>
      </c>
      <c r="H76" s="228">
        <f t="shared" si="105"/>
        <v>0</v>
      </c>
      <c r="I76" s="228">
        <f t="shared" si="105"/>
        <v>0</v>
      </c>
      <c r="J76" s="228">
        <f t="shared" si="105"/>
        <v>0</v>
      </c>
      <c r="K76" s="228">
        <f t="shared" si="105"/>
        <v>0</v>
      </c>
      <c r="L76" s="228">
        <f t="shared" si="105"/>
        <v>0</v>
      </c>
      <c r="M76" s="228">
        <f t="shared" si="105"/>
        <v>0</v>
      </c>
      <c r="N76" s="228">
        <f t="shared" si="105"/>
        <v>85679153</v>
      </c>
      <c r="O76" s="228">
        <f t="shared" si="105"/>
        <v>142958644</v>
      </c>
      <c r="P76" s="228">
        <f t="shared" si="105"/>
        <v>54042998</v>
      </c>
      <c r="Q76" s="228">
        <f t="shared" si="105"/>
        <v>40187000</v>
      </c>
      <c r="R76" s="228">
        <f t="shared" si="105"/>
        <v>0</v>
      </c>
      <c r="S76" s="228">
        <f t="shared" si="105"/>
        <v>19414000</v>
      </c>
      <c r="T76" s="228">
        <f t="shared" si="105"/>
        <v>42454302</v>
      </c>
      <c r="U76" s="228">
        <f t="shared" si="105"/>
        <v>110921043</v>
      </c>
      <c r="V76" s="228">
        <f t="shared" si="105"/>
        <v>35886027</v>
      </c>
      <c r="W76" s="228">
        <f t="shared" si="105"/>
        <v>0</v>
      </c>
      <c r="X76" s="228">
        <f t="shared" si="105"/>
        <v>0</v>
      </c>
      <c r="Y76" s="228">
        <f t="shared" si="105"/>
        <v>0</v>
      </c>
      <c r="Z76" s="228">
        <f t="shared" si="105"/>
        <v>0</v>
      </c>
      <c r="AA76" s="228">
        <f t="shared" si="105"/>
        <v>0</v>
      </c>
      <c r="AB76" s="228">
        <f t="shared" si="105"/>
        <v>0</v>
      </c>
      <c r="AC76" s="228">
        <f t="shared" si="105"/>
        <v>0</v>
      </c>
      <c r="AD76" s="228">
        <f t="shared" si="105"/>
        <v>0</v>
      </c>
      <c r="AE76" s="228">
        <f t="shared" si="105"/>
        <v>0</v>
      </c>
      <c r="AF76" s="228">
        <f t="shared" si="105"/>
        <v>0</v>
      </c>
      <c r="AG76" s="228">
        <f t="shared" si="105"/>
        <v>0</v>
      </c>
      <c r="AH76" s="228">
        <f t="shared" si="105"/>
        <v>0</v>
      </c>
      <c r="AI76" s="228">
        <f t="shared" si="105"/>
        <v>0</v>
      </c>
      <c r="AJ76" s="228">
        <f t="shared" si="105"/>
        <v>0</v>
      </c>
      <c r="AK76" s="228">
        <f t="shared" si="105"/>
        <v>0</v>
      </c>
      <c r="AL76" s="228">
        <f t="shared" si="105"/>
        <v>0</v>
      </c>
      <c r="AM76" s="228">
        <f t="shared" si="105"/>
        <v>0</v>
      </c>
      <c r="AN76" s="228">
        <f t="shared" si="105"/>
        <v>0</v>
      </c>
      <c r="AO76" s="228">
        <f t="shared" si="105"/>
        <v>0</v>
      </c>
      <c r="AP76" s="228">
        <f t="shared" si="105"/>
        <v>0</v>
      </c>
      <c r="AQ76" s="228">
        <f t="shared" si="30"/>
        <v>531543167</v>
      </c>
      <c r="AR76" s="229">
        <f t="shared" si="59"/>
        <v>1.9424183391789957E-3</v>
      </c>
      <c r="AS76" s="230">
        <f t="shared" si="6"/>
        <v>2204958833</v>
      </c>
      <c r="AT76" s="229">
        <f t="shared" si="9"/>
        <v>80.575816608210033</v>
      </c>
      <c r="AU76" s="220"/>
      <c r="AV76" s="220"/>
      <c r="AW76" s="220" t="s">
        <v>4732</v>
      </c>
      <c r="AX76" s="228">
        <f t="shared" ref="AX76:BE76" si="106">AX77</f>
        <v>59308000</v>
      </c>
      <c r="AY76" s="228">
        <f t="shared" si="106"/>
        <v>142958644</v>
      </c>
      <c r="AZ76" s="228">
        <f t="shared" si="106"/>
        <v>26371153</v>
      </c>
      <c r="BA76" s="228">
        <f t="shared" si="106"/>
        <v>40187000</v>
      </c>
      <c r="BB76" s="228">
        <f t="shared" si="106"/>
        <v>18988905</v>
      </c>
      <c r="BC76" s="228">
        <f t="shared" si="106"/>
        <v>23465397</v>
      </c>
      <c r="BD76" s="228">
        <f t="shared" si="106"/>
        <v>110921043</v>
      </c>
      <c r="BE76" s="228">
        <f t="shared" si="106"/>
        <v>0</v>
      </c>
    </row>
    <row r="77" spans="2:57" x14ac:dyDescent="0.3">
      <c r="B77" s="226">
        <v>301</v>
      </c>
      <c r="C77" s="227" t="s">
        <v>1389</v>
      </c>
      <c r="D77" s="227"/>
      <c r="E77" s="227"/>
      <c r="F77" s="228">
        <f t="shared" ref="F77:AP77" si="107">F78+F82+F86+F91+F95+F102+F108+F113+F118</f>
        <v>2736502000</v>
      </c>
      <c r="G77" s="228">
        <f t="shared" si="107"/>
        <v>0</v>
      </c>
      <c r="H77" s="228">
        <f t="shared" si="107"/>
        <v>0</v>
      </c>
      <c r="I77" s="228">
        <f t="shared" si="107"/>
        <v>0</v>
      </c>
      <c r="J77" s="228">
        <f t="shared" si="107"/>
        <v>0</v>
      </c>
      <c r="K77" s="228">
        <f t="shared" si="107"/>
        <v>0</v>
      </c>
      <c r="L77" s="228">
        <f t="shared" si="107"/>
        <v>0</v>
      </c>
      <c r="M77" s="228">
        <f t="shared" si="107"/>
        <v>0</v>
      </c>
      <c r="N77" s="228">
        <f t="shared" si="107"/>
        <v>85679153</v>
      </c>
      <c r="O77" s="228">
        <f t="shared" si="107"/>
        <v>142958644</v>
      </c>
      <c r="P77" s="228">
        <f t="shared" si="107"/>
        <v>54042998</v>
      </c>
      <c r="Q77" s="228">
        <f t="shared" si="107"/>
        <v>40187000</v>
      </c>
      <c r="R77" s="228">
        <f t="shared" si="107"/>
        <v>0</v>
      </c>
      <c r="S77" s="228">
        <f t="shared" si="107"/>
        <v>19414000</v>
      </c>
      <c r="T77" s="228">
        <f t="shared" si="107"/>
        <v>42454302</v>
      </c>
      <c r="U77" s="228">
        <f t="shared" si="107"/>
        <v>110921043</v>
      </c>
      <c r="V77" s="228">
        <f t="shared" si="107"/>
        <v>35886027</v>
      </c>
      <c r="W77" s="228">
        <f t="shared" si="107"/>
        <v>0</v>
      </c>
      <c r="X77" s="228">
        <f t="shared" si="107"/>
        <v>0</v>
      </c>
      <c r="Y77" s="228">
        <f t="shared" si="107"/>
        <v>0</v>
      </c>
      <c r="Z77" s="228">
        <f t="shared" si="107"/>
        <v>0</v>
      </c>
      <c r="AA77" s="228">
        <f t="shared" si="107"/>
        <v>0</v>
      </c>
      <c r="AB77" s="228">
        <f t="shared" si="107"/>
        <v>0</v>
      </c>
      <c r="AC77" s="228">
        <f t="shared" si="107"/>
        <v>0</v>
      </c>
      <c r="AD77" s="228">
        <f t="shared" si="107"/>
        <v>0</v>
      </c>
      <c r="AE77" s="228">
        <f t="shared" si="107"/>
        <v>0</v>
      </c>
      <c r="AF77" s="228">
        <f t="shared" si="107"/>
        <v>0</v>
      </c>
      <c r="AG77" s="228">
        <f t="shared" si="107"/>
        <v>0</v>
      </c>
      <c r="AH77" s="228">
        <f t="shared" si="107"/>
        <v>0</v>
      </c>
      <c r="AI77" s="228">
        <f t="shared" si="107"/>
        <v>0</v>
      </c>
      <c r="AJ77" s="228">
        <f t="shared" si="107"/>
        <v>0</v>
      </c>
      <c r="AK77" s="228">
        <f t="shared" si="107"/>
        <v>0</v>
      </c>
      <c r="AL77" s="228">
        <f t="shared" si="107"/>
        <v>0</v>
      </c>
      <c r="AM77" s="228">
        <f t="shared" si="107"/>
        <v>0</v>
      </c>
      <c r="AN77" s="228">
        <f t="shared" si="107"/>
        <v>0</v>
      </c>
      <c r="AO77" s="228">
        <f t="shared" si="107"/>
        <v>0</v>
      </c>
      <c r="AP77" s="228">
        <f t="shared" si="107"/>
        <v>0</v>
      </c>
      <c r="AQ77" s="228">
        <f t="shared" si="30"/>
        <v>531543167</v>
      </c>
      <c r="AR77" s="229">
        <f t="shared" si="59"/>
        <v>1.9424183391789957E-3</v>
      </c>
      <c r="AS77" s="230">
        <f t="shared" si="6"/>
        <v>2204958833</v>
      </c>
      <c r="AT77" s="229">
        <f t="shared" si="9"/>
        <v>80.575816608210033</v>
      </c>
      <c r="AU77" s="220"/>
      <c r="AV77" s="220"/>
      <c r="AW77" s="220" t="s">
        <v>4732</v>
      </c>
      <c r="AX77" s="228">
        <f>AX78+AX82+AX86+AX91+AX95+AX102+AX108+AX113+AX118</f>
        <v>59308000</v>
      </c>
      <c r="AY77" s="228">
        <f>AY78+AY82+AY86+AY91+AY95+AY102+AY108+AY113+AY118</f>
        <v>142958644</v>
      </c>
      <c r="AZ77" s="228">
        <f>AZ78+AZ82+AZ86+AZ91+AZ95+AZ102+AZ108+AZ113+AZ118</f>
        <v>26371153</v>
      </c>
      <c r="BA77" s="228">
        <f>BA78+BA82+BA86+BA91+BA95+BA102+BA108+BA113+BA118</f>
        <v>40187000</v>
      </c>
      <c r="BB77" s="228">
        <f t="shared" ref="BB77" si="108">BB78+BB82+BB86+BB91+BB95+BB102+BB108+BB113+BB118</f>
        <v>18988905</v>
      </c>
      <c r="BC77" s="228">
        <f t="shared" ref="BC77:BD77" si="109">BC78+BC82+BC86+BC91+BC95+BC102+BC108+BC113+BC118</f>
        <v>23465397</v>
      </c>
      <c r="BD77" s="228">
        <f t="shared" si="109"/>
        <v>110921043</v>
      </c>
      <c r="BE77" s="228">
        <f t="shared" ref="BE77" si="110">BE78+BE82+BE86+BE91+BE95+BE102+BE108+BE113+BE118</f>
        <v>0</v>
      </c>
    </row>
    <row r="78" spans="2:57" x14ac:dyDescent="0.3">
      <c r="B78" s="290" t="s">
        <v>8</v>
      </c>
      <c r="C78" s="222" t="s">
        <v>148</v>
      </c>
      <c r="D78" s="222"/>
      <c r="E78" s="222"/>
      <c r="F78" s="223">
        <f t="shared" ref="F78" si="111">SUM(F79:F81)</f>
        <v>51100000</v>
      </c>
      <c r="G78" s="223">
        <f t="shared" ref="G78:AP78" si="112">SUM(G79:G81)</f>
        <v>0</v>
      </c>
      <c r="H78" s="223">
        <f t="shared" si="112"/>
        <v>0</v>
      </c>
      <c r="I78" s="223">
        <f t="shared" si="112"/>
        <v>0</v>
      </c>
      <c r="J78" s="223">
        <f t="shared" si="112"/>
        <v>0</v>
      </c>
      <c r="K78" s="223">
        <f t="shared" si="112"/>
        <v>0</v>
      </c>
      <c r="L78" s="223">
        <f t="shared" si="112"/>
        <v>0</v>
      </c>
      <c r="M78" s="223">
        <f t="shared" si="112"/>
        <v>0</v>
      </c>
      <c r="N78" s="223">
        <f t="shared" si="112"/>
        <v>3135000</v>
      </c>
      <c r="O78" s="223">
        <f t="shared" si="112"/>
        <v>5948800</v>
      </c>
      <c r="P78" s="223">
        <f t="shared" si="112"/>
        <v>0</v>
      </c>
      <c r="Q78" s="223">
        <f t="shared" si="112"/>
        <v>3960000</v>
      </c>
      <c r="R78" s="223">
        <f t="shared" si="112"/>
        <v>0</v>
      </c>
      <c r="S78" s="223">
        <f t="shared" si="112"/>
        <v>0</v>
      </c>
      <c r="T78" s="223">
        <f t="shared" si="112"/>
        <v>3043500</v>
      </c>
      <c r="U78" s="223">
        <f t="shared" si="112"/>
        <v>0</v>
      </c>
      <c r="V78" s="223">
        <f t="shared" si="112"/>
        <v>0</v>
      </c>
      <c r="W78" s="223">
        <f t="shared" si="112"/>
        <v>0</v>
      </c>
      <c r="X78" s="223">
        <f t="shared" si="112"/>
        <v>0</v>
      </c>
      <c r="Y78" s="223">
        <f t="shared" si="112"/>
        <v>0</v>
      </c>
      <c r="Z78" s="223">
        <f t="shared" si="112"/>
        <v>0</v>
      </c>
      <c r="AA78" s="223">
        <f t="shared" si="112"/>
        <v>0</v>
      </c>
      <c r="AB78" s="223">
        <f t="shared" si="112"/>
        <v>0</v>
      </c>
      <c r="AC78" s="223">
        <f t="shared" si="112"/>
        <v>0</v>
      </c>
      <c r="AD78" s="223">
        <f t="shared" si="112"/>
        <v>0</v>
      </c>
      <c r="AE78" s="223">
        <f t="shared" si="112"/>
        <v>0</v>
      </c>
      <c r="AF78" s="223">
        <f t="shared" si="112"/>
        <v>0</v>
      </c>
      <c r="AG78" s="223">
        <f t="shared" si="112"/>
        <v>0</v>
      </c>
      <c r="AH78" s="223">
        <f t="shared" si="112"/>
        <v>0</v>
      </c>
      <c r="AI78" s="223">
        <f t="shared" si="112"/>
        <v>0</v>
      </c>
      <c r="AJ78" s="223">
        <f t="shared" si="112"/>
        <v>0</v>
      </c>
      <c r="AK78" s="223">
        <f t="shared" si="112"/>
        <v>0</v>
      </c>
      <c r="AL78" s="223">
        <f t="shared" si="112"/>
        <v>0</v>
      </c>
      <c r="AM78" s="223">
        <f t="shared" si="112"/>
        <v>0</v>
      </c>
      <c r="AN78" s="223">
        <f t="shared" si="112"/>
        <v>0</v>
      </c>
      <c r="AO78" s="223">
        <f t="shared" si="112"/>
        <v>0</v>
      </c>
      <c r="AP78" s="223">
        <f t="shared" si="112"/>
        <v>0</v>
      </c>
      <c r="AQ78" s="223">
        <f t="shared" si="30"/>
        <v>16087300</v>
      </c>
      <c r="AR78" s="231">
        <f t="shared" si="59"/>
        <v>3.1481996086105673E-3</v>
      </c>
      <c r="AS78" s="232">
        <f t="shared" si="6"/>
        <v>35012700</v>
      </c>
      <c r="AT78" s="231">
        <f t="shared" si="9"/>
        <v>68.518003913894319</v>
      </c>
      <c r="AU78" s="220" t="s">
        <v>576</v>
      </c>
      <c r="AV78" s="220" t="s">
        <v>560</v>
      </c>
      <c r="AW78" s="220" t="s">
        <v>4732</v>
      </c>
      <c r="AX78" s="223">
        <f t="shared" ref="AX78" si="113">SUM(AX79:AX81)</f>
        <v>3135000</v>
      </c>
      <c r="AY78" s="223">
        <f t="shared" ref="AY78:AZ78" si="114">SUM(AY79:AY81)</f>
        <v>5948800</v>
      </c>
      <c r="AZ78" s="223">
        <f t="shared" si="114"/>
        <v>0</v>
      </c>
      <c r="BA78" s="223">
        <f t="shared" ref="BA78" si="115">SUM(BA79:BA81)</f>
        <v>3960000</v>
      </c>
      <c r="BB78" s="223">
        <f t="shared" ref="BB78" si="116">SUM(BB79:BB81)</f>
        <v>0</v>
      </c>
      <c r="BC78" s="223">
        <f t="shared" ref="BC78:BD78" si="117">SUM(BC79:BC81)</f>
        <v>3043500</v>
      </c>
      <c r="BD78" s="223">
        <f t="shared" si="117"/>
        <v>0</v>
      </c>
      <c r="BE78" s="223">
        <f t="shared" ref="BE78" si="118">SUM(BE79:BE81)</f>
        <v>0</v>
      </c>
    </row>
    <row r="79" spans="2:57" x14ac:dyDescent="0.3">
      <c r="B79" s="288">
        <v>521211</v>
      </c>
      <c r="C79" s="220" t="s">
        <v>7</v>
      </c>
      <c r="D79" s="220"/>
      <c r="E79" s="220"/>
      <c r="F79" s="221">
        <v>22000000</v>
      </c>
      <c r="G79" s="221"/>
      <c r="H79" s="221"/>
      <c r="I79" s="221"/>
      <c r="J79" s="221"/>
      <c r="K79" s="221"/>
      <c r="L79" s="221"/>
      <c r="M79" s="221"/>
      <c r="N79" s="221"/>
      <c r="O79" s="221">
        <v>3998800</v>
      </c>
      <c r="P79" s="221"/>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f t="shared" ref="AQ79:AQ127" si="119">SUM(G79:AP79)</f>
        <v>3998800</v>
      </c>
      <c r="AR79" s="224">
        <f t="shared" ref="AR79:AR97" si="120">AQ79/F79/100</f>
        <v>1.8176363636363637E-3</v>
      </c>
      <c r="AS79" s="225">
        <f t="shared" ref="AS79:AS122" si="121">F79-AQ79</f>
        <v>18001200</v>
      </c>
      <c r="AT79" s="224">
        <f t="shared" ref="AT79:AT127" si="122">AS79/F79*100</f>
        <v>81.823636363636368</v>
      </c>
      <c r="AU79" s="220" t="s">
        <v>576</v>
      </c>
      <c r="AV79" s="220" t="s">
        <v>560</v>
      </c>
      <c r="AW79" s="220" t="s">
        <v>4732</v>
      </c>
      <c r="AX79" s="221"/>
      <c r="AY79" s="221">
        <v>3998800</v>
      </c>
      <c r="AZ79" s="302"/>
      <c r="BA79" s="221"/>
      <c r="BB79" s="221"/>
      <c r="BC79" s="221"/>
      <c r="BD79" s="221"/>
      <c r="BE79" s="221"/>
    </row>
    <row r="80" spans="2:57" x14ac:dyDescent="0.3">
      <c r="B80" s="288">
        <v>524111</v>
      </c>
      <c r="C80" s="220" t="s">
        <v>19</v>
      </c>
      <c r="D80" s="220"/>
      <c r="E80" s="220"/>
      <c r="F80" s="221">
        <v>27000000</v>
      </c>
      <c r="G80" s="221"/>
      <c r="H80" s="221"/>
      <c r="I80" s="221"/>
      <c r="J80" s="221"/>
      <c r="K80" s="221"/>
      <c r="L80" s="221"/>
      <c r="M80" s="221"/>
      <c r="N80" s="221">
        <v>2685000</v>
      </c>
      <c r="O80" s="221">
        <v>1650000</v>
      </c>
      <c r="P80" s="221"/>
      <c r="Q80" s="221">
        <v>3960000</v>
      </c>
      <c r="R80" s="221"/>
      <c r="S80" s="221"/>
      <c r="T80" s="221">
        <v>3043500</v>
      </c>
      <c r="U80" s="221"/>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f t="shared" si="119"/>
        <v>11338500</v>
      </c>
      <c r="AR80" s="224">
        <f t="shared" si="120"/>
        <v>4.1994444444444449E-3</v>
      </c>
      <c r="AS80" s="225">
        <f t="shared" si="121"/>
        <v>15661500</v>
      </c>
      <c r="AT80" s="224">
        <f t="shared" si="122"/>
        <v>58.005555555555553</v>
      </c>
      <c r="AU80" s="220" t="s">
        <v>576</v>
      </c>
      <c r="AV80" s="220" t="s">
        <v>560</v>
      </c>
      <c r="AW80" s="220" t="s">
        <v>4732</v>
      </c>
      <c r="AX80" s="221">
        <v>2685000</v>
      </c>
      <c r="AY80" s="221">
        <v>1650000</v>
      </c>
      <c r="AZ80" s="302"/>
      <c r="BA80" s="221">
        <v>3960000</v>
      </c>
      <c r="BB80" s="221"/>
      <c r="BC80" s="221">
        <v>3043500</v>
      </c>
      <c r="BD80" s="221"/>
      <c r="BE80" s="221"/>
    </row>
    <row r="81" spans="2:59" x14ac:dyDescent="0.3">
      <c r="B81" s="288">
        <v>524113</v>
      </c>
      <c r="C81" s="220" t="s">
        <v>13</v>
      </c>
      <c r="D81" s="220"/>
      <c r="E81" s="220"/>
      <c r="F81" s="221">
        <v>2100000</v>
      </c>
      <c r="G81" s="221"/>
      <c r="H81" s="221"/>
      <c r="I81" s="221"/>
      <c r="J81" s="221"/>
      <c r="K81" s="221"/>
      <c r="L81" s="221"/>
      <c r="M81" s="221"/>
      <c r="N81" s="221">
        <v>450000</v>
      </c>
      <c r="O81" s="221">
        <v>300000</v>
      </c>
      <c r="P81" s="221"/>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f t="shared" si="119"/>
        <v>750000</v>
      </c>
      <c r="AR81" s="224">
        <f t="shared" si="120"/>
        <v>3.5714285714285713E-3</v>
      </c>
      <c r="AS81" s="225">
        <f t="shared" si="121"/>
        <v>1350000</v>
      </c>
      <c r="AT81" s="224">
        <f t="shared" si="122"/>
        <v>64.285714285714292</v>
      </c>
      <c r="AU81" s="220" t="s">
        <v>576</v>
      </c>
      <c r="AV81" s="220" t="s">
        <v>560</v>
      </c>
      <c r="AW81" s="220" t="s">
        <v>4732</v>
      </c>
      <c r="AX81" s="221">
        <v>450000</v>
      </c>
      <c r="AY81" s="221">
        <v>300000</v>
      </c>
      <c r="AZ81" s="302"/>
      <c r="BA81" s="221"/>
      <c r="BB81" s="221"/>
      <c r="BC81" s="221"/>
      <c r="BD81" s="221"/>
      <c r="BE81" s="221"/>
    </row>
    <row r="82" spans="2:59" x14ac:dyDescent="0.3">
      <c r="B82" s="290" t="s">
        <v>511</v>
      </c>
      <c r="C82" s="222" t="s">
        <v>150</v>
      </c>
      <c r="D82" s="222"/>
      <c r="E82" s="222"/>
      <c r="F82" s="223">
        <f t="shared" ref="F82:AP82" si="123">SUM(F83:F85)</f>
        <v>548180000</v>
      </c>
      <c r="G82" s="223">
        <f t="shared" si="123"/>
        <v>0</v>
      </c>
      <c r="H82" s="223">
        <f t="shared" si="123"/>
        <v>0</v>
      </c>
      <c r="I82" s="223">
        <f t="shared" si="123"/>
        <v>0</v>
      </c>
      <c r="J82" s="223">
        <f t="shared" si="123"/>
        <v>0</v>
      </c>
      <c r="K82" s="223">
        <f t="shared" si="123"/>
        <v>0</v>
      </c>
      <c r="L82" s="223">
        <f t="shared" si="123"/>
        <v>0</v>
      </c>
      <c r="M82" s="223">
        <f t="shared" si="123"/>
        <v>0</v>
      </c>
      <c r="N82" s="223">
        <f t="shared" si="123"/>
        <v>49559600</v>
      </c>
      <c r="O82" s="223">
        <f t="shared" si="123"/>
        <v>23771900</v>
      </c>
      <c r="P82" s="223">
        <f t="shared" si="123"/>
        <v>34977460</v>
      </c>
      <c r="Q82" s="223">
        <f t="shared" si="123"/>
        <v>31588000</v>
      </c>
      <c r="R82" s="223">
        <f t="shared" si="123"/>
        <v>0</v>
      </c>
      <c r="S82" s="223">
        <f t="shared" si="123"/>
        <v>0</v>
      </c>
      <c r="T82" s="223">
        <f t="shared" si="123"/>
        <v>14558751</v>
      </c>
      <c r="U82" s="223">
        <f t="shared" si="123"/>
        <v>13125750</v>
      </c>
      <c r="V82" s="223">
        <f t="shared" si="123"/>
        <v>0</v>
      </c>
      <c r="W82" s="223">
        <f t="shared" si="123"/>
        <v>0</v>
      </c>
      <c r="X82" s="223">
        <f t="shared" si="123"/>
        <v>0</v>
      </c>
      <c r="Y82" s="223">
        <f t="shared" si="123"/>
        <v>0</v>
      </c>
      <c r="Z82" s="223">
        <f t="shared" si="123"/>
        <v>0</v>
      </c>
      <c r="AA82" s="223">
        <f t="shared" si="123"/>
        <v>0</v>
      </c>
      <c r="AB82" s="223">
        <f t="shared" si="123"/>
        <v>0</v>
      </c>
      <c r="AC82" s="223">
        <f t="shared" si="123"/>
        <v>0</v>
      </c>
      <c r="AD82" s="223">
        <f t="shared" si="123"/>
        <v>0</v>
      </c>
      <c r="AE82" s="223">
        <f t="shared" si="123"/>
        <v>0</v>
      </c>
      <c r="AF82" s="223">
        <f t="shared" si="123"/>
        <v>0</v>
      </c>
      <c r="AG82" s="223">
        <f t="shared" si="123"/>
        <v>0</v>
      </c>
      <c r="AH82" s="223">
        <f t="shared" si="123"/>
        <v>0</v>
      </c>
      <c r="AI82" s="223">
        <f t="shared" si="123"/>
        <v>0</v>
      </c>
      <c r="AJ82" s="223">
        <f t="shared" si="123"/>
        <v>0</v>
      </c>
      <c r="AK82" s="223">
        <f t="shared" si="123"/>
        <v>0</v>
      </c>
      <c r="AL82" s="223">
        <f t="shared" si="123"/>
        <v>0</v>
      </c>
      <c r="AM82" s="223">
        <f t="shared" si="123"/>
        <v>0</v>
      </c>
      <c r="AN82" s="223">
        <f t="shared" si="123"/>
        <v>0</v>
      </c>
      <c r="AO82" s="223">
        <f t="shared" si="123"/>
        <v>0</v>
      </c>
      <c r="AP82" s="223">
        <f t="shared" si="123"/>
        <v>0</v>
      </c>
      <c r="AQ82" s="223">
        <f t="shared" si="119"/>
        <v>167581461</v>
      </c>
      <c r="AR82" s="231">
        <f t="shared" si="120"/>
        <v>3.0570517165894413E-3</v>
      </c>
      <c r="AS82" s="232">
        <f t="shared" si="121"/>
        <v>380598539</v>
      </c>
      <c r="AT82" s="231">
        <f t="shared" si="122"/>
        <v>69.429482834105585</v>
      </c>
      <c r="AU82" s="220" t="s">
        <v>576</v>
      </c>
      <c r="AV82" s="220" t="s">
        <v>560</v>
      </c>
      <c r="AW82" s="220" t="s">
        <v>4732</v>
      </c>
      <c r="AX82" s="223">
        <f>SUM(AX83:AX85)</f>
        <v>49105600</v>
      </c>
      <c r="AY82" s="223">
        <f>SUM(AY83:AY85)</f>
        <v>23771900</v>
      </c>
      <c r="AZ82" s="223">
        <f>SUM(AZ83:AZ85)</f>
        <v>454000</v>
      </c>
      <c r="BA82" s="223">
        <f>SUM(BA83:BA85)</f>
        <v>31588000</v>
      </c>
      <c r="BB82" s="223">
        <f t="shared" ref="BB82" si="124">SUM(BB83:BB85)</f>
        <v>10477701</v>
      </c>
      <c r="BC82" s="223">
        <f t="shared" ref="BC82:BD82" si="125">SUM(BC83:BC85)</f>
        <v>4081050</v>
      </c>
      <c r="BD82" s="223">
        <f t="shared" si="125"/>
        <v>13125750</v>
      </c>
      <c r="BE82" s="223">
        <f t="shared" ref="BE82" si="126">SUM(BE83:BE85)</f>
        <v>0</v>
      </c>
    </row>
    <row r="83" spans="2:59" x14ac:dyDescent="0.3">
      <c r="B83" s="288">
        <v>521211</v>
      </c>
      <c r="C83" s="220" t="s">
        <v>7</v>
      </c>
      <c r="D83" s="220"/>
      <c r="E83" s="220"/>
      <c r="F83" s="221">
        <v>10000000</v>
      </c>
      <c r="G83" s="221"/>
      <c r="H83" s="221"/>
      <c r="I83" s="221"/>
      <c r="J83" s="221"/>
      <c r="K83" s="221"/>
      <c r="L83" s="221"/>
      <c r="M83" s="221"/>
      <c r="N83" s="221">
        <v>2485000</v>
      </c>
      <c r="O83" s="221"/>
      <c r="P83" s="221"/>
      <c r="Q83" s="221"/>
      <c r="R83" s="221"/>
      <c r="S83" s="221"/>
      <c r="T83" s="221"/>
      <c r="U83" s="221">
        <v>2485000</v>
      </c>
      <c r="V83" s="221"/>
      <c r="W83" s="221"/>
      <c r="X83" s="221"/>
      <c r="Y83" s="221"/>
      <c r="Z83" s="221"/>
      <c r="AA83" s="221"/>
      <c r="AB83" s="221"/>
      <c r="AC83" s="221"/>
      <c r="AD83" s="221"/>
      <c r="AE83" s="221"/>
      <c r="AF83" s="221"/>
      <c r="AG83" s="221"/>
      <c r="AH83" s="221"/>
      <c r="AI83" s="221"/>
      <c r="AJ83" s="221"/>
      <c r="AK83" s="221"/>
      <c r="AL83" s="221"/>
      <c r="AM83" s="221"/>
      <c r="AN83" s="221"/>
      <c r="AO83" s="221"/>
      <c r="AP83" s="221"/>
      <c r="AQ83" s="221">
        <f t="shared" si="119"/>
        <v>4970000</v>
      </c>
      <c r="AR83" s="224">
        <f t="shared" si="120"/>
        <v>4.9699999999999996E-3</v>
      </c>
      <c r="AS83" s="225">
        <f t="shared" si="121"/>
        <v>5030000</v>
      </c>
      <c r="AT83" s="224">
        <f t="shared" si="122"/>
        <v>50.3</v>
      </c>
      <c r="AU83" s="220" t="s">
        <v>576</v>
      </c>
      <c r="AV83" s="220" t="s">
        <v>560</v>
      </c>
      <c r="AW83" s="220" t="s">
        <v>4732</v>
      </c>
      <c r="AX83" s="221">
        <v>2485000</v>
      </c>
      <c r="AY83" s="221"/>
      <c r="AZ83" s="302"/>
      <c r="BA83" s="221"/>
      <c r="BB83" s="221"/>
      <c r="BC83" s="221"/>
      <c r="BD83" s="221">
        <v>2485000</v>
      </c>
      <c r="BE83" s="221"/>
    </row>
    <row r="84" spans="2:59" x14ac:dyDescent="0.3">
      <c r="B84" s="288">
        <v>522192</v>
      </c>
      <c r="C84" s="220" t="s">
        <v>24</v>
      </c>
      <c r="D84" s="220"/>
      <c r="E84" s="220"/>
      <c r="F84" s="221">
        <v>23680000</v>
      </c>
      <c r="G84" s="221"/>
      <c r="H84" s="221"/>
      <c r="I84" s="221"/>
      <c r="J84" s="221"/>
      <c r="K84" s="221"/>
      <c r="L84" s="221"/>
      <c r="M84" s="221"/>
      <c r="N84" s="221">
        <f>1235000+454000</f>
        <v>1689000</v>
      </c>
      <c r="O84" s="221">
        <v>342000</v>
      </c>
      <c r="P84" s="221"/>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f t="shared" si="119"/>
        <v>2031000</v>
      </c>
      <c r="AR84" s="224">
        <f t="shared" si="120"/>
        <v>8.5768581081081081E-4</v>
      </c>
      <c r="AS84" s="225">
        <f t="shared" si="121"/>
        <v>21649000</v>
      </c>
      <c r="AT84" s="224">
        <f t="shared" si="122"/>
        <v>91.423141891891888</v>
      </c>
      <c r="AU84" s="220" t="s">
        <v>576</v>
      </c>
      <c r="AV84" s="220" t="s">
        <v>560</v>
      </c>
      <c r="AW84" s="220" t="s">
        <v>4732</v>
      </c>
      <c r="AX84" s="221">
        <v>1235000</v>
      </c>
      <c r="AY84" s="221">
        <v>342000</v>
      </c>
      <c r="AZ84" s="302">
        <v>454000</v>
      </c>
      <c r="BA84" s="221"/>
      <c r="BB84" s="221"/>
      <c r="BC84" s="221"/>
      <c r="BD84" s="221"/>
      <c r="BE84" s="221"/>
    </row>
    <row r="85" spans="2:59" x14ac:dyDescent="0.3">
      <c r="B85" s="288">
        <v>524111</v>
      </c>
      <c r="C85" s="220" t="s">
        <v>19</v>
      </c>
      <c r="D85" s="220"/>
      <c r="E85" s="220"/>
      <c r="F85" s="221">
        <v>514500000</v>
      </c>
      <c r="G85" s="221"/>
      <c r="H85" s="221"/>
      <c r="I85" s="221"/>
      <c r="J85" s="221"/>
      <c r="K85" s="221"/>
      <c r="L85" s="221"/>
      <c r="M85" s="221"/>
      <c r="N85" s="221">
        <v>45385600</v>
      </c>
      <c r="O85" s="221">
        <v>23429900</v>
      </c>
      <c r="P85" s="221">
        <v>34977460</v>
      </c>
      <c r="Q85" s="221">
        <v>31588000</v>
      </c>
      <c r="R85" s="221"/>
      <c r="S85" s="221"/>
      <c r="T85" s="221">
        <f>10477701+4081050</f>
        <v>14558751</v>
      </c>
      <c r="U85" s="221">
        <v>10640750</v>
      </c>
      <c r="V85" s="221"/>
      <c r="W85" s="221"/>
      <c r="X85" s="221"/>
      <c r="Y85" s="221"/>
      <c r="Z85" s="221"/>
      <c r="AA85" s="221"/>
      <c r="AB85" s="221"/>
      <c r="AC85" s="221"/>
      <c r="AD85" s="221"/>
      <c r="AE85" s="221"/>
      <c r="AF85" s="221"/>
      <c r="AG85" s="221"/>
      <c r="AH85" s="221"/>
      <c r="AI85" s="221"/>
      <c r="AJ85" s="221"/>
      <c r="AK85" s="221"/>
      <c r="AL85" s="221"/>
      <c r="AM85" s="221"/>
      <c r="AN85" s="221"/>
      <c r="AO85" s="221"/>
      <c r="AP85" s="221"/>
      <c r="AQ85" s="221">
        <f t="shared" si="119"/>
        <v>160580461</v>
      </c>
      <c r="AR85" s="224">
        <f t="shared" si="120"/>
        <v>3.1210973955296405E-3</v>
      </c>
      <c r="AS85" s="225">
        <f t="shared" si="121"/>
        <v>353919539</v>
      </c>
      <c r="AT85" s="224">
        <f t="shared" si="122"/>
        <v>68.78902604470359</v>
      </c>
      <c r="AU85" s="220" t="s">
        <v>576</v>
      </c>
      <c r="AV85" s="220" t="s">
        <v>560</v>
      </c>
      <c r="AW85" s="220" t="s">
        <v>4732</v>
      </c>
      <c r="AX85" s="221">
        <v>45385600</v>
      </c>
      <c r="AY85" s="221">
        <v>23429900</v>
      </c>
      <c r="AZ85" s="302"/>
      <c r="BA85" s="221">
        <v>31588000</v>
      </c>
      <c r="BB85" s="221">
        <v>10477701</v>
      </c>
      <c r="BC85" s="221">
        <v>4081050</v>
      </c>
      <c r="BD85" s="221">
        <v>10640750</v>
      </c>
      <c r="BE85" s="221"/>
    </row>
    <row r="86" spans="2:59" x14ac:dyDescent="0.3">
      <c r="B86" s="290" t="s">
        <v>512</v>
      </c>
      <c r="C86" s="222" t="s">
        <v>1418</v>
      </c>
      <c r="D86" s="222"/>
      <c r="E86" s="222"/>
      <c r="F86" s="223">
        <f t="shared" ref="F86:AP86" si="127">SUM(F87:F90)</f>
        <v>74500000</v>
      </c>
      <c r="G86" s="223">
        <f t="shared" si="127"/>
        <v>0</v>
      </c>
      <c r="H86" s="223">
        <f t="shared" si="127"/>
        <v>0</v>
      </c>
      <c r="I86" s="223">
        <f t="shared" si="127"/>
        <v>0</v>
      </c>
      <c r="J86" s="223">
        <f t="shared" si="127"/>
        <v>0</v>
      </c>
      <c r="K86" s="223">
        <f t="shared" si="127"/>
        <v>0</v>
      </c>
      <c r="L86" s="223">
        <f t="shared" si="127"/>
        <v>0</v>
      </c>
      <c r="M86" s="223">
        <f t="shared" si="127"/>
        <v>0</v>
      </c>
      <c r="N86" s="223">
        <f t="shared" si="127"/>
        <v>600000</v>
      </c>
      <c r="O86" s="223">
        <f t="shared" si="127"/>
        <v>5277000</v>
      </c>
      <c r="P86" s="223">
        <f t="shared" si="127"/>
        <v>0</v>
      </c>
      <c r="Q86" s="223">
        <f t="shared" si="127"/>
        <v>0</v>
      </c>
      <c r="R86" s="223">
        <f t="shared" si="127"/>
        <v>0</v>
      </c>
      <c r="S86" s="223">
        <f t="shared" si="127"/>
        <v>0</v>
      </c>
      <c r="T86" s="223">
        <f t="shared" si="127"/>
        <v>7020000</v>
      </c>
      <c r="U86" s="223">
        <f t="shared" si="127"/>
        <v>29384740</v>
      </c>
      <c r="V86" s="223">
        <f t="shared" si="127"/>
        <v>0</v>
      </c>
      <c r="W86" s="223">
        <f t="shared" si="127"/>
        <v>0</v>
      </c>
      <c r="X86" s="223">
        <f t="shared" si="127"/>
        <v>0</v>
      </c>
      <c r="Y86" s="223">
        <f t="shared" si="127"/>
        <v>0</v>
      </c>
      <c r="Z86" s="223">
        <f t="shared" si="127"/>
        <v>0</v>
      </c>
      <c r="AA86" s="223">
        <f t="shared" si="127"/>
        <v>0</v>
      </c>
      <c r="AB86" s="223">
        <f t="shared" si="127"/>
        <v>0</v>
      </c>
      <c r="AC86" s="223">
        <f t="shared" si="127"/>
        <v>0</v>
      </c>
      <c r="AD86" s="223">
        <f t="shared" si="127"/>
        <v>0</v>
      </c>
      <c r="AE86" s="223">
        <f t="shared" si="127"/>
        <v>0</v>
      </c>
      <c r="AF86" s="223">
        <f t="shared" si="127"/>
        <v>0</v>
      </c>
      <c r="AG86" s="223">
        <f t="shared" si="127"/>
        <v>0</v>
      </c>
      <c r="AH86" s="223">
        <f t="shared" si="127"/>
        <v>0</v>
      </c>
      <c r="AI86" s="223">
        <f t="shared" si="127"/>
        <v>0</v>
      </c>
      <c r="AJ86" s="223">
        <f t="shared" si="127"/>
        <v>0</v>
      </c>
      <c r="AK86" s="223">
        <f t="shared" si="127"/>
        <v>0</v>
      </c>
      <c r="AL86" s="223">
        <f t="shared" si="127"/>
        <v>0</v>
      </c>
      <c r="AM86" s="223">
        <f t="shared" si="127"/>
        <v>0</v>
      </c>
      <c r="AN86" s="223">
        <f t="shared" si="127"/>
        <v>0</v>
      </c>
      <c r="AO86" s="223">
        <f t="shared" si="127"/>
        <v>0</v>
      </c>
      <c r="AP86" s="223">
        <f t="shared" si="127"/>
        <v>0</v>
      </c>
      <c r="AQ86" s="223">
        <f t="shared" si="119"/>
        <v>42281740</v>
      </c>
      <c r="AR86" s="231">
        <f t="shared" si="120"/>
        <v>5.6754013422818791E-3</v>
      </c>
      <c r="AS86" s="232">
        <f t="shared" si="121"/>
        <v>32218260</v>
      </c>
      <c r="AT86" s="231">
        <f t="shared" si="122"/>
        <v>43.245986577181206</v>
      </c>
      <c r="AU86" s="220" t="s">
        <v>576</v>
      </c>
      <c r="AV86" s="220" t="s">
        <v>560</v>
      </c>
      <c r="AW86" s="220" t="s">
        <v>4732</v>
      </c>
      <c r="AX86" s="223">
        <f t="shared" ref="AX86:BA86" si="128">SUM(AX87:AX90)</f>
        <v>600000</v>
      </c>
      <c r="AY86" s="223">
        <f t="shared" si="128"/>
        <v>5277000</v>
      </c>
      <c r="AZ86" s="223">
        <f t="shared" si="128"/>
        <v>0</v>
      </c>
      <c r="BA86" s="223">
        <f t="shared" si="128"/>
        <v>0</v>
      </c>
      <c r="BB86" s="223">
        <f t="shared" ref="BB86" si="129">SUM(BB87:BB90)</f>
        <v>3300000</v>
      </c>
      <c r="BC86" s="223">
        <f t="shared" ref="BC86:BD86" si="130">SUM(BC87:BC90)</f>
        <v>3720000</v>
      </c>
      <c r="BD86" s="223">
        <f t="shared" si="130"/>
        <v>29384740</v>
      </c>
      <c r="BE86" s="223">
        <f t="shared" ref="BE86" si="131">SUM(BE87:BE90)</f>
        <v>0</v>
      </c>
    </row>
    <row r="87" spans="2:59" x14ac:dyDescent="0.3">
      <c r="B87" s="288">
        <v>521211</v>
      </c>
      <c r="C87" s="220" t="s">
        <v>7</v>
      </c>
      <c r="D87" s="220"/>
      <c r="E87" s="220"/>
      <c r="F87" s="221">
        <v>46000000</v>
      </c>
      <c r="G87" s="221"/>
      <c r="H87" s="221"/>
      <c r="I87" s="221"/>
      <c r="J87" s="221"/>
      <c r="K87" s="221"/>
      <c r="L87" s="221"/>
      <c r="M87" s="221"/>
      <c r="N87" s="221"/>
      <c r="O87" s="221">
        <v>3987000</v>
      </c>
      <c r="P87" s="221"/>
      <c r="Q87" s="221"/>
      <c r="R87" s="221"/>
      <c r="S87" s="221"/>
      <c r="T87" s="221"/>
      <c r="U87" s="221">
        <v>29384740</v>
      </c>
      <c r="V87" s="221"/>
      <c r="W87" s="221"/>
      <c r="X87" s="221"/>
      <c r="Y87" s="221"/>
      <c r="Z87" s="221"/>
      <c r="AA87" s="221"/>
      <c r="AB87" s="221"/>
      <c r="AC87" s="221"/>
      <c r="AD87" s="221"/>
      <c r="AE87" s="221"/>
      <c r="AF87" s="221"/>
      <c r="AG87" s="221"/>
      <c r="AH87" s="221"/>
      <c r="AI87" s="221"/>
      <c r="AJ87" s="221"/>
      <c r="AK87" s="221"/>
      <c r="AL87" s="221"/>
      <c r="AM87" s="221"/>
      <c r="AN87" s="221"/>
      <c r="AO87" s="221"/>
      <c r="AP87" s="221"/>
      <c r="AQ87" s="221">
        <f t="shared" si="119"/>
        <v>33371740</v>
      </c>
      <c r="AR87" s="224">
        <f t="shared" si="120"/>
        <v>7.2547260869565222E-3</v>
      </c>
      <c r="AS87" s="225">
        <f t="shared" si="121"/>
        <v>12628260</v>
      </c>
      <c r="AT87" s="224">
        <f t="shared" si="122"/>
        <v>27.452739130434782</v>
      </c>
      <c r="AU87" s="220" t="s">
        <v>576</v>
      </c>
      <c r="AV87" s="220" t="s">
        <v>560</v>
      </c>
      <c r="AW87" s="220" t="s">
        <v>4732</v>
      </c>
      <c r="AX87" s="221"/>
      <c r="AY87" s="221">
        <v>3987000</v>
      </c>
      <c r="AZ87" s="302"/>
      <c r="BA87" s="221"/>
      <c r="BB87" s="221"/>
      <c r="BC87" s="221"/>
      <c r="BD87" s="221">
        <v>29384740</v>
      </c>
      <c r="BE87" s="221"/>
    </row>
    <row r="88" spans="2:59" x14ac:dyDescent="0.3">
      <c r="B88" s="288">
        <v>522141</v>
      </c>
      <c r="C88" s="220" t="s">
        <v>95</v>
      </c>
      <c r="D88" s="220"/>
      <c r="E88" s="220"/>
      <c r="F88" s="221">
        <v>6000000</v>
      </c>
      <c r="G88" s="221"/>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f t="shared" si="119"/>
        <v>0</v>
      </c>
      <c r="AR88" s="224">
        <f t="shared" si="120"/>
        <v>0</v>
      </c>
      <c r="AS88" s="225">
        <f t="shared" si="121"/>
        <v>6000000</v>
      </c>
      <c r="AT88" s="224">
        <f t="shared" si="122"/>
        <v>100</v>
      </c>
      <c r="AU88" s="220" t="s">
        <v>576</v>
      </c>
      <c r="AV88" s="220" t="s">
        <v>560</v>
      </c>
      <c r="AW88" s="220" t="s">
        <v>4732</v>
      </c>
      <c r="AX88" s="221"/>
      <c r="AY88" s="221"/>
      <c r="AZ88" s="302"/>
      <c r="BA88" s="221"/>
      <c r="BB88" s="221"/>
      <c r="BC88" s="221"/>
      <c r="BD88" s="221"/>
      <c r="BE88" s="221"/>
    </row>
    <row r="89" spans="2:59" x14ac:dyDescent="0.3">
      <c r="B89" s="288">
        <v>524111</v>
      </c>
      <c r="C89" s="220" t="s">
        <v>19</v>
      </c>
      <c r="D89" s="220"/>
      <c r="E89" s="220"/>
      <c r="F89" s="221">
        <v>18000000</v>
      </c>
      <c r="G89" s="221"/>
      <c r="H89" s="221"/>
      <c r="I89" s="221"/>
      <c r="J89" s="221"/>
      <c r="K89" s="221"/>
      <c r="L89" s="221"/>
      <c r="M89" s="221"/>
      <c r="N89" s="221"/>
      <c r="O89" s="221">
        <v>1290000</v>
      </c>
      <c r="P89" s="221"/>
      <c r="Q89" s="221"/>
      <c r="R89" s="221"/>
      <c r="S89" s="221"/>
      <c r="T89" s="221">
        <f>3300000+3720000</f>
        <v>7020000</v>
      </c>
      <c r="U89" s="221"/>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f t="shared" si="119"/>
        <v>8310000</v>
      </c>
      <c r="AR89" s="224">
        <f t="shared" si="120"/>
        <v>4.6166666666666665E-3</v>
      </c>
      <c r="AS89" s="225">
        <f t="shared" si="121"/>
        <v>9690000</v>
      </c>
      <c r="AT89" s="224">
        <f t="shared" si="122"/>
        <v>53.833333333333336</v>
      </c>
      <c r="AU89" s="220" t="s">
        <v>576</v>
      </c>
      <c r="AV89" s="220" t="s">
        <v>560</v>
      </c>
      <c r="AW89" s="220" t="s">
        <v>4732</v>
      </c>
      <c r="AX89" s="221"/>
      <c r="AY89" s="221">
        <v>1290000</v>
      </c>
      <c r="AZ89" s="302"/>
      <c r="BA89" s="221"/>
      <c r="BB89" s="221">
        <v>3300000</v>
      </c>
      <c r="BC89" s="221">
        <v>3720000</v>
      </c>
      <c r="BD89" s="221"/>
      <c r="BE89" s="221"/>
      <c r="BG89" t="s">
        <v>4644</v>
      </c>
    </row>
    <row r="90" spans="2:59" x14ac:dyDescent="0.3">
      <c r="B90" s="288">
        <v>524113</v>
      </c>
      <c r="C90" s="220" t="s">
        <v>13</v>
      </c>
      <c r="D90" s="220"/>
      <c r="E90" s="220"/>
      <c r="F90" s="221">
        <v>4500000</v>
      </c>
      <c r="G90" s="221"/>
      <c r="H90" s="221"/>
      <c r="I90" s="221"/>
      <c r="J90" s="221"/>
      <c r="K90" s="221"/>
      <c r="L90" s="221"/>
      <c r="M90" s="221"/>
      <c r="N90" s="221">
        <v>600000</v>
      </c>
      <c r="O90" s="221"/>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f t="shared" si="119"/>
        <v>600000</v>
      </c>
      <c r="AR90" s="224">
        <f t="shared" si="120"/>
        <v>1.3333333333333333E-3</v>
      </c>
      <c r="AS90" s="225">
        <f t="shared" si="121"/>
        <v>3900000</v>
      </c>
      <c r="AT90" s="224">
        <f t="shared" si="122"/>
        <v>86.666666666666671</v>
      </c>
      <c r="AU90" s="220" t="s">
        <v>576</v>
      </c>
      <c r="AV90" s="220" t="s">
        <v>560</v>
      </c>
      <c r="AW90" s="220" t="s">
        <v>4732</v>
      </c>
      <c r="AX90" s="221">
        <v>600000</v>
      </c>
      <c r="AY90" s="221"/>
      <c r="AZ90" s="302"/>
      <c r="BA90" s="221"/>
      <c r="BB90" s="221"/>
      <c r="BC90" s="221"/>
      <c r="BD90" s="221"/>
      <c r="BE90" s="221"/>
    </row>
    <row r="91" spans="2:59" x14ac:dyDescent="0.3">
      <c r="B91" s="290" t="s">
        <v>514</v>
      </c>
      <c r="C91" s="222" t="s">
        <v>151</v>
      </c>
      <c r="D91" s="222"/>
      <c r="E91" s="222"/>
      <c r="F91" s="223">
        <f t="shared" ref="F91:AP91" si="132">SUM(F92:F94)</f>
        <v>101050000</v>
      </c>
      <c r="G91" s="223">
        <f t="shared" si="132"/>
        <v>0</v>
      </c>
      <c r="H91" s="223">
        <f t="shared" si="132"/>
        <v>0</v>
      </c>
      <c r="I91" s="223">
        <f t="shared" si="132"/>
        <v>0</v>
      </c>
      <c r="J91" s="223">
        <f t="shared" si="132"/>
        <v>0</v>
      </c>
      <c r="K91" s="223">
        <f t="shared" si="132"/>
        <v>0</v>
      </c>
      <c r="L91" s="223">
        <f t="shared" si="132"/>
        <v>0</v>
      </c>
      <c r="M91" s="223">
        <f t="shared" si="132"/>
        <v>0</v>
      </c>
      <c r="N91" s="223">
        <f t="shared" si="132"/>
        <v>4907400</v>
      </c>
      <c r="O91" s="223">
        <f t="shared" si="132"/>
        <v>8779000</v>
      </c>
      <c r="P91" s="223">
        <f t="shared" si="132"/>
        <v>14352838</v>
      </c>
      <c r="Q91" s="223">
        <f t="shared" si="132"/>
        <v>1410000</v>
      </c>
      <c r="R91" s="223">
        <f t="shared" si="132"/>
        <v>0</v>
      </c>
      <c r="S91" s="223">
        <f t="shared" si="132"/>
        <v>0</v>
      </c>
      <c r="T91" s="223">
        <f t="shared" si="132"/>
        <v>0</v>
      </c>
      <c r="U91" s="223">
        <f t="shared" si="132"/>
        <v>3691500</v>
      </c>
      <c r="V91" s="223">
        <f t="shared" si="132"/>
        <v>0</v>
      </c>
      <c r="W91" s="223">
        <f t="shared" si="132"/>
        <v>0</v>
      </c>
      <c r="X91" s="223">
        <f t="shared" si="132"/>
        <v>0</v>
      </c>
      <c r="Y91" s="223">
        <f t="shared" si="132"/>
        <v>0</v>
      </c>
      <c r="Z91" s="223">
        <f t="shared" si="132"/>
        <v>0</v>
      </c>
      <c r="AA91" s="223">
        <f t="shared" si="132"/>
        <v>0</v>
      </c>
      <c r="AB91" s="223">
        <f t="shared" si="132"/>
        <v>0</v>
      </c>
      <c r="AC91" s="223">
        <f t="shared" si="132"/>
        <v>0</v>
      </c>
      <c r="AD91" s="223">
        <f t="shared" si="132"/>
        <v>0</v>
      </c>
      <c r="AE91" s="223">
        <f t="shared" si="132"/>
        <v>0</v>
      </c>
      <c r="AF91" s="223">
        <f t="shared" si="132"/>
        <v>0</v>
      </c>
      <c r="AG91" s="223">
        <f t="shared" si="132"/>
        <v>0</v>
      </c>
      <c r="AH91" s="223">
        <f t="shared" si="132"/>
        <v>0</v>
      </c>
      <c r="AI91" s="223">
        <f t="shared" si="132"/>
        <v>0</v>
      </c>
      <c r="AJ91" s="223">
        <f t="shared" si="132"/>
        <v>0</v>
      </c>
      <c r="AK91" s="223">
        <f t="shared" si="132"/>
        <v>0</v>
      </c>
      <c r="AL91" s="223">
        <f t="shared" si="132"/>
        <v>0</v>
      </c>
      <c r="AM91" s="223">
        <f t="shared" si="132"/>
        <v>0</v>
      </c>
      <c r="AN91" s="223">
        <f t="shared" si="132"/>
        <v>0</v>
      </c>
      <c r="AO91" s="223">
        <f t="shared" si="132"/>
        <v>0</v>
      </c>
      <c r="AP91" s="223">
        <f t="shared" si="132"/>
        <v>0</v>
      </c>
      <c r="AQ91" s="223">
        <f t="shared" si="119"/>
        <v>33140738</v>
      </c>
      <c r="AR91" s="231">
        <f t="shared" si="120"/>
        <v>3.2796376051459674E-3</v>
      </c>
      <c r="AS91" s="232">
        <f t="shared" si="121"/>
        <v>67909262</v>
      </c>
      <c r="AT91" s="231">
        <f t="shared" si="122"/>
        <v>67.203623948540326</v>
      </c>
      <c r="AU91" s="220" t="s">
        <v>576</v>
      </c>
      <c r="AV91" s="220" t="s">
        <v>560</v>
      </c>
      <c r="AW91" s="220" t="s">
        <v>4732</v>
      </c>
      <c r="AX91" s="223">
        <f t="shared" ref="AX91:BA91" si="133">SUM(AX92:AX94)</f>
        <v>4907400</v>
      </c>
      <c r="AY91" s="223">
        <f t="shared" si="133"/>
        <v>8779000</v>
      </c>
      <c r="AZ91" s="223">
        <f t="shared" si="133"/>
        <v>0</v>
      </c>
      <c r="BA91" s="223">
        <f t="shared" si="133"/>
        <v>1410000</v>
      </c>
      <c r="BB91" s="223">
        <f t="shared" ref="BB91" si="134">SUM(BB92:BB94)</f>
        <v>0</v>
      </c>
      <c r="BC91" s="223">
        <f t="shared" ref="BC91:BD91" si="135">SUM(BC92:BC94)</f>
        <v>0</v>
      </c>
      <c r="BD91" s="223">
        <f t="shared" si="135"/>
        <v>3691500</v>
      </c>
      <c r="BE91" s="223">
        <f t="shared" ref="BE91" si="136">SUM(BE92:BE94)</f>
        <v>0</v>
      </c>
    </row>
    <row r="92" spans="2:59" x14ac:dyDescent="0.3">
      <c r="B92" s="288">
        <v>521211</v>
      </c>
      <c r="C92" s="220" t="s">
        <v>7</v>
      </c>
      <c r="D92" s="220"/>
      <c r="E92" s="220"/>
      <c r="F92" s="221">
        <v>28000000</v>
      </c>
      <c r="G92" s="221"/>
      <c r="H92" s="221"/>
      <c r="I92" s="221"/>
      <c r="J92" s="221"/>
      <c r="K92" s="221"/>
      <c r="L92" s="221"/>
      <c r="M92" s="221"/>
      <c r="N92" s="221"/>
      <c r="O92" s="221">
        <v>5459000</v>
      </c>
      <c r="P92" s="221"/>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f t="shared" si="119"/>
        <v>5459000</v>
      </c>
      <c r="AR92" s="224">
        <f t="shared" si="120"/>
        <v>1.949642857142857E-3</v>
      </c>
      <c r="AS92" s="225">
        <f t="shared" si="121"/>
        <v>22541000</v>
      </c>
      <c r="AT92" s="224">
        <f t="shared" si="122"/>
        <v>80.503571428571433</v>
      </c>
      <c r="AU92" s="220" t="s">
        <v>576</v>
      </c>
      <c r="AV92" s="220" t="s">
        <v>560</v>
      </c>
      <c r="AW92" s="220" t="s">
        <v>4732</v>
      </c>
      <c r="AX92" s="221"/>
      <c r="AY92" s="221">
        <v>5459000</v>
      </c>
      <c r="AZ92" s="302"/>
      <c r="BA92" s="221"/>
      <c r="BB92" s="221"/>
      <c r="BC92" s="221"/>
      <c r="BD92" s="221"/>
      <c r="BE92" s="221"/>
    </row>
    <row r="93" spans="2:59" x14ac:dyDescent="0.3">
      <c r="B93" s="288">
        <v>524111</v>
      </c>
      <c r="C93" s="220" t="s">
        <v>19</v>
      </c>
      <c r="D93" s="220"/>
      <c r="E93" s="220"/>
      <c r="F93" s="221">
        <v>71250000</v>
      </c>
      <c r="G93" s="221"/>
      <c r="H93" s="221"/>
      <c r="I93" s="221"/>
      <c r="J93" s="221"/>
      <c r="K93" s="221"/>
      <c r="L93" s="221"/>
      <c r="M93" s="221"/>
      <c r="N93" s="221">
        <v>4907400</v>
      </c>
      <c r="O93" s="221">
        <v>3320000</v>
      </c>
      <c r="P93" s="221">
        <v>14352838</v>
      </c>
      <c r="Q93" s="221">
        <v>1410000</v>
      </c>
      <c r="R93" s="221"/>
      <c r="S93" s="221"/>
      <c r="T93" s="221"/>
      <c r="U93" s="221">
        <v>3691500</v>
      </c>
      <c r="V93" s="221"/>
      <c r="W93" s="221"/>
      <c r="X93" s="221"/>
      <c r="Y93" s="221"/>
      <c r="Z93" s="221"/>
      <c r="AA93" s="221"/>
      <c r="AB93" s="221"/>
      <c r="AC93" s="221"/>
      <c r="AD93" s="221"/>
      <c r="AE93" s="221"/>
      <c r="AF93" s="221"/>
      <c r="AG93" s="221"/>
      <c r="AH93" s="221"/>
      <c r="AI93" s="221"/>
      <c r="AJ93" s="221"/>
      <c r="AK93" s="221"/>
      <c r="AL93" s="221"/>
      <c r="AM93" s="221"/>
      <c r="AN93" s="221"/>
      <c r="AO93" s="221"/>
      <c r="AP93" s="221"/>
      <c r="AQ93" s="221">
        <f t="shared" si="119"/>
        <v>27681738</v>
      </c>
      <c r="AR93" s="224">
        <f t="shared" si="120"/>
        <v>3.8851562105263159E-3</v>
      </c>
      <c r="AS93" s="225">
        <f t="shared" si="121"/>
        <v>43568262</v>
      </c>
      <c r="AT93" s="224">
        <f t="shared" si="122"/>
        <v>61.148437894736837</v>
      </c>
      <c r="AU93" s="220" t="s">
        <v>576</v>
      </c>
      <c r="AV93" s="220" t="s">
        <v>560</v>
      </c>
      <c r="AW93" s="220" t="s">
        <v>4732</v>
      </c>
      <c r="AX93" s="221">
        <v>4907400</v>
      </c>
      <c r="AY93" s="221">
        <v>3320000</v>
      </c>
      <c r="AZ93" s="302"/>
      <c r="BA93" s="221">
        <v>1410000</v>
      </c>
      <c r="BB93" s="221"/>
      <c r="BC93" s="221"/>
      <c r="BD93" s="221">
        <v>3691500</v>
      </c>
      <c r="BE93" s="221"/>
    </row>
    <row r="94" spans="2:59" x14ac:dyDescent="0.3">
      <c r="B94" s="288">
        <v>524113</v>
      </c>
      <c r="C94" s="220" t="s">
        <v>13</v>
      </c>
      <c r="D94" s="220"/>
      <c r="E94" s="220"/>
      <c r="F94" s="221">
        <v>1800000</v>
      </c>
      <c r="G94" s="221"/>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f t="shared" si="119"/>
        <v>0</v>
      </c>
      <c r="AR94" s="224">
        <f t="shared" si="120"/>
        <v>0</v>
      </c>
      <c r="AS94" s="225">
        <f t="shared" si="121"/>
        <v>1800000</v>
      </c>
      <c r="AT94" s="224">
        <f t="shared" si="122"/>
        <v>100</v>
      </c>
      <c r="AU94" s="220" t="s">
        <v>576</v>
      </c>
      <c r="AV94" s="220" t="s">
        <v>560</v>
      </c>
      <c r="AW94" s="220" t="s">
        <v>4732</v>
      </c>
      <c r="AX94" s="221"/>
      <c r="AY94" s="221"/>
      <c r="AZ94" s="302"/>
      <c r="BA94" s="221"/>
      <c r="BB94" s="221"/>
      <c r="BC94" s="221"/>
      <c r="BD94" s="221"/>
      <c r="BE94" s="221"/>
    </row>
    <row r="95" spans="2:59" x14ac:dyDescent="0.3">
      <c r="B95" s="290" t="s">
        <v>519</v>
      </c>
      <c r="C95" s="222" t="s">
        <v>152</v>
      </c>
      <c r="D95" s="222"/>
      <c r="E95" s="222"/>
      <c r="F95" s="223">
        <f t="shared" ref="F95:AP95" si="137">SUM(F96:F101)</f>
        <v>411672000</v>
      </c>
      <c r="G95" s="223">
        <f t="shared" si="137"/>
        <v>0</v>
      </c>
      <c r="H95" s="223">
        <f t="shared" si="137"/>
        <v>0</v>
      </c>
      <c r="I95" s="223">
        <f t="shared" si="137"/>
        <v>0</v>
      </c>
      <c r="J95" s="223">
        <f t="shared" si="137"/>
        <v>0</v>
      </c>
      <c r="K95" s="223">
        <f t="shared" si="137"/>
        <v>0</v>
      </c>
      <c r="L95" s="223">
        <f t="shared" si="137"/>
        <v>0</v>
      </c>
      <c r="M95" s="223">
        <f t="shared" si="137"/>
        <v>0</v>
      </c>
      <c r="N95" s="223">
        <f t="shared" si="137"/>
        <v>13360000</v>
      </c>
      <c r="O95" s="223">
        <f t="shared" si="137"/>
        <v>74319450</v>
      </c>
      <c r="P95" s="223">
        <f t="shared" si="137"/>
        <v>3712700</v>
      </c>
      <c r="Q95" s="223">
        <f t="shared" si="137"/>
        <v>3229000</v>
      </c>
      <c r="R95" s="223">
        <f t="shared" si="137"/>
        <v>0</v>
      </c>
      <c r="S95" s="223">
        <f t="shared" si="137"/>
        <v>0</v>
      </c>
      <c r="T95" s="223">
        <f t="shared" si="137"/>
        <v>5608000</v>
      </c>
      <c r="U95" s="223">
        <f t="shared" si="137"/>
        <v>31126830</v>
      </c>
      <c r="V95" s="223">
        <f t="shared" si="137"/>
        <v>0</v>
      </c>
      <c r="W95" s="223">
        <f t="shared" si="137"/>
        <v>0</v>
      </c>
      <c r="X95" s="223">
        <f t="shared" si="137"/>
        <v>0</v>
      </c>
      <c r="Y95" s="223">
        <f t="shared" si="137"/>
        <v>0</v>
      </c>
      <c r="Z95" s="223">
        <f t="shared" si="137"/>
        <v>0</v>
      </c>
      <c r="AA95" s="223">
        <f t="shared" si="137"/>
        <v>0</v>
      </c>
      <c r="AB95" s="223">
        <f t="shared" si="137"/>
        <v>0</v>
      </c>
      <c r="AC95" s="223">
        <f t="shared" si="137"/>
        <v>0</v>
      </c>
      <c r="AD95" s="223">
        <f t="shared" si="137"/>
        <v>0</v>
      </c>
      <c r="AE95" s="223">
        <f t="shared" si="137"/>
        <v>0</v>
      </c>
      <c r="AF95" s="223">
        <f t="shared" si="137"/>
        <v>0</v>
      </c>
      <c r="AG95" s="223">
        <f t="shared" si="137"/>
        <v>0</v>
      </c>
      <c r="AH95" s="223">
        <f t="shared" si="137"/>
        <v>0</v>
      </c>
      <c r="AI95" s="223">
        <f t="shared" si="137"/>
        <v>0</v>
      </c>
      <c r="AJ95" s="223">
        <f t="shared" si="137"/>
        <v>0</v>
      </c>
      <c r="AK95" s="223">
        <f t="shared" si="137"/>
        <v>0</v>
      </c>
      <c r="AL95" s="223">
        <f t="shared" si="137"/>
        <v>0</v>
      </c>
      <c r="AM95" s="223">
        <f t="shared" si="137"/>
        <v>0</v>
      </c>
      <c r="AN95" s="223">
        <f t="shared" si="137"/>
        <v>0</v>
      </c>
      <c r="AO95" s="223">
        <f t="shared" si="137"/>
        <v>0</v>
      </c>
      <c r="AP95" s="223">
        <f t="shared" si="137"/>
        <v>0</v>
      </c>
      <c r="AQ95" s="223">
        <f t="shared" si="119"/>
        <v>131355980</v>
      </c>
      <c r="AR95" s="231">
        <f t="shared" si="120"/>
        <v>3.1907921840688704E-3</v>
      </c>
      <c r="AS95" s="232">
        <f t="shared" si="121"/>
        <v>280316020</v>
      </c>
      <c r="AT95" s="231">
        <f t="shared" si="122"/>
        <v>68.092078159311299</v>
      </c>
      <c r="AU95" s="220" t="s">
        <v>576</v>
      </c>
      <c r="AV95" s="220" t="s">
        <v>560</v>
      </c>
      <c r="AW95" s="220" t="s">
        <v>4732</v>
      </c>
      <c r="AX95" s="223">
        <f t="shared" ref="AX95:BA95" si="138">SUM(AX96:AX101)</f>
        <v>1560000</v>
      </c>
      <c r="AY95" s="223">
        <f t="shared" si="138"/>
        <v>74319450</v>
      </c>
      <c r="AZ95" s="223">
        <f t="shared" si="138"/>
        <v>11800000</v>
      </c>
      <c r="BA95" s="223">
        <f t="shared" si="138"/>
        <v>3229000</v>
      </c>
      <c r="BB95" s="223">
        <f t="shared" ref="BB95" si="139">SUM(BB96:BB101)</f>
        <v>1860000</v>
      </c>
      <c r="BC95" s="223">
        <f t="shared" ref="BC95:BD95" si="140">SUM(BC96:BC101)</f>
        <v>3748000</v>
      </c>
      <c r="BD95" s="223">
        <f t="shared" si="140"/>
        <v>31126830</v>
      </c>
      <c r="BE95" s="223">
        <f t="shared" ref="BE95" si="141">SUM(BE96:BE101)</f>
        <v>0</v>
      </c>
    </row>
    <row r="96" spans="2:59" x14ac:dyDescent="0.3">
      <c r="B96" s="288">
        <v>521211</v>
      </c>
      <c r="C96" s="220" t="s">
        <v>7</v>
      </c>
      <c r="D96" s="220"/>
      <c r="E96" s="220"/>
      <c r="F96" s="221">
        <v>57600000</v>
      </c>
      <c r="G96" s="221"/>
      <c r="H96" s="221"/>
      <c r="I96" s="221"/>
      <c r="J96" s="221"/>
      <c r="K96" s="221"/>
      <c r="L96" s="221"/>
      <c r="M96" s="221"/>
      <c r="N96" s="221"/>
      <c r="O96" s="221">
        <v>31495000</v>
      </c>
      <c r="P96" s="221"/>
      <c r="Q96" s="221"/>
      <c r="R96" s="221"/>
      <c r="S96" s="221"/>
      <c r="T96" s="221"/>
      <c r="U96" s="221">
        <v>6600000</v>
      </c>
      <c r="V96" s="221"/>
      <c r="W96" s="221"/>
      <c r="X96" s="221"/>
      <c r="Y96" s="221"/>
      <c r="Z96" s="221"/>
      <c r="AA96" s="221"/>
      <c r="AB96" s="221"/>
      <c r="AC96" s="221"/>
      <c r="AD96" s="221"/>
      <c r="AE96" s="221"/>
      <c r="AF96" s="221"/>
      <c r="AG96" s="221"/>
      <c r="AH96" s="221"/>
      <c r="AI96" s="221"/>
      <c r="AJ96" s="221"/>
      <c r="AK96" s="221"/>
      <c r="AL96" s="221"/>
      <c r="AM96" s="221"/>
      <c r="AN96" s="221"/>
      <c r="AO96" s="221"/>
      <c r="AP96" s="221"/>
      <c r="AQ96" s="221">
        <f t="shared" si="119"/>
        <v>38095000</v>
      </c>
      <c r="AR96" s="224">
        <f t="shared" si="120"/>
        <v>6.6137152777777774E-3</v>
      </c>
      <c r="AS96" s="225">
        <f t="shared" si="121"/>
        <v>19505000</v>
      </c>
      <c r="AT96" s="224">
        <f t="shared" si="122"/>
        <v>33.862847222222221</v>
      </c>
      <c r="AU96" s="220" t="s">
        <v>576</v>
      </c>
      <c r="AV96" s="220" t="s">
        <v>560</v>
      </c>
      <c r="AW96" s="220" t="s">
        <v>4732</v>
      </c>
      <c r="AX96" s="221"/>
      <c r="AY96" s="221">
        <v>31495000</v>
      </c>
      <c r="AZ96" s="302"/>
      <c r="BA96" s="221"/>
      <c r="BB96" s="221"/>
      <c r="BC96" s="221"/>
      <c r="BD96" s="221">
        <v>6600000</v>
      </c>
      <c r="BE96" s="221"/>
    </row>
    <row r="97" spans="2:57" x14ac:dyDescent="0.3">
      <c r="B97" s="288">
        <v>521241</v>
      </c>
      <c r="C97" s="220" t="s">
        <v>642</v>
      </c>
      <c r="D97" s="220"/>
      <c r="E97" s="220"/>
      <c r="F97" s="221">
        <v>226200000</v>
      </c>
      <c r="G97" s="221"/>
      <c r="H97" s="221"/>
      <c r="I97" s="221"/>
      <c r="J97" s="221"/>
      <c r="K97" s="221"/>
      <c r="L97" s="221"/>
      <c r="M97" s="221"/>
      <c r="N97" s="302">
        <v>11800000</v>
      </c>
      <c r="O97" s="221">
        <v>35332450</v>
      </c>
      <c r="P97" s="221"/>
      <c r="Q97" s="221"/>
      <c r="R97" s="221"/>
      <c r="S97" s="221"/>
      <c r="T97" s="221"/>
      <c r="U97" s="221">
        <v>20031830</v>
      </c>
      <c r="V97" s="221"/>
      <c r="W97" s="221"/>
      <c r="X97" s="221"/>
      <c r="Y97" s="221"/>
      <c r="Z97" s="221"/>
      <c r="AA97" s="221"/>
      <c r="AB97" s="221"/>
      <c r="AC97" s="221"/>
      <c r="AD97" s="221"/>
      <c r="AE97" s="221"/>
      <c r="AF97" s="221"/>
      <c r="AG97" s="221"/>
      <c r="AH97" s="221"/>
      <c r="AI97" s="221"/>
      <c r="AJ97" s="221"/>
      <c r="AK97" s="221"/>
      <c r="AL97" s="221"/>
      <c r="AM97" s="221"/>
      <c r="AN97" s="221"/>
      <c r="AO97" s="221"/>
      <c r="AP97" s="221"/>
      <c r="AQ97" s="221">
        <f t="shared" si="119"/>
        <v>67164280</v>
      </c>
      <c r="AR97" s="224">
        <f t="shared" si="120"/>
        <v>2.9692431476569408E-3</v>
      </c>
      <c r="AS97" s="225">
        <f t="shared" si="121"/>
        <v>159035720</v>
      </c>
      <c r="AT97" s="224">
        <f t="shared" si="122"/>
        <v>70.307568523430604</v>
      </c>
      <c r="AU97" s="220" t="s">
        <v>576</v>
      </c>
      <c r="AV97" s="220" t="s">
        <v>560</v>
      </c>
      <c r="AW97" s="220" t="s">
        <v>4732</v>
      </c>
      <c r="AX97" s="221"/>
      <c r="AY97" s="221">
        <v>35332450</v>
      </c>
      <c r="AZ97" s="302">
        <v>11800000</v>
      </c>
      <c r="BA97" s="221"/>
      <c r="BB97" s="221"/>
      <c r="BC97" s="221"/>
      <c r="BD97" s="221">
        <v>20031830</v>
      </c>
      <c r="BE97" s="221"/>
    </row>
    <row r="98" spans="2:57" x14ac:dyDescent="0.3">
      <c r="B98" s="288">
        <v>522191</v>
      </c>
      <c r="C98" s="220" t="s">
        <v>22</v>
      </c>
      <c r="D98" s="220"/>
      <c r="E98" s="220"/>
      <c r="F98" s="221">
        <v>35000000</v>
      </c>
      <c r="G98" s="221"/>
      <c r="H98" s="221"/>
      <c r="I98" s="221"/>
      <c r="J98" s="221"/>
      <c r="K98" s="221"/>
      <c r="L98" s="221"/>
      <c r="M98" s="221"/>
      <c r="N98" s="302"/>
      <c r="O98" s="221"/>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4"/>
      <c r="AS98" s="225"/>
      <c r="AT98" s="224"/>
      <c r="AU98" s="220" t="s">
        <v>576</v>
      </c>
      <c r="AV98" s="220" t="s">
        <v>560</v>
      </c>
      <c r="AW98" s="220" t="s">
        <v>4732</v>
      </c>
      <c r="AX98" s="221"/>
      <c r="AY98" s="221"/>
      <c r="AZ98" s="302"/>
      <c r="BA98" s="221"/>
      <c r="BB98" s="221"/>
      <c r="BC98" s="221"/>
      <c r="BD98" s="221"/>
      <c r="BE98" s="221"/>
    </row>
    <row r="99" spans="2:57" x14ac:dyDescent="0.3">
      <c r="B99" s="288">
        <v>522192</v>
      </c>
      <c r="C99" s="220" t="s">
        <v>24</v>
      </c>
      <c r="D99" s="220"/>
      <c r="E99" s="220"/>
      <c r="F99" s="221">
        <v>48000000</v>
      </c>
      <c r="G99" s="221"/>
      <c r="H99" s="221"/>
      <c r="I99" s="221"/>
      <c r="J99" s="221"/>
      <c r="K99" s="221"/>
      <c r="L99" s="221"/>
      <c r="M99" s="221"/>
      <c r="N99" s="221"/>
      <c r="O99" s="221">
        <v>802000</v>
      </c>
      <c r="P99" s="221"/>
      <c r="Q99" s="221">
        <v>3229000</v>
      </c>
      <c r="R99" s="221"/>
      <c r="S99" s="221"/>
      <c r="T99" s="221"/>
      <c r="U99" s="221">
        <v>215000</v>
      </c>
      <c r="V99" s="221"/>
      <c r="W99" s="221"/>
      <c r="X99" s="221"/>
      <c r="Y99" s="221"/>
      <c r="Z99" s="221"/>
      <c r="AA99" s="221"/>
      <c r="AB99" s="221"/>
      <c r="AC99" s="221"/>
      <c r="AD99" s="221"/>
      <c r="AE99" s="221"/>
      <c r="AF99" s="221"/>
      <c r="AG99" s="221"/>
      <c r="AH99" s="221"/>
      <c r="AI99" s="221"/>
      <c r="AJ99" s="221"/>
      <c r="AK99" s="221"/>
      <c r="AL99" s="221"/>
      <c r="AM99" s="221"/>
      <c r="AN99" s="221"/>
      <c r="AO99" s="221"/>
      <c r="AP99" s="221"/>
      <c r="AQ99" s="221">
        <f t="shared" si="119"/>
        <v>4246000</v>
      </c>
      <c r="AR99" s="224">
        <f>AQ99/F99/100</f>
        <v>8.8458333333333336E-4</v>
      </c>
      <c r="AS99" s="225">
        <f t="shared" si="121"/>
        <v>43754000</v>
      </c>
      <c r="AT99" s="224">
        <f t="shared" si="122"/>
        <v>91.154166666666669</v>
      </c>
      <c r="AU99" s="220" t="s">
        <v>576</v>
      </c>
      <c r="AV99" s="220" t="s">
        <v>560</v>
      </c>
      <c r="AW99" s="220" t="s">
        <v>4732</v>
      </c>
      <c r="AX99" s="221"/>
      <c r="AY99" s="221">
        <v>802000</v>
      </c>
      <c r="AZ99" s="302"/>
      <c r="BA99" s="221">
        <v>3229000</v>
      </c>
      <c r="BB99" s="221"/>
      <c r="BC99" s="221"/>
      <c r="BD99" s="221">
        <v>215000</v>
      </c>
      <c r="BE99" s="221"/>
    </row>
    <row r="100" spans="2:57" x14ac:dyDescent="0.3">
      <c r="B100" s="288">
        <v>524111</v>
      </c>
      <c r="C100" s="220" t="s">
        <v>19</v>
      </c>
      <c r="D100" s="220"/>
      <c r="E100" s="220"/>
      <c r="F100" s="221">
        <v>42772000</v>
      </c>
      <c r="G100" s="221"/>
      <c r="H100" s="221"/>
      <c r="I100" s="221"/>
      <c r="J100" s="221"/>
      <c r="K100" s="221"/>
      <c r="L100" s="221"/>
      <c r="M100" s="221"/>
      <c r="N100" s="221">
        <v>1560000</v>
      </c>
      <c r="O100" s="221">
        <v>6690000</v>
      </c>
      <c r="P100" s="221">
        <v>3712700</v>
      </c>
      <c r="Q100" s="221"/>
      <c r="R100" s="221"/>
      <c r="S100" s="221"/>
      <c r="T100" s="221">
        <f>1860000+3748000</f>
        <v>5608000</v>
      </c>
      <c r="U100" s="221">
        <v>4280000</v>
      </c>
      <c r="V100" s="221"/>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f t="shared" si="119"/>
        <v>21850700</v>
      </c>
      <c r="AR100" s="224">
        <f>AQ100/F100/100</f>
        <v>5.1086458430749096E-3</v>
      </c>
      <c r="AS100" s="225">
        <f t="shared" si="121"/>
        <v>20921300</v>
      </c>
      <c r="AT100" s="224">
        <f t="shared" si="122"/>
        <v>48.91354156925091</v>
      </c>
      <c r="AU100" s="220" t="s">
        <v>576</v>
      </c>
      <c r="AV100" s="220" t="s">
        <v>560</v>
      </c>
      <c r="AW100" s="220" t="s">
        <v>4732</v>
      </c>
      <c r="AX100" s="221">
        <v>1560000</v>
      </c>
      <c r="AY100" s="221">
        <v>6690000</v>
      </c>
      <c r="AZ100" s="302"/>
      <c r="BA100" s="221"/>
      <c r="BB100" s="221">
        <v>1860000</v>
      </c>
      <c r="BC100" s="221">
        <v>3748000</v>
      </c>
      <c r="BD100" s="221">
        <v>4280000</v>
      </c>
      <c r="BE100" s="221"/>
    </row>
    <row r="101" spans="2:57" x14ac:dyDescent="0.3">
      <c r="B101" s="288">
        <v>524113</v>
      </c>
      <c r="C101" s="220" t="s">
        <v>13</v>
      </c>
      <c r="D101" s="220"/>
      <c r="E101" s="220"/>
      <c r="F101" s="221">
        <v>2100000</v>
      </c>
      <c r="G101" s="221"/>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f t="shared" si="119"/>
        <v>0</v>
      </c>
      <c r="AR101" s="224">
        <f>AQ101/F101/100</f>
        <v>0</v>
      </c>
      <c r="AS101" s="225">
        <f t="shared" si="121"/>
        <v>2100000</v>
      </c>
      <c r="AT101" s="224">
        <f t="shared" si="122"/>
        <v>100</v>
      </c>
      <c r="AU101" s="220" t="s">
        <v>576</v>
      </c>
      <c r="AV101" s="220" t="s">
        <v>560</v>
      </c>
      <c r="AW101" s="220" t="s">
        <v>4732</v>
      </c>
      <c r="AX101" s="221"/>
      <c r="AY101" s="221"/>
      <c r="AZ101" s="302"/>
      <c r="BA101" s="221"/>
      <c r="BB101" s="221"/>
      <c r="BC101" s="221"/>
      <c r="BD101" s="221"/>
      <c r="BE101" s="221"/>
    </row>
    <row r="102" spans="2:57" x14ac:dyDescent="0.3">
      <c r="B102" s="290" t="s">
        <v>578</v>
      </c>
      <c r="C102" s="222" t="s">
        <v>154</v>
      </c>
      <c r="D102" s="222"/>
      <c r="E102" s="222"/>
      <c r="F102" s="223">
        <f t="shared" ref="F102:AP102" si="142">SUM(F103:F107)</f>
        <v>450000000</v>
      </c>
      <c r="G102" s="223">
        <f t="shared" si="142"/>
        <v>0</v>
      </c>
      <c r="H102" s="223">
        <f t="shared" si="142"/>
        <v>0</v>
      </c>
      <c r="I102" s="223">
        <f t="shared" si="142"/>
        <v>0</v>
      </c>
      <c r="J102" s="223">
        <f t="shared" si="142"/>
        <v>0</v>
      </c>
      <c r="K102" s="223">
        <f t="shared" si="142"/>
        <v>0</v>
      </c>
      <c r="L102" s="223">
        <f t="shared" si="142"/>
        <v>0</v>
      </c>
      <c r="M102" s="223">
        <f t="shared" si="142"/>
        <v>0</v>
      </c>
      <c r="N102" s="223">
        <f t="shared" si="142"/>
        <v>1743940</v>
      </c>
      <c r="O102" s="223">
        <f t="shared" si="142"/>
        <v>2949500</v>
      </c>
      <c r="P102" s="223">
        <f t="shared" si="142"/>
        <v>0</v>
      </c>
      <c r="Q102" s="223">
        <f t="shared" si="142"/>
        <v>0</v>
      </c>
      <c r="R102" s="223">
        <f t="shared" si="142"/>
        <v>0</v>
      </c>
      <c r="S102" s="223">
        <f t="shared" si="142"/>
        <v>0</v>
      </c>
      <c r="T102" s="223">
        <f t="shared" si="142"/>
        <v>3603218</v>
      </c>
      <c r="U102" s="223">
        <f t="shared" si="142"/>
        <v>0</v>
      </c>
      <c r="V102" s="223">
        <f t="shared" si="142"/>
        <v>5350700</v>
      </c>
      <c r="W102" s="223">
        <f t="shared" si="142"/>
        <v>0</v>
      </c>
      <c r="X102" s="223">
        <f t="shared" si="142"/>
        <v>0</v>
      </c>
      <c r="Y102" s="223">
        <f t="shared" si="142"/>
        <v>0</v>
      </c>
      <c r="Z102" s="223">
        <f t="shared" si="142"/>
        <v>0</v>
      </c>
      <c r="AA102" s="223">
        <f t="shared" si="142"/>
        <v>0</v>
      </c>
      <c r="AB102" s="223">
        <f t="shared" si="142"/>
        <v>0</v>
      </c>
      <c r="AC102" s="223">
        <f t="shared" si="142"/>
        <v>0</v>
      </c>
      <c r="AD102" s="223">
        <f t="shared" si="142"/>
        <v>0</v>
      </c>
      <c r="AE102" s="223">
        <f t="shared" si="142"/>
        <v>0</v>
      </c>
      <c r="AF102" s="223">
        <f t="shared" si="142"/>
        <v>0</v>
      </c>
      <c r="AG102" s="223">
        <f t="shared" si="142"/>
        <v>0</v>
      </c>
      <c r="AH102" s="223">
        <f t="shared" si="142"/>
        <v>0</v>
      </c>
      <c r="AI102" s="223">
        <f t="shared" si="142"/>
        <v>0</v>
      </c>
      <c r="AJ102" s="223">
        <f t="shared" si="142"/>
        <v>0</v>
      </c>
      <c r="AK102" s="223">
        <f t="shared" si="142"/>
        <v>0</v>
      </c>
      <c r="AL102" s="223">
        <f t="shared" si="142"/>
        <v>0</v>
      </c>
      <c r="AM102" s="223">
        <f t="shared" si="142"/>
        <v>0</v>
      </c>
      <c r="AN102" s="223">
        <f t="shared" si="142"/>
        <v>0</v>
      </c>
      <c r="AO102" s="223">
        <f t="shared" si="142"/>
        <v>0</v>
      </c>
      <c r="AP102" s="223">
        <f t="shared" si="142"/>
        <v>0</v>
      </c>
      <c r="AQ102" s="223">
        <f t="shared" si="119"/>
        <v>13647358</v>
      </c>
      <c r="AR102" s="231">
        <f t="shared" ref="AR102:AR127" si="143">AQ102/F102/100</f>
        <v>3.0327462222222223E-4</v>
      </c>
      <c r="AS102" s="232">
        <f t="shared" si="121"/>
        <v>436352642</v>
      </c>
      <c r="AT102" s="231">
        <f>AS102/F102*100</f>
        <v>96.967253777777771</v>
      </c>
      <c r="AU102" s="220" t="s">
        <v>535</v>
      </c>
      <c r="AV102" s="220" t="s">
        <v>538</v>
      </c>
      <c r="AW102" s="220" t="s">
        <v>4732</v>
      </c>
      <c r="AX102" s="223">
        <f t="shared" ref="AX102:BA102" si="144">SUM(AX103:AX107)</f>
        <v>0</v>
      </c>
      <c r="AY102" s="223">
        <f t="shared" si="144"/>
        <v>2949500</v>
      </c>
      <c r="AZ102" s="223">
        <f t="shared" si="144"/>
        <v>1743940</v>
      </c>
      <c r="BA102" s="223">
        <f t="shared" si="144"/>
        <v>0</v>
      </c>
      <c r="BB102" s="223">
        <f t="shared" ref="BB102" si="145">SUM(BB103:BB107)</f>
        <v>3351204</v>
      </c>
      <c r="BC102" s="223">
        <f t="shared" ref="BC102:BD102" si="146">SUM(BC103:BC107)</f>
        <v>252014</v>
      </c>
      <c r="BD102" s="223">
        <f t="shared" si="146"/>
        <v>0</v>
      </c>
      <c r="BE102" s="223">
        <f t="shared" ref="BE102" si="147">SUM(BE103:BE107)</f>
        <v>0</v>
      </c>
    </row>
    <row r="103" spans="2:57" x14ac:dyDescent="0.3">
      <c r="B103" s="288">
        <v>521211</v>
      </c>
      <c r="C103" s="220" t="s">
        <v>7</v>
      </c>
      <c r="D103" s="220"/>
      <c r="E103" s="220"/>
      <c r="F103" s="221">
        <v>32000000</v>
      </c>
      <c r="G103" s="221"/>
      <c r="H103" s="221"/>
      <c r="I103" s="221"/>
      <c r="J103" s="221"/>
      <c r="K103" s="221"/>
      <c r="L103" s="221"/>
      <c r="M103" s="221"/>
      <c r="N103" s="302">
        <v>1499700</v>
      </c>
      <c r="O103" s="221">
        <v>2499500</v>
      </c>
      <c r="P103" s="221"/>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f t="shared" si="119"/>
        <v>3999200</v>
      </c>
      <c r="AR103" s="224">
        <f t="shared" si="143"/>
        <v>1.24975E-3</v>
      </c>
      <c r="AS103" s="225">
        <f t="shared" si="121"/>
        <v>28000800</v>
      </c>
      <c r="AT103" s="224">
        <f t="shared" si="122"/>
        <v>87.502500000000012</v>
      </c>
      <c r="AU103" s="220" t="s">
        <v>535</v>
      </c>
      <c r="AV103" s="220" t="s">
        <v>538</v>
      </c>
      <c r="AW103" s="220" t="s">
        <v>4732</v>
      </c>
      <c r="AX103" s="221"/>
      <c r="AY103" s="221">
        <v>2499500</v>
      </c>
      <c r="AZ103" s="302">
        <v>1499700</v>
      </c>
      <c r="BA103" s="221"/>
      <c r="BB103" s="221"/>
      <c r="BC103" s="221"/>
      <c r="BD103" s="221"/>
      <c r="BE103" s="221"/>
    </row>
    <row r="104" spans="2:57" x14ac:dyDescent="0.3">
      <c r="B104" s="288">
        <v>521219</v>
      </c>
      <c r="C104" s="220" t="s">
        <v>53</v>
      </c>
      <c r="D104" s="220"/>
      <c r="E104" s="220"/>
      <c r="F104" s="221">
        <v>298141000</v>
      </c>
      <c r="G104" s="221"/>
      <c r="H104" s="221"/>
      <c r="I104" s="221"/>
      <c r="J104" s="221"/>
      <c r="K104" s="221"/>
      <c r="L104" s="221"/>
      <c r="M104" s="221"/>
      <c r="N104" s="302">
        <v>244240</v>
      </c>
      <c r="O104" s="221">
        <v>450000</v>
      </c>
      <c r="P104" s="221"/>
      <c r="Q104" s="221"/>
      <c r="R104" s="221"/>
      <c r="S104" s="221"/>
      <c r="T104" s="221">
        <f>3351204+252014</f>
        <v>3603218</v>
      </c>
      <c r="U104" s="221"/>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f t="shared" si="119"/>
        <v>4297458</v>
      </c>
      <c r="AR104" s="224">
        <f t="shared" si="143"/>
        <v>1.4414179867914845E-4</v>
      </c>
      <c r="AS104" s="225">
        <f t="shared" si="121"/>
        <v>293843542</v>
      </c>
      <c r="AT104" s="224">
        <f>AS104/F104*100</f>
        <v>98.558582013208522</v>
      </c>
      <c r="AU104" s="220" t="s">
        <v>535</v>
      </c>
      <c r="AV104" s="220" t="s">
        <v>538</v>
      </c>
      <c r="AW104" s="220" t="s">
        <v>4732</v>
      </c>
      <c r="AX104" s="221"/>
      <c r="AY104" s="221">
        <v>450000</v>
      </c>
      <c r="AZ104" s="302">
        <v>244240</v>
      </c>
      <c r="BA104" s="221"/>
      <c r="BB104" s="221">
        <v>3351204</v>
      </c>
      <c r="BC104" s="221">
        <v>252014</v>
      </c>
      <c r="BD104" s="221"/>
      <c r="BE104" s="221"/>
    </row>
    <row r="105" spans="2:57" x14ac:dyDescent="0.3">
      <c r="B105" s="288">
        <v>522151</v>
      </c>
      <c r="C105" s="220" t="s">
        <v>11</v>
      </c>
      <c r="D105" s="220"/>
      <c r="E105" s="220"/>
      <c r="F105" s="221">
        <v>30000000</v>
      </c>
      <c r="G105" s="221"/>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f t="shared" si="119"/>
        <v>0</v>
      </c>
      <c r="AR105" s="224">
        <f t="shared" si="143"/>
        <v>0</v>
      </c>
      <c r="AS105" s="225">
        <f t="shared" si="121"/>
        <v>30000000</v>
      </c>
      <c r="AT105" s="224">
        <f t="shared" si="122"/>
        <v>100</v>
      </c>
      <c r="AU105" s="220" t="s">
        <v>535</v>
      </c>
      <c r="AV105" s="220" t="s">
        <v>538</v>
      </c>
      <c r="AW105" s="220" t="s">
        <v>4732</v>
      </c>
      <c r="AX105" s="221"/>
      <c r="AY105" s="221"/>
      <c r="AZ105" s="302"/>
      <c r="BA105" s="221"/>
      <c r="BB105" s="221"/>
      <c r="BC105" s="221"/>
      <c r="BD105" s="221"/>
      <c r="BE105" s="221"/>
    </row>
    <row r="106" spans="2:57" x14ac:dyDescent="0.3">
      <c r="B106" s="288">
        <v>522192</v>
      </c>
      <c r="C106" s="220" t="s">
        <v>24</v>
      </c>
      <c r="D106" s="220"/>
      <c r="E106" s="220"/>
      <c r="F106" s="221">
        <v>8000000</v>
      </c>
      <c r="G106" s="221"/>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f t="shared" si="119"/>
        <v>0</v>
      </c>
      <c r="AR106" s="224">
        <f t="shared" si="143"/>
        <v>0</v>
      </c>
      <c r="AS106" s="225">
        <f t="shared" si="121"/>
        <v>8000000</v>
      </c>
      <c r="AT106" s="224">
        <f t="shared" si="122"/>
        <v>100</v>
      </c>
      <c r="AU106" s="220" t="s">
        <v>535</v>
      </c>
      <c r="AV106" s="220" t="s">
        <v>538</v>
      </c>
      <c r="AW106" s="220" t="s">
        <v>4732</v>
      </c>
      <c r="AX106" s="221"/>
      <c r="AY106" s="221"/>
      <c r="AZ106" s="302"/>
      <c r="BA106" s="221"/>
      <c r="BB106" s="221"/>
      <c r="BC106" s="221"/>
      <c r="BD106" s="221"/>
      <c r="BE106" s="221"/>
    </row>
    <row r="107" spans="2:57" x14ac:dyDescent="0.3">
      <c r="B107" s="288">
        <v>524111</v>
      </c>
      <c r="C107" s="220" t="s">
        <v>19</v>
      </c>
      <c r="D107" s="220"/>
      <c r="E107" s="220"/>
      <c r="F107" s="221">
        <v>81859000</v>
      </c>
      <c r="G107" s="221"/>
      <c r="H107" s="221"/>
      <c r="I107" s="221"/>
      <c r="J107" s="221"/>
      <c r="K107" s="221"/>
      <c r="L107" s="221"/>
      <c r="M107" s="221"/>
      <c r="N107" s="221"/>
      <c r="O107" s="221"/>
      <c r="P107" s="221"/>
      <c r="Q107" s="221"/>
      <c r="R107" s="221"/>
      <c r="S107" s="221"/>
      <c r="T107" s="221"/>
      <c r="U107" s="221"/>
      <c r="V107" s="221">
        <f>1650000+3700700</f>
        <v>5350700</v>
      </c>
      <c r="W107" s="221"/>
      <c r="X107" s="221"/>
      <c r="Y107" s="221"/>
      <c r="Z107" s="221"/>
      <c r="AA107" s="221"/>
      <c r="AB107" s="221"/>
      <c r="AC107" s="221"/>
      <c r="AD107" s="221"/>
      <c r="AE107" s="221"/>
      <c r="AF107" s="221"/>
      <c r="AG107" s="221"/>
      <c r="AH107" s="221"/>
      <c r="AI107" s="221"/>
      <c r="AJ107" s="221"/>
      <c r="AK107" s="221"/>
      <c r="AL107" s="221"/>
      <c r="AM107" s="221"/>
      <c r="AN107" s="221"/>
      <c r="AO107" s="221"/>
      <c r="AP107" s="221"/>
      <c r="AQ107" s="221">
        <f t="shared" si="119"/>
        <v>5350700</v>
      </c>
      <c r="AR107" s="224">
        <f t="shared" si="143"/>
        <v>6.5364834654711148E-4</v>
      </c>
      <c r="AS107" s="225">
        <f t="shared" si="121"/>
        <v>76508300</v>
      </c>
      <c r="AT107" s="224">
        <f t="shared" si="122"/>
        <v>93.463516534528893</v>
      </c>
      <c r="AU107" s="220" t="s">
        <v>535</v>
      </c>
      <c r="AV107" s="220" t="s">
        <v>538</v>
      </c>
      <c r="AW107" s="220" t="s">
        <v>4732</v>
      </c>
      <c r="AX107" s="221"/>
      <c r="AY107" s="221"/>
      <c r="AZ107" s="302"/>
      <c r="BA107" s="221"/>
      <c r="BB107" s="221"/>
      <c r="BC107" s="221"/>
      <c r="BD107" s="221"/>
      <c r="BE107" s="221"/>
    </row>
    <row r="108" spans="2:57" x14ac:dyDescent="0.3">
      <c r="B108" s="290" t="s">
        <v>579</v>
      </c>
      <c r="C108" s="222" t="s">
        <v>56</v>
      </c>
      <c r="D108" s="222"/>
      <c r="E108" s="222"/>
      <c r="F108" s="223">
        <f t="shared" ref="F108:AP108" si="148">SUM(F109:F112)</f>
        <v>350000000</v>
      </c>
      <c r="G108" s="223">
        <f t="shared" si="148"/>
        <v>0</v>
      </c>
      <c r="H108" s="223">
        <f t="shared" si="148"/>
        <v>0</v>
      </c>
      <c r="I108" s="223">
        <f t="shared" si="148"/>
        <v>0</v>
      </c>
      <c r="J108" s="223">
        <f t="shared" si="148"/>
        <v>0</v>
      </c>
      <c r="K108" s="223">
        <f t="shared" si="148"/>
        <v>0</v>
      </c>
      <c r="L108" s="223">
        <f t="shared" si="148"/>
        <v>0</v>
      </c>
      <c r="M108" s="223">
        <f t="shared" si="148"/>
        <v>0</v>
      </c>
      <c r="N108" s="223">
        <f t="shared" si="148"/>
        <v>3173213</v>
      </c>
      <c r="O108" s="223">
        <f t="shared" si="148"/>
        <v>3236994</v>
      </c>
      <c r="P108" s="223">
        <f t="shared" si="148"/>
        <v>1000000</v>
      </c>
      <c r="Q108" s="223">
        <f t="shared" si="148"/>
        <v>0</v>
      </c>
      <c r="R108" s="223">
        <f t="shared" si="148"/>
        <v>0</v>
      </c>
      <c r="S108" s="223">
        <f t="shared" si="148"/>
        <v>19414000</v>
      </c>
      <c r="T108" s="223">
        <f t="shared" si="148"/>
        <v>8092833</v>
      </c>
      <c r="U108" s="223">
        <f t="shared" si="148"/>
        <v>12845223</v>
      </c>
      <c r="V108" s="223">
        <f t="shared" si="148"/>
        <v>30535327</v>
      </c>
      <c r="W108" s="223">
        <f t="shared" si="148"/>
        <v>0</v>
      </c>
      <c r="X108" s="223">
        <f t="shared" si="148"/>
        <v>0</v>
      </c>
      <c r="Y108" s="223">
        <f t="shared" si="148"/>
        <v>0</v>
      </c>
      <c r="Z108" s="223">
        <f t="shared" si="148"/>
        <v>0</v>
      </c>
      <c r="AA108" s="223">
        <f t="shared" si="148"/>
        <v>0</v>
      </c>
      <c r="AB108" s="223">
        <f t="shared" si="148"/>
        <v>0</v>
      </c>
      <c r="AC108" s="223">
        <f t="shared" si="148"/>
        <v>0</v>
      </c>
      <c r="AD108" s="223">
        <f t="shared" si="148"/>
        <v>0</v>
      </c>
      <c r="AE108" s="223">
        <f t="shared" si="148"/>
        <v>0</v>
      </c>
      <c r="AF108" s="223">
        <f t="shared" si="148"/>
        <v>0</v>
      </c>
      <c r="AG108" s="223">
        <f t="shared" si="148"/>
        <v>0</v>
      </c>
      <c r="AH108" s="223">
        <f t="shared" si="148"/>
        <v>0</v>
      </c>
      <c r="AI108" s="223">
        <f t="shared" si="148"/>
        <v>0</v>
      </c>
      <c r="AJ108" s="223">
        <f t="shared" si="148"/>
        <v>0</v>
      </c>
      <c r="AK108" s="223">
        <f t="shared" si="148"/>
        <v>0</v>
      </c>
      <c r="AL108" s="223">
        <f t="shared" si="148"/>
        <v>0</v>
      </c>
      <c r="AM108" s="223">
        <f t="shared" si="148"/>
        <v>0</v>
      </c>
      <c r="AN108" s="223">
        <f t="shared" si="148"/>
        <v>0</v>
      </c>
      <c r="AO108" s="223">
        <f t="shared" si="148"/>
        <v>0</v>
      </c>
      <c r="AP108" s="223">
        <f t="shared" si="148"/>
        <v>0</v>
      </c>
      <c r="AQ108" s="223">
        <f t="shared" si="119"/>
        <v>78297590</v>
      </c>
      <c r="AR108" s="231">
        <f t="shared" si="143"/>
        <v>2.2370739999999999E-3</v>
      </c>
      <c r="AS108" s="232">
        <f t="shared" si="121"/>
        <v>271702410</v>
      </c>
      <c r="AT108" s="231">
        <f t="shared" si="122"/>
        <v>77.629260000000002</v>
      </c>
      <c r="AU108" s="220" t="s">
        <v>531</v>
      </c>
      <c r="AV108" s="220" t="s">
        <v>532</v>
      </c>
      <c r="AW108" s="220" t="s">
        <v>4732</v>
      </c>
      <c r="AX108" s="223">
        <f t="shared" ref="AX108:BA108" si="149">SUM(AX109:AX112)</f>
        <v>0</v>
      </c>
      <c r="AY108" s="223">
        <f t="shared" si="149"/>
        <v>3236994</v>
      </c>
      <c r="AZ108" s="223">
        <f t="shared" si="149"/>
        <v>3173213</v>
      </c>
      <c r="BA108" s="223">
        <f t="shared" si="149"/>
        <v>0</v>
      </c>
      <c r="BB108" s="223">
        <f t="shared" ref="BB108" si="150">SUM(BB109:BB112)</f>
        <v>0</v>
      </c>
      <c r="BC108" s="223">
        <f t="shared" ref="BC108:BD108" si="151">SUM(BC109:BC112)</f>
        <v>8092833</v>
      </c>
      <c r="BD108" s="223">
        <f t="shared" si="151"/>
        <v>12845223</v>
      </c>
      <c r="BE108" s="223">
        <f t="shared" ref="BE108" si="152">SUM(BE109:BE112)</f>
        <v>0</v>
      </c>
    </row>
    <row r="109" spans="2:57" x14ac:dyDescent="0.3">
      <c r="B109" s="288">
        <v>521211</v>
      </c>
      <c r="C109" s="220" t="s">
        <v>7</v>
      </c>
      <c r="D109" s="220"/>
      <c r="E109" s="220"/>
      <c r="F109" s="221">
        <v>31000000</v>
      </c>
      <c r="G109" s="221"/>
      <c r="H109" s="221"/>
      <c r="I109" s="221"/>
      <c r="J109" s="221"/>
      <c r="K109" s="221"/>
      <c r="L109" s="221"/>
      <c r="M109" s="221"/>
      <c r="N109" s="221"/>
      <c r="O109" s="221">
        <v>1200000</v>
      </c>
      <c r="P109" s="221"/>
      <c r="Q109" s="221"/>
      <c r="R109" s="221"/>
      <c r="S109" s="221"/>
      <c r="T109" s="221">
        <v>7854000</v>
      </c>
      <c r="U109" s="221">
        <v>2488500</v>
      </c>
      <c r="V109" s="221"/>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f t="shared" si="119"/>
        <v>11542500</v>
      </c>
      <c r="AR109" s="224">
        <f t="shared" si="143"/>
        <v>3.7233870967741931E-3</v>
      </c>
      <c r="AS109" s="225">
        <f t="shared" si="121"/>
        <v>19457500</v>
      </c>
      <c r="AT109" s="224">
        <f t="shared" si="122"/>
        <v>62.766129032258064</v>
      </c>
      <c r="AU109" s="220" t="s">
        <v>531</v>
      </c>
      <c r="AV109" s="220" t="s">
        <v>532</v>
      </c>
      <c r="AW109" s="220" t="s">
        <v>4732</v>
      </c>
      <c r="AX109" s="221"/>
      <c r="AY109" s="221">
        <v>1200000</v>
      </c>
      <c r="AZ109" s="302"/>
      <c r="BA109" s="221"/>
      <c r="BB109" s="221"/>
      <c r="BC109" s="221">
        <v>7854000</v>
      </c>
      <c r="BD109" s="221">
        <v>2488500</v>
      </c>
      <c r="BE109" s="221"/>
    </row>
    <row r="110" spans="2:57" x14ac:dyDescent="0.3">
      <c r="B110" s="288">
        <v>521219</v>
      </c>
      <c r="C110" s="220" t="s">
        <v>53</v>
      </c>
      <c r="D110" s="220"/>
      <c r="E110" s="220"/>
      <c r="F110" s="221">
        <v>3000000</v>
      </c>
      <c r="G110" s="221"/>
      <c r="H110" s="221"/>
      <c r="I110" s="221"/>
      <c r="J110" s="221"/>
      <c r="K110" s="221"/>
      <c r="L110" s="221"/>
      <c r="M110" s="221"/>
      <c r="N110" s="302">
        <v>473213</v>
      </c>
      <c r="O110" s="221">
        <v>236994</v>
      </c>
      <c r="P110" s="221"/>
      <c r="Q110" s="221"/>
      <c r="R110" s="221"/>
      <c r="S110" s="221"/>
      <c r="T110" s="221">
        <v>238833</v>
      </c>
      <c r="U110" s="221">
        <v>242378</v>
      </c>
      <c r="V110" s="221"/>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f t="shared" si="119"/>
        <v>1191418</v>
      </c>
      <c r="AR110" s="224">
        <f t="shared" si="143"/>
        <v>3.9713933333333333E-3</v>
      </c>
      <c r="AS110" s="225">
        <f t="shared" si="121"/>
        <v>1808582</v>
      </c>
      <c r="AT110" s="224">
        <f t="shared" si="122"/>
        <v>60.28606666666667</v>
      </c>
      <c r="AU110" s="220" t="s">
        <v>531</v>
      </c>
      <c r="AV110" s="220" t="s">
        <v>532</v>
      </c>
      <c r="AW110" s="220" t="s">
        <v>4732</v>
      </c>
      <c r="AX110" s="221"/>
      <c r="AY110" s="221">
        <v>236994</v>
      </c>
      <c r="AZ110" s="302">
        <v>473213</v>
      </c>
      <c r="BA110" s="221"/>
      <c r="BB110" s="221"/>
      <c r="BC110" s="221">
        <v>238833</v>
      </c>
      <c r="BD110" s="221">
        <v>242378</v>
      </c>
      <c r="BE110" s="221"/>
    </row>
    <row r="111" spans="2:57" x14ac:dyDescent="0.3">
      <c r="B111" s="288">
        <v>522151</v>
      </c>
      <c r="C111" s="220" t="s">
        <v>11</v>
      </c>
      <c r="D111" s="220"/>
      <c r="E111" s="220"/>
      <c r="F111" s="221">
        <v>70000000</v>
      </c>
      <c r="G111" s="221"/>
      <c r="H111" s="221"/>
      <c r="I111" s="221"/>
      <c r="J111" s="221"/>
      <c r="K111" s="221"/>
      <c r="L111" s="221"/>
      <c r="M111" s="221"/>
      <c r="N111" s="221"/>
      <c r="O111" s="221">
        <v>1800000</v>
      </c>
      <c r="P111" s="221">
        <v>1000000</v>
      </c>
      <c r="Q111" s="221"/>
      <c r="R111" s="221"/>
      <c r="S111" s="221"/>
      <c r="T111" s="221"/>
      <c r="U111" s="221">
        <v>2000000</v>
      </c>
      <c r="V111" s="221"/>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f t="shared" si="119"/>
        <v>4800000</v>
      </c>
      <c r="AR111" s="224">
        <f t="shared" si="143"/>
        <v>6.857142857142857E-4</v>
      </c>
      <c r="AS111" s="225">
        <f t="shared" si="121"/>
        <v>65200000</v>
      </c>
      <c r="AT111" s="224">
        <f t="shared" si="122"/>
        <v>93.142857142857139</v>
      </c>
      <c r="AU111" s="220" t="s">
        <v>531</v>
      </c>
      <c r="AV111" s="220" t="s">
        <v>532</v>
      </c>
      <c r="AW111" s="220" t="s">
        <v>4732</v>
      </c>
      <c r="AX111" s="221"/>
      <c r="AY111" s="221">
        <v>1800000</v>
      </c>
      <c r="AZ111" s="302"/>
      <c r="BA111" s="221"/>
      <c r="BB111" s="221"/>
      <c r="BC111" s="221"/>
      <c r="BD111" s="221">
        <v>2000000</v>
      </c>
      <c r="BE111" s="221"/>
    </row>
    <row r="112" spans="2:57" x14ac:dyDescent="0.3">
      <c r="B112" s="288">
        <v>524111</v>
      </c>
      <c r="C112" s="220" t="s">
        <v>19</v>
      </c>
      <c r="D112" s="220"/>
      <c r="E112" s="220"/>
      <c r="F112" s="221">
        <v>246000000</v>
      </c>
      <c r="G112" s="221"/>
      <c r="H112" s="221"/>
      <c r="I112" s="221"/>
      <c r="J112" s="221"/>
      <c r="K112" s="221"/>
      <c r="L112" s="221"/>
      <c r="M112" s="221"/>
      <c r="N112" s="302">
        <v>2700000</v>
      </c>
      <c r="O112" s="221"/>
      <c r="P112" s="221"/>
      <c r="Q112" s="221"/>
      <c r="R112" s="221"/>
      <c r="S112" s="221">
        <f>872000+14922000+3620000</f>
        <v>19414000</v>
      </c>
      <c r="T112" s="221"/>
      <c r="U112" s="221">
        <v>8114345</v>
      </c>
      <c r="V112" s="221">
        <f>3000000+25425327+2110000</f>
        <v>30535327</v>
      </c>
      <c r="W112" s="221"/>
      <c r="X112" s="221"/>
      <c r="Y112" s="221"/>
      <c r="Z112" s="221"/>
      <c r="AA112" s="221"/>
      <c r="AB112" s="221"/>
      <c r="AC112" s="221"/>
      <c r="AD112" s="221"/>
      <c r="AE112" s="221"/>
      <c r="AF112" s="221"/>
      <c r="AG112" s="221"/>
      <c r="AH112" s="221"/>
      <c r="AI112" s="221"/>
      <c r="AJ112" s="221"/>
      <c r="AK112" s="221"/>
      <c r="AL112" s="221"/>
      <c r="AM112" s="221"/>
      <c r="AN112" s="221"/>
      <c r="AO112" s="221"/>
      <c r="AP112" s="221"/>
      <c r="AQ112" s="221">
        <f t="shared" si="119"/>
        <v>60763672</v>
      </c>
      <c r="AR112" s="224">
        <f t="shared" si="143"/>
        <v>2.4700679674796748E-3</v>
      </c>
      <c r="AS112" s="225">
        <f t="shared" si="121"/>
        <v>185236328</v>
      </c>
      <c r="AT112" s="224">
        <f t="shared" si="122"/>
        <v>75.299320325203254</v>
      </c>
      <c r="AU112" s="220" t="s">
        <v>531</v>
      </c>
      <c r="AV112" s="220" t="s">
        <v>532</v>
      </c>
      <c r="AW112" s="220" t="s">
        <v>4732</v>
      </c>
      <c r="AX112" s="221"/>
      <c r="AY112" s="221"/>
      <c r="AZ112" s="302">
        <v>2700000</v>
      </c>
      <c r="BA112" s="221"/>
      <c r="BB112" s="221"/>
      <c r="BC112" s="221"/>
      <c r="BD112" s="221">
        <v>8114345</v>
      </c>
      <c r="BE112" s="221"/>
    </row>
    <row r="113" spans="2:57" x14ac:dyDescent="0.3">
      <c r="B113" s="290" t="s">
        <v>580</v>
      </c>
      <c r="C113" s="222" t="s">
        <v>1505</v>
      </c>
      <c r="D113" s="222"/>
      <c r="E113" s="222"/>
      <c r="F113" s="223">
        <f t="shared" ref="F113:AP113" si="153">SUM(F114:F117)</f>
        <v>639737000</v>
      </c>
      <c r="G113" s="223">
        <f t="shared" si="153"/>
        <v>0</v>
      </c>
      <c r="H113" s="223">
        <f t="shared" si="153"/>
        <v>0</v>
      </c>
      <c r="I113" s="223">
        <f t="shared" si="153"/>
        <v>0</v>
      </c>
      <c r="J113" s="223">
        <f t="shared" si="153"/>
        <v>0</v>
      </c>
      <c r="K113" s="223">
        <f t="shared" si="153"/>
        <v>0</v>
      </c>
      <c r="L113" s="223">
        <f t="shared" si="153"/>
        <v>0</v>
      </c>
      <c r="M113" s="223">
        <f t="shared" si="153"/>
        <v>0</v>
      </c>
      <c r="N113" s="223">
        <f t="shared" si="153"/>
        <v>0</v>
      </c>
      <c r="O113" s="223">
        <f t="shared" si="153"/>
        <v>0</v>
      </c>
      <c r="P113" s="223">
        <f t="shared" si="153"/>
        <v>0</v>
      </c>
      <c r="Q113" s="223">
        <f t="shared" si="153"/>
        <v>0</v>
      </c>
      <c r="R113" s="223">
        <f t="shared" si="153"/>
        <v>0</v>
      </c>
      <c r="S113" s="223">
        <f t="shared" si="153"/>
        <v>0</v>
      </c>
      <c r="T113" s="223">
        <f t="shared" si="153"/>
        <v>0</v>
      </c>
      <c r="U113" s="223">
        <f t="shared" si="153"/>
        <v>0</v>
      </c>
      <c r="V113" s="223">
        <f t="shared" si="153"/>
        <v>0</v>
      </c>
      <c r="W113" s="223">
        <f t="shared" si="153"/>
        <v>0</v>
      </c>
      <c r="X113" s="223">
        <f t="shared" si="153"/>
        <v>0</v>
      </c>
      <c r="Y113" s="223">
        <f t="shared" si="153"/>
        <v>0</v>
      </c>
      <c r="Z113" s="223">
        <f t="shared" si="153"/>
        <v>0</v>
      </c>
      <c r="AA113" s="223">
        <f t="shared" si="153"/>
        <v>0</v>
      </c>
      <c r="AB113" s="223">
        <f t="shared" si="153"/>
        <v>0</v>
      </c>
      <c r="AC113" s="223">
        <f t="shared" si="153"/>
        <v>0</v>
      </c>
      <c r="AD113" s="223">
        <f t="shared" si="153"/>
        <v>0</v>
      </c>
      <c r="AE113" s="223">
        <f t="shared" si="153"/>
        <v>0</v>
      </c>
      <c r="AF113" s="223">
        <f t="shared" si="153"/>
        <v>0</v>
      </c>
      <c r="AG113" s="223">
        <f t="shared" si="153"/>
        <v>0</v>
      </c>
      <c r="AH113" s="223">
        <f t="shared" si="153"/>
        <v>0</v>
      </c>
      <c r="AI113" s="223">
        <f t="shared" si="153"/>
        <v>0</v>
      </c>
      <c r="AJ113" s="223">
        <f t="shared" si="153"/>
        <v>0</v>
      </c>
      <c r="AK113" s="223">
        <f t="shared" si="153"/>
        <v>0</v>
      </c>
      <c r="AL113" s="223">
        <f t="shared" si="153"/>
        <v>0</v>
      </c>
      <c r="AM113" s="223">
        <f t="shared" si="153"/>
        <v>0</v>
      </c>
      <c r="AN113" s="223">
        <f t="shared" si="153"/>
        <v>0</v>
      </c>
      <c r="AO113" s="223">
        <f t="shared" si="153"/>
        <v>0</v>
      </c>
      <c r="AP113" s="223">
        <f t="shared" si="153"/>
        <v>0</v>
      </c>
      <c r="AQ113" s="223">
        <f t="shared" si="119"/>
        <v>0</v>
      </c>
      <c r="AR113" s="231">
        <f t="shared" si="143"/>
        <v>0</v>
      </c>
      <c r="AS113" s="232">
        <f t="shared" si="121"/>
        <v>639737000</v>
      </c>
      <c r="AT113" s="231">
        <f t="shared" si="122"/>
        <v>100</v>
      </c>
      <c r="AU113" s="220" t="s">
        <v>531</v>
      </c>
      <c r="AV113" s="220" t="s">
        <v>534</v>
      </c>
      <c r="AW113" s="220" t="s">
        <v>4732</v>
      </c>
      <c r="AX113" s="223">
        <f t="shared" ref="AX113:BA113" si="154">SUM(AX114:AX117)</f>
        <v>0</v>
      </c>
      <c r="AY113" s="223">
        <f t="shared" si="154"/>
        <v>0</v>
      </c>
      <c r="AZ113" s="223">
        <f t="shared" si="154"/>
        <v>0</v>
      </c>
      <c r="BA113" s="223">
        <f t="shared" si="154"/>
        <v>0</v>
      </c>
      <c r="BB113" s="223">
        <f t="shared" ref="BB113" si="155">SUM(BB114:BB117)</f>
        <v>0</v>
      </c>
      <c r="BC113" s="223">
        <f t="shared" ref="BC113:BD113" si="156">SUM(BC114:BC117)</f>
        <v>0</v>
      </c>
      <c r="BD113" s="223">
        <f t="shared" si="156"/>
        <v>0</v>
      </c>
      <c r="BE113" s="223">
        <f t="shared" ref="BE113" si="157">SUM(BE114:BE117)</f>
        <v>0</v>
      </c>
    </row>
    <row r="114" spans="2:57" x14ac:dyDescent="0.3">
      <c r="B114" s="288">
        <v>521211</v>
      </c>
      <c r="C114" s="220" t="s">
        <v>7</v>
      </c>
      <c r="D114" s="220"/>
      <c r="E114" s="220"/>
      <c r="F114" s="221">
        <v>118575000</v>
      </c>
      <c r="G114" s="221"/>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f t="shared" si="119"/>
        <v>0</v>
      </c>
      <c r="AR114" s="224">
        <f t="shared" si="143"/>
        <v>0</v>
      </c>
      <c r="AS114" s="225">
        <f t="shared" si="121"/>
        <v>118575000</v>
      </c>
      <c r="AT114" s="224">
        <f t="shared" si="122"/>
        <v>100</v>
      </c>
      <c r="AU114" s="220" t="s">
        <v>531</v>
      </c>
      <c r="AV114" s="220" t="s">
        <v>534</v>
      </c>
      <c r="AW114" s="220" t="s">
        <v>4732</v>
      </c>
      <c r="AX114" s="221"/>
      <c r="AY114" s="221"/>
      <c r="AZ114" s="302"/>
      <c r="BA114" s="221"/>
      <c r="BB114" s="221"/>
      <c r="BC114" s="221"/>
      <c r="BD114" s="221"/>
      <c r="BE114" s="221"/>
    </row>
    <row r="115" spans="2:57" x14ac:dyDescent="0.3">
      <c r="B115" s="288">
        <v>521219</v>
      </c>
      <c r="C115" s="220" t="s">
        <v>53</v>
      </c>
      <c r="D115" s="220"/>
      <c r="E115" s="220"/>
      <c r="F115" s="221">
        <v>393200000</v>
      </c>
      <c r="G115" s="221"/>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f t="shared" si="119"/>
        <v>0</v>
      </c>
      <c r="AR115" s="224">
        <f t="shared" si="143"/>
        <v>0</v>
      </c>
      <c r="AS115" s="225">
        <f t="shared" si="121"/>
        <v>393200000</v>
      </c>
      <c r="AT115" s="224">
        <f t="shared" si="122"/>
        <v>100</v>
      </c>
      <c r="AU115" s="220" t="s">
        <v>531</v>
      </c>
      <c r="AV115" s="220" t="s">
        <v>534</v>
      </c>
      <c r="AW115" s="220" t="s">
        <v>4732</v>
      </c>
      <c r="AX115" s="221"/>
      <c r="AY115" s="221"/>
      <c r="AZ115" s="302"/>
      <c r="BA115" s="221"/>
      <c r="BB115" s="221"/>
      <c r="BC115" s="221"/>
      <c r="BD115" s="221"/>
      <c r="BE115" s="221"/>
    </row>
    <row r="116" spans="2:57" x14ac:dyDescent="0.3">
      <c r="B116" s="288">
        <v>522141</v>
      </c>
      <c r="C116" s="220" t="s">
        <v>95</v>
      </c>
      <c r="D116" s="220"/>
      <c r="E116" s="220"/>
      <c r="F116" s="221">
        <v>120000000</v>
      </c>
      <c r="G116" s="221"/>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f t="shared" si="119"/>
        <v>0</v>
      </c>
      <c r="AR116" s="224">
        <f t="shared" si="143"/>
        <v>0</v>
      </c>
      <c r="AS116" s="225">
        <f>F116-AQ116</f>
        <v>120000000</v>
      </c>
      <c r="AT116" s="224">
        <f t="shared" si="122"/>
        <v>100</v>
      </c>
      <c r="AU116" s="220" t="s">
        <v>531</v>
      </c>
      <c r="AV116" s="220" t="s">
        <v>534</v>
      </c>
      <c r="AW116" s="220" t="s">
        <v>4732</v>
      </c>
      <c r="AX116" s="221"/>
      <c r="AY116" s="221"/>
      <c r="AZ116" s="302"/>
      <c r="BA116" s="221"/>
      <c r="BB116" s="221"/>
      <c r="BC116" s="221"/>
      <c r="BD116" s="221"/>
      <c r="BE116" s="221"/>
    </row>
    <row r="117" spans="2:57" x14ac:dyDescent="0.3">
      <c r="B117" s="288">
        <v>524111</v>
      </c>
      <c r="C117" s="220" t="s">
        <v>19</v>
      </c>
      <c r="D117" s="220"/>
      <c r="E117" s="220"/>
      <c r="F117" s="221">
        <v>7962000</v>
      </c>
      <c r="G117" s="221"/>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f t="shared" si="119"/>
        <v>0</v>
      </c>
      <c r="AR117" s="224">
        <f t="shared" si="143"/>
        <v>0</v>
      </c>
      <c r="AS117" s="225">
        <f t="shared" si="121"/>
        <v>7962000</v>
      </c>
      <c r="AT117" s="224">
        <f t="shared" si="122"/>
        <v>100</v>
      </c>
      <c r="AU117" s="220" t="s">
        <v>531</v>
      </c>
      <c r="AV117" s="220" t="s">
        <v>534</v>
      </c>
      <c r="AW117" s="220" t="s">
        <v>4732</v>
      </c>
      <c r="AX117" s="221"/>
      <c r="AY117" s="221"/>
      <c r="AZ117" s="302"/>
      <c r="BA117" s="221"/>
      <c r="BB117" s="221"/>
      <c r="BC117" s="221"/>
      <c r="BD117" s="221"/>
      <c r="BE117" s="221"/>
    </row>
    <row r="118" spans="2:57" x14ac:dyDescent="0.3">
      <c r="B118" s="290" t="s">
        <v>581</v>
      </c>
      <c r="C118" s="222" t="s">
        <v>1537</v>
      </c>
      <c r="D118" s="222"/>
      <c r="E118" s="222"/>
      <c r="F118" s="223">
        <f>SUM(F119:F122)</f>
        <v>110263000</v>
      </c>
      <c r="G118" s="223">
        <f t="shared" ref="G118:AP118" si="158">SUM(G119:G122)</f>
        <v>0</v>
      </c>
      <c r="H118" s="223">
        <f t="shared" si="158"/>
        <v>0</v>
      </c>
      <c r="I118" s="223">
        <f t="shared" si="158"/>
        <v>0</v>
      </c>
      <c r="J118" s="223">
        <f t="shared" si="158"/>
        <v>0</v>
      </c>
      <c r="K118" s="223">
        <f t="shared" si="158"/>
        <v>0</v>
      </c>
      <c r="L118" s="223">
        <f t="shared" si="158"/>
        <v>0</v>
      </c>
      <c r="M118" s="223">
        <f t="shared" si="158"/>
        <v>0</v>
      </c>
      <c r="N118" s="223">
        <f t="shared" si="158"/>
        <v>9200000</v>
      </c>
      <c r="O118" s="223">
        <f t="shared" si="158"/>
        <v>18676000</v>
      </c>
      <c r="P118" s="223">
        <f t="shared" si="158"/>
        <v>0</v>
      </c>
      <c r="Q118" s="223">
        <f t="shared" si="158"/>
        <v>0</v>
      </c>
      <c r="R118" s="223">
        <f t="shared" si="158"/>
        <v>0</v>
      </c>
      <c r="S118" s="223">
        <f t="shared" si="158"/>
        <v>0</v>
      </c>
      <c r="T118" s="223">
        <f t="shared" si="158"/>
        <v>528000</v>
      </c>
      <c r="U118" s="223">
        <f t="shared" si="158"/>
        <v>20747000</v>
      </c>
      <c r="V118" s="223">
        <f t="shared" si="158"/>
        <v>0</v>
      </c>
      <c r="W118" s="223">
        <f t="shared" si="158"/>
        <v>0</v>
      </c>
      <c r="X118" s="223">
        <f t="shared" si="158"/>
        <v>0</v>
      </c>
      <c r="Y118" s="223">
        <f t="shared" si="158"/>
        <v>0</v>
      </c>
      <c r="Z118" s="223">
        <f t="shared" si="158"/>
        <v>0</v>
      </c>
      <c r="AA118" s="223">
        <f t="shared" si="158"/>
        <v>0</v>
      </c>
      <c r="AB118" s="223">
        <f t="shared" si="158"/>
        <v>0</v>
      </c>
      <c r="AC118" s="223">
        <f t="shared" si="158"/>
        <v>0</v>
      </c>
      <c r="AD118" s="223">
        <f t="shared" si="158"/>
        <v>0</v>
      </c>
      <c r="AE118" s="223">
        <f t="shared" si="158"/>
        <v>0</v>
      </c>
      <c r="AF118" s="223">
        <f t="shared" si="158"/>
        <v>0</v>
      </c>
      <c r="AG118" s="223">
        <f t="shared" si="158"/>
        <v>0</v>
      </c>
      <c r="AH118" s="223">
        <f t="shared" si="158"/>
        <v>0</v>
      </c>
      <c r="AI118" s="223">
        <f t="shared" si="158"/>
        <v>0</v>
      </c>
      <c r="AJ118" s="223">
        <f t="shared" si="158"/>
        <v>0</v>
      </c>
      <c r="AK118" s="223">
        <f t="shared" si="158"/>
        <v>0</v>
      </c>
      <c r="AL118" s="223">
        <f t="shared" si="158"/>
        <v>0</v>
      </c>
      <c r="AM118" s="223">
        <f t="shared" si="158"/>
        <v>0</v>
      </c>
      <c r="AN118" s="223">
        <f t="shared" si="158"/>
        <v>0</v>
      </c>
      <c r="AO118" s="223">
        <f t="shared" si="158"/>
        <v>0</v>
      </c>
      <c r="AP118" s="223">
        <f t="shared" si="158"/>
        <v>0</v>
      </c>
      <c r="AQ118" s="223">
        <f t="shared" si="119"/>
        <v>49151000</v>
      </c>
      <c r="AR118" s="231">
        <f t="shared" si="143"/>
        <v>4.4576149751049763E-3</v>
      </c>
      <c r="AS118" s="232">
        <f t="shared" si="121"/>
        <v>61112000</v>
      </c>
      <c r="AT118" s="231">
        <f t="shared" si="122"/>
        <v>55.423850248950238</v>
      </c>
      <c r="AU118" s="220" t="s">
        <v>531</v>
      </c>
      <c r="AV118" s="220" t="s">
        <v>534</v>
      </c>
      <c r="AW118" s="220" t="s">
        <v>4732</v>
      </c>
      <c r="AX118" s="223">
        <f t="shared" ref="AX118:BA118" si="159">SUM(AX119:AX122)</f>
        <v>0</v>
      </c>
      <c r="AY118" s="223">
        <f t="shared" si="159"/>
        <v>18676000</v>
      </c>
      <c r="AZ118" s="223">
        <f t="shared" si="159"/>
        <v>9200000</v>
      </c>
      <c r="BA118" s="223">
        <f t="shared" si="159"/>
        <v>0</v>
      </c>
      <c r="BB118" s="223">
        <f t="shared" ref="BB118" si="160">SUM(BB119:BB122)</f>
        <v>0</v>
      </c>
      <c r="BC118" s="223">
        <f t="shared" ref="BC118:BD118" si="161">SUM(BC119:BC122)</f>
        <v>528000</v>
      </c>
      <c r="BD118" s="223">
        <f t="shared" si="161"/>
        <v>20747000</v>
      </c>
      <c r="BE118" s="223">
        <f t="shared" ref="BE118" si="162">SUM(BE119:BE122)</f>
        <v>0</v>
      </c>
    </row>
    <row r="119" spans="2:57" x14ac:dyDescent="0.3">
      <c r="B119" s="288">
        <v>521211</v>
      </c>
      <c r="C119" s="220" t="s">
        <v>7</v>
      </c>
      <c r="D119" s="220"/>
      <c r="E119" s="220"/>
      <c r="F119" s="221">
        <v>17550000</v>
      </c>
      <c r="G119" s="221"/>
      <c r="H119" s="221"/>
      <c r="I119" s="221"/>
      <c r="J119" s="221"/>
      <c r="K119" s="221"/>
      <c r="L119" s="221"/>
      <c r="M119" s="221"/>
      <c r="N119" s="302"/>
      <c r="O119" s="221">
        <v>2444000</v>
      </c>
      <c r="P119" s="221"/>
      <c r="Q119" s="221"/>
      <c r="R119" s="221"/>
      <c r="S119" s="221"/>
      <c r="T119" s="221">
        <v>528000</v>
      </c>
      <c r="U119" s="221">
        <v>6497000</v>
      </c>
      <c r="V119" s="221"/>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f t="shared" si="119"/>
        <v>9469000</v>
      </c>
      <c r="AR119" s="224">
        <f t="shared" si="143"/>
        <v>5.3954415954415962E-3</v>
      </c>
      <c r="AS119" s="225">
        <f t="shared" si="121"/>
        <v>8081000</v>
      </c>
      <c r="AT119" s="224">
        <f t="shared" si="122"/>
        <v>46.04558404558405</v>
      </c>
      <c r="AU119" s="220" t="s">
        <v>531</v>
      </c>
      <c r="AV119" s="220" t="s">
        <v>534</v>
      </c>
      <c r="AW119" s="220" t="s">
        <v>4732</v>
      </c>
      <c r="AX119" s="221"/>
      <c r="AY119" s="221">
        <v>2444000</v>
      </c>
      <c r="AZ119" s="302"/>
      <c r="BA119" s="221"/>
      <c r="BB119" s="221"/>
      <c r="BC119" s="221">
        <v>528000</v>
      </c>
      <c r="BD119" s="221">
        <v>6497000</v>
      </c>
      <c r="BE119" s="221"/>
    </row>
    <row r="120" spans="2:57" x14ac:dyDescent="0.3">
      <c r="B120" s="288">
        <v>521219</v>
      </c>
      <c r="C120" s="220" t="s">
        <v>53</v>
      </c>
      <c r="D120" s="220"/>
      <c r="E120" s="220"/>
      <c r="F120" s="221">
        <v>27651000</v>
      </c>
      <c r="G120" s="221"/>
      <c r="H120" s="221"/>
      <c r="I120" s="221"/>
      <c r="J120" s="221"/>
      <c r="K120" s="221"/>
      <c r="L120" s="221"/>
      <c r="M120" s="221"/>
      <c r="N120" s="302">
        <v>120000</v>
      </c>
      <c r="O120" s="221">
        <v>250000</v>
      </c>
      <c r="P120" s="221"/>
      <c r="Q120" s="221"/>
      <c r="R120" s="221"/>
      <c r="S120" s="221"/>
      <c r="T120" s="221"/>
      <c r="U120" s="221">
        <v>250000</v>
      </c>
      <c r="V120" s="221"/>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f t="shared" si="119"/>
        <v>620000</v>
      </c>
      <c r="AR120" s="224">
        <f t="shared" si="143"/>
        <v>2.2422335539401832E-4</v>
      </c>
      <c r="AS120" s="225">
        <f t="shared" si="121"/>
        <v>27031000</v>
      </c>
      <c r="AT120" s="224">
        <f t="shared" si="122"/>
        <v>97.757766446059819</v>
      </c>
      <c r="AU120" s="220" t="s">
        <v>531</v>
      </c>
      <c r="AV120" s="220" t="s">
        <v>534</v>
      </c>
      <c r="AW120" s="391" t="s">
        <v>4732</v>
      </c>
      <c r="AX120" s="221"/>
      <c r="AY120" s="221">
        <v>250000</v>
      </c>
      <c r="AZ120" s="302">
        <v>120000</v>
      </c>
      <c r="BA120" s="221"/>
      <c r="BB120" s="221"/>
      <c r="BC120" s="221"/>
      <c r="BD120" s="221">
        <v>250000</v>
      </c>
      <c r="BE120" s="221"/>
    </row>
    <row r="121" spans="2:57" x14ac:dyDescent="0.3">
      <c r="B121" s="288">
        <v>522151</v>
      </c>
      <c r="C121" s="220" t="s">
        <v>11</v>
      </c>
      <c r="D121" s="220"/>
      <c r="E121" s="220"/>
      <c r="F121" s="221">
        <v>40000000</v>
      </c>
      <c r="G121" s="221"/>
      <c r="H121" s="221"/>
      <c r="I121" s="221"/>
      <c r="J121" s="221"/>
      <c r="K121" s="221"/>
      <c r="L121" s="221"/>
      <c r="M121" s="221"/>
      <c r="N121" s="221"/>
      <c r="O121" s="221"/>
      <c r="P121" s="221"/>
      <c r="Q121" s="221"/>
      <c r="R121" s="221"/>
      <c r="S121" s="221"/>
      <c r="T121" s="221"/>
      <c r="U121" s="221">
        <v>14000000</v>
      </c>
      <c r="V121" s="221"/>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f t="shared" si="119"/>
        <v>14000000</v>
      </c>
      <c r="AR121" s="224">
        <f t="shared" si="143"/>
        <v>3.4999999999999996E-3</v>
      </c>
      <c r="AS121" s="225">
        <f>F121-AQ121</f>
        <v>26000000</v>
      </c>
      <c r="AT121" s="224">
        <f t="shared" si="122"/>
        <v>65</v>
      </c>
      <c r="AU121" s="220" t="s">
        <v>531</v>
      </c>
      <c r="AV121" s="220" t="s">
        <v>534</v>
      </c>
      <c r="AW121" s="220" t="s">
        <v>4732</v>
      </c>
      <c r="AX121" s="221"/>
      <c r="AY121" s="221"/>
      <c r="AZ121" s="302"/>
      <c r="BA121" s="221"/>
      <c r="BB121" s="221"/>
      <c r="BC121" s="221"/>
      <c r="BD121" s="221">
        <v>14000000</v>
      </c>
      <c r="BE121" s="221"/>
    </row>
    <row r="122" spans="2:57" x14ac:dyDescent="0.3">
      <c r="B122" s="288">
        <v>524111</v>
      </c>
      <c r="C122" s="220" t="s">
        <v>19</v>
      </c>
      <c r="D122" s="220"/>
      <c r="E122" s="220"/>
      <c r="F122" s="221">
        <v>25062000</v>
      </c>
      <c r="G122" s="221"/>
      <c r="H122" s="221"/>
      <c r="I122" s="221"/>
      <c r="J122" s="221"/>
      <c r="K122" s="221"/>
      <c r="L122" s="221"/>
      <c r="M122" s="221"/>
      <c r="N122" s="302">
        <v>9080000</v>
      </c>
      <c r="O122" s="221">
        <v>15982000</v>
      </c>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f t="shared" si="119"/>
        <v>25062000</v>
      </c>
      <c r="AR122" s="224">
        <f t="shared" si="143"/>
        <v>0.01</v>
      </c>
      <c r="AS122" s="225">
        <f t="shared" si="121"/>
        <v>0</v>
      </c>
      <c r="AT122" s="224">
        <f t="shared" si="122"/>
        <v>0</v>
      </c>
      <c r="AU122" s="220" t="s">
        <v>531</v>
      </c>
      <c r="AV122" s="220" t="s">
        <v>534</v>
      </c>
      <c r="AW122" s="220" t="s">
        <v>4732</v>
      </c>
      <c r="AX122" s="221"/>
      <c r="AY122" s="221">
        <v>15982000</v>
      </c>
      <c r="AZ122" s="302">
        <v>9080000</v>
      </c>
      <c r="BA122" s="221"/>
      <c r="BB122" s="221"/>
      <c r="BC122" s="221"/>
      <c r="BD122" s="221"/>
      <c r="BE122" s="221"/>
    </row>
    <row r="123" spans="2:57" x14ac:dyDescent="0.3">
      <c r="B123" s="226" t="s">
        <v>3986</v>
      </c>
      <c r="C123" s="227" t="s">
        <v>1701</v>
      </c>
      <c r="D123" s="227">
        <v>1</v>
      </c>
      <c r="E123" s="227" t="s">
        <v>3740</v>
      </c>
      <c r="F123" s="228">
        <f>F124</f>
        <v>2195658000</v>
      </c>
      <c r="G123" s="228">
        <f t="shared" ref="G123:AP123" si="163">G124</f>
        <v>0</v>
      </c>
      <c r="H123" s="228">
        <f t="shared" si="163"/>
        <v>0</v>
      </c>
      <c r="I123" s="228">
        <f t="shared" si="163"/>
        <v>0</v>
      </c>
      <c r="J123" s="228">
        <f t="shared" si="163"/>
        <v>63640000</v>
      </c>
      <c r="K123" s="228">
        <f t="shared" si="163"/>
        <v>0</v>
      </c>
      <c r="L123" s="228">
        <f t="shared" si="163"/>
        <v>0</v>
      </c>
      <c r="M123" s="228">
        <f t="shared" si="163"/>
        <v>63640000</v>
      </c>
      <c r="N123" s="228">
        <f t="shared" si="163"/>
        <v>49421537</v>
      </c>
      <c r="O123" s="228">
        <f t="shared" si="163"/>
        <v>80540400</v>
      </c>
      <c r="P123" s="228">
        <f t="shared" si="163"/>
        <v>127280000</v>
      </c>
      <c r="Q123" s="228">
        <f t="shared" si="163"/>
        <v>35138796</v>
      </c>
      <c r="R123" s="228">
        <f t="shared" si="163"/>
        <v>0</v>
      </c>
      <c r="S123" s="228">
        <f t="shared" si="163"/>
        <v>63640000</v>
      </c>
      <c r="T123" s="228">
        <f t="shared" si="163"/>
        <v>116380908</v>
      </c>
      <c r="U123" s="228">
        <f t="shared" si="163"/>
        <v>0</v>
      </c>
      <c r="V123" s="228">
        <f t="shared" si="163"/>
        <v>63640000</v>
      </c>
      <c r="W123" s="228">
        <f t="shared" si="163"/>
        <v>0</v>
      </c>
      <c r="X123" s="228">
        <f t="shared" si="163"/>
        <v>0</v>
      </c>
      <c r="Y123" s="228">
        <f t="shared" si="163"/>
        <v>0</v>
      </c>
      <c r="Z123" s="228">
        <f t="shared" si="163"/>
        <v>0</v>
      </c>
      <c r="AA123" s="228">
        <f t="shared" si="163"/>
        <v>0</v>
      </c>
      <c r="AB123" s="228">
        <f t="shared" si="163"/>
        <v>0</v>
      </c>
      <c r="AC123" s="228">
        <f t="shared" si="163"/>
        <v>0</v>
      </c>
      <c r="AD123" s="228">
        <f t="shared" si="163"/>
        <v>0</v>
      </c>
      <c r="AE123" s="228">
        <f t="shared" si="163"/>
        <v>0</v>
      </c>
      <c r="AF123" s="228">
        <f t="shared" si="163"/>
        <v>0</v>
      </c>
      <c r="AG123" s="228">
        <f t="shared" si="163"/>
        <v>0</v>
      </c>
      <c r="AH123" s="228">
        <f t="shared" si="163"/>
        <v>0</v>
      </c>
      <c r="AI123" s="228">
        <f t="shared" si="163"/>
        <v>0</v>
      </c>
      <c r="AJ123" s="228">
        <f t="shared" si="163"/>
        <v>0</v>
      </c>
      <c r="AK123" s="228">
        <f t="shared" si="163"/>
        <v>0</v>
      </c>
      <c r="AL123" s="228">
        <f t="shared" si="163"/>
        <v>0</v>
      </c>
      <c r="AM123" s="228">
        <f t="shared" si="163"/>
        <v>0</v>
      </c>
      <c r="AN123" s="228">
        <f t="shared" si="163"/>
        <v>0</v>
      </c>
      <c r="AO123" s="228">
        <f t="shared" si="163"/>
        <v>0</v>
      </c>
      <c r="AP123" s="228">
        <f t="shared" si="163"/>
        <v>0</v>
      </c>
      <c r="AQ123" s="228">
        <f>SUM(G123:AP123)</f>
        <v>663321641</v>
      </c>
      <c r="AR123" s="229">
        <f t="shared" si="143"/>
        <v>3.0210608437197411E-3</v>
      </c>
      <c r="AS123" s="230">
        <f>F123-AQ123</f>
        <v>1532336359</v>
      </c>
      <c r="AT123" s="229">
        <f>AS123/F123*100</f>
        <v>69.789391562802578</v>
      </c>
      <c r="AU123" s="220" t="s">
        <v>576</v>
      </c>
      <c r="AV123" s="220" t="s">
        <v>560</v>
      </c>
      <c r="AW123" s="220" t="s">
        <v>4837</v>
      </c>
      <c r="AX123" s="228">
        <f t="shared" ref="AX123:BE123" si="164">AX124</f>
        <v>40653115</v>
      </c>
      <c r="AY123" s="228">
        <f t="shared" si="164"/>
        <v>80540400</v>
      </c>
      <c r="AZ123" s="228">
        <f t="shared" si="164"/>
        <v>8768422</v>
      </c>
      <c r="BA123" s="228">
        <f t="shared" si="164"/>
        <v>35138796</v>
      </c>
      <c r="BB123" s="228">
        <f t="shared" si="164"/>
        <v>64950711</v>
      </c>
      <c r="BC123" s="228">
        <f t="shared" si="164"/>
        <v>51430197</v>
      </c>
      <c r="BD123" s="228">
        <f t="shared" si="164"/>
        <v>0</v>
      </c>
      <c r="BE123" s="228">
        <f t="shared" si="164"/>
        <v>0</v>
      </c>
    </row>
    <row r="124" spans="2:57" x14ac:dyDescent="0.3">
      <c r="B124" s="226" t="s">
        <v>557</v>
      </c>
      <c r="C124" s="227" t="s">
        <v>89</v>
      </c>
      <c r="D124" s="227"/>
      <c r="E124" s="227"/>
      <c r="F124" s="228">
        <f>F125+F128+F131+F134+F137</f>
        <v>2195658000</v>
      </c>
      <c r="G124" s="228">
        <f t="shared" ref="G124:AP124" si="165">G125+G128+G131+G134+G137</f>
        <v>0</v>
      </c>
      <c r="H124" s="228">
        <f t="shared" si="165"/>
        <v>0</v>
      </c>
      <c r="I124" s="228">
        <f t="shared" si="165"/>
        <v>0</v>
      </c>
      <c r="J124" s="228">
        <f t="shared" si="165"/>
        <v>63640000</v>
      </c>
      <c r="K124" s="228">
        <f t="shared" si="165"/>
        <v>0</v>
      </c>
      <c r="L124" s="228">
        <f t="shared" si="165"/>
        <v>0</v>
      </c>
      <c r="M124" s="228">
        <f t="shared" si="165"/>
        <v>63640000</v>
      </c>
      <c r="N124" s="228">
        <f t="shared" si="165"/>
        <v>49421537</v>
      </c>
      <c r="O124" s="228">
        <f t="shared" si="165"/>
        <v>80540400</v>
      </c>
      <c r="P124" s="228">
        <f t="shared" si="165"/>
        <v>127280000</v>
      </c>
      <c r="Q124" s="228">
        <f t="shared" si="165"/>
        <v>35138796</v>
      </c>
      <c r="R124" s="228">
        <f t="shared" si="165"/>
        <v>0</v>
      </c>
      <c r="S124" s="228">
        <f t="shared" si="165"/>
        <v>63640000</v>
      </c>
      <c r="T124" s="228">
        <f t="shared" si="165"/>
        <v>116380908</v>
      </c>
      <c r="U124" s="228">
        <f t="shared" si="165"/>
        <v>0</v>
      </c>
      <c r="V124" s="228">
        <f t="shared" si="165"/>
        <v>63640000</v>
      </c>
      <c r="W124" s="228">
        <f t="shared" si="165"/>
        <v>0</v>
      </c>
      <c r="X124" s="228">
        <f t="shared" si="165"/>
        <v>0</v>
      </c>
      <c r="Y124" s="228">
        <f t="shared" si="165"/>
        <v>0</v>
      </c>
      <c r="Z124" s="228">
        <f t="shared" si="165"/>
        <v>0</v>
      </c>
      <c r="AA124" s="228">
        <f t="shared" si="165"/>
        <v>0</v>
      </c>
      <c r="AB124" s="228">
        <f t="shared" si="165"/>
        <v>0</v>
      </c>
      <c r="AC124" s="228">
        <f t="shared" si="165"/>
        <v>0</v>
      </c>
      <c r="AD124" s="228">
        <f t="shared" si="165"/>
        <v>0</v>
      </c>
      <c r="AE124" s="228">
        <f t="shared" si="165"/>
        <v>0</v>
      </c>
      <c r="AF124" s="228">
        <f t="shared" si="165"/>
        <v>0</v>
      </c>
      <c r="AG124" s="228">
        <f t="shared" si="165"/>
        <v>0</v>
      </c>
      <c r="AH124" s="228">
        <f t="shared" si="165"/>
        <v>0</v>
      </c>
      <c r="AI124" s="228">
        <f t="shared" si="165"/>
        <v>0</v>
      </c>
      <c r="AJ124" s="228">
        <f t="shared" si="165"/>
        <v>0</v>
      </c>
      <c r="AK124" s="228">
        <f t="shared" si="165"/>
        <v>0</v>
      </c>
      <c r="AL124" s="228">
        <f t="shared" si="165"/>
        <v>0</v>
      </c>
      <c r="AM124" s="228">
        <f t="shared" si="165"/>
        <v>0</v>
      </c>
      <c r="AN124" s="228">
        <f t="shared" si="165"/>
        <v>0</v>
      </c>
      <c r="AO124" s="228">
        <f t="shared" si="165"/>
        <v>0</v>
      </c>
      <c r="AP124" s="228">
        <f t="shared" si="165"/>
        <v>0</v>
      </c>
      <c r="AQ124" s="228">
        <f>SUM(G124:AP124)</f>
        <v>663321641</v>
      </c>
      <c r="AR124" s="229">
        <f t="shared" si="143"/>
        <v>3.0210608437197411E-3</v>
      </c>
      <c r="AS124" s="230">
        <f>F124-AQ124</f>
        <v>1532336359</v>
      </c>
      <c r="AT124" s="229">
        <f t="shared" si="122"/>
        <v>69.789391562802578</v>
      </c>
      <c r="AU124" s="220" t="s">
        <v>576</v>
      </c>
      <c r="AV124" s="220" t="s">
        <v>560</v>
      </c>
      <c r="AW124" s="220" t="s">
        <v>4837</v>
      </c>
      <c r="AX124" s="228">
        <f t="shared" ref="AX124:AZ124" si="166">AX125+AX128+AX131+AX134+AX137</f>
        <v>40653115</v>
      </c>
      <c r="AY124" s="228">
        <f t="shared" si="166"/>
        <v>80540400</v>
      </c>
      <c r="AZ124" s="228">
        <f t="shared" si="166"/>
        <v>8768422</v>
      </c>
      <c r="BA124" s="228">
        <f t="shared" ref="BA124" si="167">BA125+BA128+BA131+BA134+BA137</f>
        <v>35138796</v>
      </c>
      <c r="BB124" s="228">
        <f t="shared" ref="BB124" si="168">BB125+BB128+BB131+BB134+BB137</f>
        <v>64950711</v>
      </c>
      <c r="BC124" s="228">
        <f t="shared" ref="BC124:BD124" si="169">BC125+BC128+BC131+BC134+BC137</f>
        <v>51430197</v>
      </c>
      <c r="BD124" s="228">
        <f t="shared" si="169"/>
        <v>0</v>
      </c>
      <c r="BE124" s="228">
        <f t="shared" ref="BE124" si="170">BE125+BE128+BE131+BE134+BE137</f>
        <v>0</v>
      </c>
    </row>
    <row r="125" spans="2:57" x14ac:dyDescent="0.3">
      <c r="B125" s="290" t="s">
        <v>1807</v>
      </c>
      <c r="C125" s="222" t="s">
        <v>2171</v>
      </c>
      <c r="D125" s="222"/>
      <c r="E125" s="222"/>
      <c r="F125" s="223">
        <f>SUM(F126:F127)</f>
        <v>1254380000</v>
      </c>
      <c r="G125" s="223">
        <f t="shared" ref="G125:AP125" si="171">SUM(G126:G127)</f>
        <v>0</v>
      </c>
      <c r="H125" s="223">
        <f t="shared" si="171"/>
        <v>0</v>
      </c>
      <c r="I125" s="223">
        <f t="shared" si="171"/>
        <v>0</v>
      </c>
      <c r="J125" s="223">
        <f t="shared" si="171"/>
        <v>63640000</v>
      </c>
      <c r="K125" s="223">
        <f t="shared" si="171"/>
        <v>0</v>
      </c>
      <c r="L125" s="223">
        <f t="shared" si="171"/>
        <v>0</v>
      </c>
      <c r="M125" s="223">
        <f t="shared" si="171"/>
        <v>63640000</v>
      </c>
      <c r="N125" s="223">
        <f t="shared" si="171"/>
        <v>22203587</v>
      </c>
      <c r="O125" s="223">
        <f t="shared" si="171"/>
        <v>27406900</v>
      </c>
      <c r="P125" s="223">
        <f t="shared" si="171"/>
        <v>127280000</v>
      </c>
      <c r="Q125" s="223">
        <f t="shared" si="171"/>
        <v>17187096</v>
      </c>
      <c r="R125" s="223">
        <f t="shared" si="171"/>
        <v>0</v>
      </c>
      <c r="S125" s="223">
        <f t="shared" si="171"/>
        <v>63640000</v>
      </c>
      <c r="T125" s="223">
        <f t="shared" si="171"/>
        <v>39128568</v>
      </c>
      <c r="U125" s="223">
        <f t="shared" si="171"/>
        <v>0</v>
      </c>
      <c r="V125" s="223">
        <f t="shared" si="171"/>
        <v>63640000</v>
      </c>
      <c r="W125" s="223">
        <f t="shared" si="171"/>
        <v>0</v>
      </c>
      <c r="X125" s="223">
        <f t="shared" si="171"/>
        <v>0</v>
      </c>
      <c r="Y125" s="223">
        <f t="shared" si="171"/>
        <v>0</v>
      </c>
      <c r="Z125" s="223">
        <f t="shared" si="171"/>
        <v>0</v>
      </c>
      <c r="AA125" s="223">
        <f t="shared" si="171"/>
        <v>0</v>
      </c>
      <c r="AB125" s="223">
        <f t="shared" si="171"/>
        <v>0</v>
      </c>
      <c r="AC125" s="223">
        <f t="shared" si="171"/>
        <v>0</v>
      </c>
      <c r="AD125" s="223">
        <f t="shared" si="171"/>
        <v>0</v>
      </c>
      <c r="AE125" s="223">
        <f t="shared" si="171"/>
        <v>0</v>
      </c>
      <c r="AF125" s="223">
        <f t="shared" si="171"/>
        <v>0</v>
      </c>
      <c r="AG125" s="223">
        <f t="shared" si="171"/>
        <v>0</v>
      </c>
      <c r="AH125" s="223">
        <f t="shared" si="171"/>
        <v>0</v>
      </c>
      <c r="AI125" s="223">
        <f t="shared" si="171"/>
        <v>0</v>
      </c>
      <c r="AJ125" s="223">
        <f t="shared" si="171"/>
        <v>0</v>
      </c>
      <c r="AK125" s="223">
        <f t="shared" si="171"/>
        <v>0</v>
      </c>
      <c r="AL125" s="223">
        <f t="shared" si="171"/>
        <v>0</v>
      </c>
      <c r="AM125" s="223">
        <f t="shared" si="171"/>
        <v>0</v>
      </c>
      <c r="AN125" s="223">
        <f t="shared" si="171"/>
        <v>0</v>
      </c>
      <c r="AO125" s="223">
        <f t="shared" si="171"/>
        <v>0</v>
      </c>
      <c r="AP125" s="223">
        <f t="shared" si="171"/>
        <v>0</v>
      </c>
      <c r="AQ125" s="223">
        <f>SUM(G125:AP125)</f>
        <v>487766151</v>
      </c>
      <c r="AR125" s="231">
        <f t="shared" si="143"/>
        <v>3.8885038903681501E-3</v>
      </c>
      <c r="AS125" s="232">
        <f>F125-AQ125</f>
        <v>766613849</v>
      </c>
      <c r="AT125" s="231">
        <f>AS125/F125*100</f>
        <v>61.114961096318495</v>
      </c>
      <c r="AU125" s="220" t="s">
        <v>576</v>
      </c>
      <c r="AV125" s="220" t="s">
        <v>560</v>
      </c>
      <c r="AW125" s="220" t="s">
        <v>4837</v>
      </c>
      <c r="AX125" s="223">
        <f t="shared" ref="AX125:AZ125" si="172">SUM(AX126:AX127)</f>
        <v>15353865</v>
      </c>
      <c r="AY125" s="223">
        <f t="shared" si="172"/>
        <v>27406900</v>
      </c>
      <c r="AZ125" s="223">
        <f t="shared" si="172"/>
        <v>6849722</v>
      </c>
      <c r="BA125" s="223">
        <f t="shared" ref="BA125" si="173">SUM(BA126:BA127)</f>
        <v>17187096</v>
      </c>
      <c r="BB125" s="223">
        <f t="shared" ref="BB125" si="174">SUM(BB126:BB127)</f>
        <v>10296711</v>
      </c>
      <c r="BC125" s="223">
        <f t="shared" ref="BC125:BD125" si="175">SUM(BC126:BC127)</f>
        <v>28831857</v>
      </c>
      <c r="BD125" s="223">
        <f t="shared" si="175"/>
        <v>0</v>
      </c>
      <c r="BE125" s="223">
        <f t="shared" ref="BE125" si="176">SUM(BE126:BE127)</f>
        <v>0</v>
      </c>
    </row>
    <row r="126" spans="2:57" x14ac:dyDescent="0.3">
      <c r="B126" s="288">
        <v>521111</v>
      </c>
      <c r="C126" s="220" t="s">
        <v>90</v>
      </c>
      <c r="D126" s="220"/>
      <c r="E126" s="220"/>
      <c r="F126" s="221">
        <v>1076220000</v>
      </c>
      <c r="G126" s="221"/>
      <c r="H126" s="221"/>
      <c r="I126" s="221"/>
      <c r="J126" s="221">
        <v>63640000</v>
      </c>
      <c r="K126" s="221"/>
      <c r="L126" s="221"/>
      <c r="M126" s="221">
        <v>63640000</v>
      </c>
      <c r="N126" s="221">
        <f>2178865+6849722</f>
        <v>9028587</v>
      </c>
      <c r="O126" s="221">
        <v>8107900</v>
      </c>
      <c r="P126" s="221">
        <f>63640000+63640000</f>
        <v>127280000</v>
      </c>
      <c r="Q126" s="221">
        <v>8235096</v>
      </c>
      <c r="R126" s="221"/>
      <c r="S126" s="221">
        <v>63640000</v>
      </c>
      <c r="T126" s="221">
        <f>8616711+7229857</f>
        <v>15846568</v>
      </c>
      <c r="U126" s="221"/>
      <c r="V126" s="221">
        <v>63640000</v>
      </c>
      <c r="W126" s="221"/>
      <c r="X126" s="221"/>
      <c r="Y126" s="221"/>
      <c r="Z126" s="221"/>
      <c r="AA126" s="221"/>
      <c r="AB126" s="221"/>
      <c r="AC126" s="221"/>
      <c r="AD126" s="221"/>
      <c r="AE126" s="221"/>
      <c r="AF126" s="221"/>
      <c r="AG126" s="221"/>
      <c r="AH126" s="221"/>
      <c r="AI126" s="221"/>
      <c r="AJ126" s="221"/>
      <c r="AK126" s="221"/>
      <c r="AL126" s="221"/>
      <c r="AM126" s="221"/>
      <c r="AN126" s="221"/>
      <c r="AO126" s="221"/>
      <c r="AP126" s="221"/>
      <c r="AQ126" s="221">
        <f>SUM(G126:AP126)</f>
        <v>423058151</v>
      </c>
      <c r="AR126" s="224">
        <f t="shared" si="143"/>
        <v>3.9309634740108904E-3</v>
      </c>
      <c r="AS126" s="225">
        <f>F126-AQ126</f>
        <v>653161849</v>
      </c>
      <c r="AT126" s="224">
        <f>AS126/F126*100</f>
        <v>60.690365259891102</v>
      </c>
      <c r="AU126" s="220" t="s">
        <v>576</v>
      </c>
      <c r="AV126" s="220" t="s">
        <v>560</v>
      </c>
      <c r="AW126" s="220" t="s">
        <v>4837</v>
      </c>
      <c r="AX126" s="221">
        <v>2178865</v>
      </c>
      <c r="AY126" s="221">
        <v>8107900</v>
      </c>
      <c r="AZ126" s="302">
        <v>6849722</v>
      </c>
      <c r="BA126" s="221">
        <v>8235096</v>
      </c>
      <c r="BB126" s="221">
        <v>8616711</v>
      </c>
      <c r="BC126" s="221">
        <v>7229857</v>
      </c>
      <c r="BD126" s="221"/>
      <c r="BE126" s="221"/>
    </row>
    <row r="127" spans="2:57" x14ac:dyDescent="0.3">
      <c r="B127" s="288">
        <v>521811</v>
      </c>
      <c r="C127" s="220" t="s">
        <v>64</v>
      </c>
      <c r="D127" s="220"/>
      <c r="E127" s="220"/>
      <c r="F127" s="221">
        <v>178160000</v>
      </c>
      <c r="G127" s="221"/>
      <c r="H127" s="221"/>
      <c r="I127" s="221"/>
      <c r="J127" s="221"/>
      <c r="K127" s="221"/>
      <c r="L127" s="221"/>
      <c r="M127" s="221"/>
      <c r="N127" s="221">
        <v>13175000</v>
      </c>
      <c r="O127" s="221">
        <v>19299000</v>
      </c>
      <c r="P127" s="221"/>
      <c r="Q127" s="221">
        <v>8952000</v>
      </c>
      <c r="R127" s="221"/>
      <c r="S127" s="221"/>
      <c r="T127" s="221">
        <f>1680000+21602000</f>
        <v>23282000</v>
      </c>
      <c r="U127" s="221"/>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f t="shared" si="119"/>
        <v>64708000</v>
      </c>
      <c r="AR127" s="224">
        <f t="shared" si="143"/>
        <v>3.6320161652447238E-3</v>
      </c>
      <c r="AS127" s="225">
        <f>F127-AQ127</f>
        <v>113452000</v>
      </c>
      <c r="AT127" s="224">
        <f t="shared" si="122"/>
        <v>63.679838347552767</v>
      </c>
      <c r="AU127" s="220" t="s">
        <v>576</v>
      </c>
      <c r="AV127" s="220" t="s">
        <v>560</v>
      </c>
      <c r="AW127" s="220" t="s">
        <v>4837</v>
      </c>
      <c r="AX127" s="221">
        <v>13175000</v>
      </c>
      <c r="AY127" s="221">
        <v>19299000</v>
      </c>
      <c r="AZ127" s="302"/>
      <c r="BA127" s="221">
        <v>8952000</v>
      </c>
      <c r="BB127" s="221">
        <v>1680000</v>
      </c>
      <c r="BC127" s="221">
        <v>21602000</v>
      </c>
      <c r="BD127" s="221"/>
      <c r="BE127" s="221"/>
    </row>
    <row r="128" spans="2:57" x14ac:dyDescent="0.3">
      <c r="B128" s="290" t="s">
        <v>2208</v>
      </c>
      <c r="C128" s="222" t="s">
        <v>2209</v>
      </c>
      <c r="D128" s="222"/>
      <c r="E128" s="222"/>
      <c r="F128" s="223">
        <f t="shared" ref="F128:AP128" si="177">SUM(F129:F130)</f>
        <v>148852000</v>
      </c>
      <c r="G128" s="223">
        <f t="shared" si="177"/>
        <v>0</v>
      </c>
      <c r="H128" s="223">
        <f t="shared" si="177"/>
        <v>0</v>
      </c>
      <c r="I128" s="223">
        <f t="shared" si="177"/>
        <v>0</v>
      </c>
      <c r="J128" s="223">
        <f t="shared" si="177"/>
        <v>0</v>
      </c>
      <c r="K128" s="223">
        <f t="shared" si="177"/>
        <v>0</v>
      </c>
      <c r="L128" s="223">
        <f t="shared" si="177"/>
        <v>0</v>
      </c>
      <c r="M128" s="223">
        <f t="shared" si="177"/>
        <v>0</v>
      </c>
      <c r="N128" s="223">
        <f t="shared" si="177"/>
        <v>354050</v>
      </c>
      <c r="O128" s="223">
        <f t="shared" si="177"/>
        <v>4950000</v>
      </c>
      <c r="P128" s="223">
        <f t="shared" si="177"/>
        <v>0</v>
      </c>
      <c r="Q128" s="223">
        <f t="shared" si="177"/>
        <v>10503000</v>
      </c>
      <c r="R128" s="223">
        <f t="shared" si="177"/>
        <v>0</v>
      </c>
      <c r="S128" s="223">
        <f t="shared" si="177"/>
        <v>0</v>
      </c>
      <c r="T128" s="223">
        <f t="shared" si="177"/>
        <v>6279000</v>
      </c>
      <c r="U128" s="223">
        <f t="shared" si="177"/>
        <v>0</v>
      </c>
      <c r="V128" s="223">
        <f t="shared" si="177"/>
        <v>0</v>
      </c>
      <c r="W128" s="223">
        <f t="shared" si="177"/>
        <v>0</v>
      </c>
      <c r="X128" s="223">
        <f t="shared" si="177"/>
        <v>0</v>
      </c>
      <c r="Y128" s="223">
        <f t="shared" si="177"/>
        <v>0</v>
      </c>
      <c r="Z128" s="223">
        <f t="shared" si="177"/>
        <v>0</v>
      </c>
      <c r="AA128" s="223">
        <f t="shared" si="177"/>
        <v>0</v>
      </c>
      <c r="AB128" s="223">
        <f t="shared" si="177"/>
        <v>0</v>
      </c>
      <c r="AC128" s="223">
        <f t="shared" si="177"/>
        <v>0</v>
      </c>
      <c r="AD128" s="223">
        <f t="shared" si="177"/>
        <v>0</v>
      </c>
      <c r="AE128" s="223">
        <f t="shared" si="177"/>
        <v>0</v>
      </c>
      <c r="AF128" s="223">
        <f t="shared" si="177"/>
        <v>0</v>
      </c>
      <c r="AG128" s="223">
        <f t="shared" si="177"/>
        <v>0</v>
      </c>
      <c r="AH128" s="223">
        <f t="shared" si="177"/>
        <v>0</v>
      </c>
      <c r="AI128" s="223">
        <f t="shared" si="177"/>
        <v>0</v>
      </c>
      <c r="AJ128" s="223">
        <f t="shared" si="177"/>
        <v>0</v>
      </c>
      <c r="AK128" s="223">
        <f t="shared" si="177"/>
        <v>0</v>
      </c>
      <c r="AL128" s="223">
        <f t="shared" si="177"/>
        <v>0</v>
      </c>
      <c r="AM128" s="223">
        <f t="shared" si="177"/>
        <v>0</v>
      </c>
      <c r="AN128" s="223">
        <f t="shared" si="177"/>
        <v>0</v>
      </c>
      <c r="AO128" s="223">
        <f t="shared" si="177"/>
        <v>0</v>
      </c>
      <c r="AP128" s="223">
        <f t="shared" si="177"/>
        <v>0</v>
      </c>
      <c r="AQ128" s="223">
        <f t="shared" ref="AQ128:AQ138" si="178">SUM(G128:AP128)</f>
        <v>22086050</v>
      </c>
      <c r="AR128" s="231">
        <f t="shared" ref="AR128:AR129" si="179">AQ128/F128/100</f>
        <v>1.4837590358208154E-3</v>
      </c>
      <c r="AS128" s="232">
        <f t="shared" ref="AS128" si="180">F128-AQ128</f>
        <v>126765950</v>
      </c>
      <c r="AT128" s="231">
        <f t="shared" ref="AT128:AT135" si="181">AS128/F128*100</f>
        <v>85.162409641791854</v>
      </c>
      <c r="AU128" s="220" t="s">
        <v>576</v>
      </c>
      <c r="AV128" s="220" t="s">
        <v>560</v>
      </c>
      <c r="AW128" s="220" t="s">
        <v>4837</v>
      </c>
      <c r="AX128" s="223">
        <f>SUM(AX129:AX130)</f>
        <v>295050</v>
      </c>
      <c r="AY128" s="223">
        <f t="shared" ref="AY128:BA128" si="182">SUM(AY129:AY130)</f>
        <v>4950000</v>
      </c>
      <c r="AZ128" s="223">
        <f t="shared" si="182"/>
        <v>59000</v>
      </c>
      <c r="BA128" s="223">
        <f t="shared" si="182"/>
        <v>10503000</v>
      </c>
      <c r="BB128" s="223">
        <f t="shared" ref="BB128" si="183">SUM(BB129:BB130)</f>
        <v>276000</v>
      </c>
      <c r="BC128" s="223">
        <f t="shared" ref="BC128:BD128" si="184">SUM(BC129:BC130)</f>
        <v>6003000</v>
      </c>
      <c r="BD128" s="223">
        <f t="shared" si="184"/>
        <v>0</v>
      </c>
      <c r="BE128" s="223">
        <f t="shared" ref="BE128" si="185">SUM(BE129:BE130)</f>
        <v>0</v>
      </c>
    </row>
    <row r="129" spans="2:57" x14ac:dyDescent="0.3">
      <c r="B129" s="288">
        <v>521114</v>
      </c>
      <c r="C129" s="220" t="s">
        <v>94</v>
      </c>
      <c r="D129" s="220"/>
      <c r="E129" s="220"/>
      <c r="F129" s="221">
        <v>30000000</v>
      </c>
      <c r="G129" s="221"/>
      <c r="H129" s="221"/>
      <c r="I129" s="221"/>
      <c r="J129" s="221"/>
      <c r="K129" s="221"/>
      <c r="L129" s="221"/>
      <c r="M129" s="221"/>
      <c r="N129" s="221">
        <f>295050+59000</f>
        <v>354050</v>
      </c>
      <c r="O129" s="221"/>
      <c r="P129" s="221"/>
      <c r="Q129" s="221">
        <v>603000</v>
      </c>
      <c r="R129" s="221"/>
      <c r="S129" s="221"/>
      <c r="T129" s="221">
        <f>276000+1053000</f>
        <v>1329000</v>
      </c>
      <c r="U129" s="221"/>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f t="shared" si="178"/>
        <v>2286050</v>
      </c>
      <c r="AR129" s="224">
        <f t="shared" si="179"/>
        <v>7.6201666666666666E-4</v>
      </c>
      <c r="AS129" s="225">
        <f t="shared" ref="AS129:AS138" si="186">F129-AQ129</f>
        <v>27713950</v>
      </c>
      <c r="AT129" s="224">
        <f t="shared" si="181"/>
        <v>92.379833333333337</v>
      </c>
      <c r="AU129" s="220" t="s">
        <v>576</v>
      </c>
      <c r="AV129" s="220" t="s">
        <v>560</v>
      </c>
      <c r="AW129" s="220" t="s">
        <v>4837</v>
      </c>
      <c r="AX129" s="221">
        <v>295050</v>
      </c>
      <c r="AY129" s="221"/>
      <c r="AZ129" s="302">
        <v>59000</v>
      </c>
      <c r="BA129" s="221">
        <v>603000</v>
      </c>
      <c r="BB129" s="221">
        <v>276000</v>
      </c>
      <c r="BC129" s="221">
        <v>1053000</v>
      </c>
      <c r="BD129" s="221"/>
      <c r="BE129" s="221"/>
    </row>
    <row r="130" spans="2:57" x14ac:dyDescent="0.3">
      <c r="B130" s="288">
        <v>522141</v>
      </c>
      <c r="C130" s="220" t="s">
        <v>95</v>
      </c>
      <c r="D130" s="220"/>
      <c r="E130" s="220"/>
      <c r="F130" s="221">
        <v>118852000</v>
      </c>
      <c r="G130" s="221"/>
      <c r="H130" s="221"/>
      <c r="I130" s="221"/>
      <c r="J130" s="221"/>
      <c r="K130" s="221"/>
      <c r="L130" s="221"/>
      <c r="M130" s="221"/>
      <c r="N130" s="221"/>
      <c r="O130" s="221">
        <v>4950000</v>
      </c>
      <c r="P130" s="221"/>
      <c r="Q130" s="221">
        <v>9900000</v>
      </c>
      <c r="R130" s="221"/>
      <c r="S130" s="221"/>
      <c r="T130" s="221">
        <v>4950000</v>
      </c>
      <c r="U130" s="221"/>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f t="shared" si="178"/>
        <v>19800000</v>
      </c>
      <c r="AR130" s="224">
        <f t="shared" ref="AR130:AR132" si="187">AQ130/F130/100</f>
        <v>1.6659374684481539E-3</v>
      </c>
      <c r="AS130" s="225">
        <f t="shared" si="186"/>
        <v>99052000</v>
      </c>
      <c r="AT130" s="224">
        <f t="shared" si="181"/>
        <v>83.340625315518452</v>
      </c>
      <c r="AU130" s="220" t="s">
        <v>576</v>
      </c>
      <c r="AV130" s="220" t="s">
        <v>560</v>
      </c>
      <c r="AW130" s="220" t="s">
        <v>4837</v>
      </c>
      <c r="AX130" s="221"/>
      <c r="AY130" s="221">
        <v>4950000</v>
      </c>
      <c r="AZ130" s="302"/>
      <c r="BA130" s="221">
        <v>9900000</v>
      </c>
      <c r="BB130" s="221"/>
      <c r="BC130" s="221">
        <v>4950000</v>
      </c>
      <c r="BD130" s="221"/>
      <c r="BE130" s="221"/>
    </row>
    <row r="131" spans="2:57" x14ac:dyDescent="0.3">
      <c r="B131" s="290" t="s">
        <v>2219</v>
      </c>
      <c r="C131" s="222" t="s">
        <v>2220</v>
      </c>
      <c r="D131" s="222"/>
      <c r="E131" s="222"/>
      <c r="F131" s="223">
        <f>SUM(F132:F133)</f>
        <v>533050000</v>
      </c>
      <c r="G131" s="223">
        <f t="shared" ref="G131:BA131" si="188">SUM(G132:G133)</f>
        <v>0</v>
      </c>
      <c r="H131" s="223">
        <f t="shared" si="188"/>
        <v>0</v>
      </c>
      <c r="I131" s="223">
        <f t="shared" si="188"/>
        <v>0</v>
      </c>
      <c r="J131" s="223">
        <f t="shared" si="188"/>
        <v>0</v>
      </c>
      <c r="K131" s="223">
        <f t="shared" si="188"/>
        <v>0</v>
      </c>
      <c r="L131" s="223">
        <f t="shared" si="188"/>
        <v>0</v>
      </c>
      <c r="M131" s="223">
        <f t="shared" si="188"/>
        <v>0</v>
      </c>
      <c r="N131" s="223">
        <f t="shared" si="188"/>
        <v>26863900</v>
      </c>
      <c r="O131" s="223">
        <f t="shared" si="188"/>
        <v>38727500</v>
      </c>
      <c r="P131" s="223">
        <f t="shared" si="188"/>
        <v>0</v>
      </c>
      <c r="Q131" s="223">
        <f t="shared" si="188"/>
        <v>7448700</v>
      </c>
      <c r="R131" s="223">
        <f t="shared" si="188"/>
        <v>0</v>
      </c>
      <c r="S131" s="223">
        <f t="shared" si="188"/>
        <v>0</v>
      </c>
      <c r="T131" s="223">
        <f t="shared" si="188"/>
        <v>21835340</v>
      </c>
      <c r="U131" s="223">
        <f t="shared" si="188"/>
        <v>0</v>
      </c>
      <c r="V131" s="223">
        <f t="shared" si="188"/>
        <v>0</v>
      </c>
      <c r="W131" s="223">
        <f t="shared" si="188"/>
        <v>0</v>
      </c>
      <c r="X131" s="223">
        <f t="shared" si="188"/>
        <v>0</v>
      </c>
      <c r="Y131" s="223">
        <f t="shared" si="188"/>
        <v>0</v>
      </c>
      <c r="Z131" s="223">
        <f t="shared" si="188"/>
        <v>0</v>
      </c>
      <c r="AA131" s="223">
        <f t="shared" si="188"/>
        <v>0</v>
      </c>
      <c r="AB131" s="223">
        <f t="shared" si="188"/>
        <v>0</v>
      </c>
      <c r="AC131" s="223">
        <f t="shared" si="188"/>
        <v>0</v>
      </c>
      <c r="AD131" s="223">
        <f t="shared" si="188"/>
        <v>0</v>
      </c>
      <c r="AE131" s="223">
        <f t="shared" si="188"/>
        <v>0</v>
      </c>
      <c r="AF131" s="223">
        <f t="shared" si="188"/>
        <v>0</v>
      </c>
      <c r="AG131" s="223">
        <f t="shared" si="188"/>
        <v>0</v>
      </c>
      <c r="AH131" s="223">
        <f t="shared" si="188"/>
        <v>0</v>
      </c>
      <c r="AI131" s="223">
        <f t="shared" si="188"/>
        <v>0</v>
      </c>
      <c r="AJ131" s="223">
        <f t="shared" si="188"/>
        <v>0</v>
      </c>
      <c r="AK131" s="223">
        <f t="shared" si="188"/>
        <v>0</v>
      </c>
      <c r="AL131" s="223">
        <f t="shared" si="188"/>
        <v>0</v>
      </c>
      <c r="AM131" s="223">
        <f t="shared" si="188"/>
        <v>0</v>
      </c>
      <c r="AN131" s="223">
        <f t="shared" si="188"/>
        <v>0</v>
      </c>
      <c r="AO131" s="223">
        <f t="shared" si="188"/>
        <v>0</v>
      </c>
      <c r="AP131" s="223">
        <f t="shared" si="188"/>
        <v>0</v>
      </c>
      <c r="AQ131" s="223">
        <f t="shared" si="178"/>
        <v>94875440</v>
      </c>
      <c r="AR131" s="231">
        <f t="shared" si="187"/>
        <v>1.7798600506519087E-3</v>
      </c>
      <c r="AS131" s="232">
        <f t="shared" si="186"/>
        <v>438174560</v>
      </c>
      <c r="AT131" s="231">
        <f t="shared" si="181"/>
        <v>82.201399493480906</v>
      </c>
      <c r="AU131" s="220" t="s">
        <v>576</v>
      </c>
      <c r="AV131" s="220" t="s">
        <v>560</v>
      </c>
      <c r="AW131" s="220" t="s">
        <v>4837</v>
      </c>
      <c r="AX131" s="223">
        <f t="shared" si="188"/>
        <v>25004200</v>
      </c>
      <c r="AY131" s="223">
        <f t="shared" si="188"/>
        <v>38727500</v>
      </c>
      <c r="AZ131" s="223">
        <f t="shared" si="188"/>
        <v>1859700</v>
      </c>
      <c r="BA131" s="223">
        <f t="shared" si="188"/>
        <v>7448700</v>
      </c>
      <c r="BB131" s="223">
        <f t="shared" ref="BB131" si="189">SUM(BB132:BB133)</f>
        <v>9968000</v>
      </c>
      <c r="BC131" s="223">
        <f t="shared" ref="BC131:BD131" si="190">SUM(BC132:BC133)</f>
        <v>11867340</v>
      </c>
      <c r="BD131" s="223">
        <f t="shared" si="190"/>
        <v>0</v>
      </c>
      <c r="BE131" s="223">
        <f t="shared" ref="BE131" si="191">SUM(BE132:BE133)</f>
        <v>0</v>
      </c>
    </row>
    <row r="132" spans="2:57" x14ac:dyDescent="0.3">
      <c r="B132" s="288">
        <v>523121</v>
      </c>
      <c r="C132" s="220" t="s">
        <v>99</v>
      </c>
      <c r="D132" s="220"/>
      <c r="E132" s="220"/>
      <c r="F132" s="221">
        <v>497050000</v>
      </c>
      <c r="G132" s="221"/>
      <c r="H132" s="221"/>
      <c r="I132" s="221"/>
      <c r="J132" s="221"/>
      <c r="K132" s="221"/>
      <c r="L132" s="221"/>
      <c r="M132" s="221"/>
      <c r="N132" s="221">
        <f>25004200+1859700</f>
        <v>26863900</v>
      </c>
      <c r="O132" s="221">
        <v>32727500</v>
      </c>
      <c r="P132" s="221"/>
      <c r="Q132" s="221">
        <v>7448700</v>
      </c>
      <c r="R132" s="221"/>
      <c r="S132" s="221"/>
      <c r="T132" s="221">
        <f>6968000+11867340</f>
        <v>18835340</v>
      </c>
      <c r="U132" s="221"/>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f t="shared" si="178"/>
        <v>85875440</v>
      </c>
      <c r="AR132" s="224">
        <f t="shared" si="187"/>
        <v>1.7277022432350868E-3</v>
      </c>
      <c r="AS132" s="225">
        <f t="shared" si="186"/>
        <v>411174560</v>
      </c>
      <c r="AT132" s="224">
        <f t="shared" si="181"/>
        <v>82.722977567649124</v>
      </c>
      <c r="AU132" s="220" t="s">
        <v>576</v>
      </c>
      <c r="AV132" s="220" t="s">
        <v>560</v>
      </c>
      <c r="AW132" s="220" t="s">
        <v>4837</v>
      </c>
      <c r="AX132" s="221">
        <v>25004200</v>
      </c>
      <c r="AY132" s="221">
        <v>32727500</v>
      </c>
      <c r="AZ132" s="302">
        <v>1859700</v>
      </c>
      <c r="BA132" s="221">
        <v>7448700</v>
      </c>
      <c r="BB132" s="221">
        <v>6968000</v>
      </c>
      <c r="BC132" s="221">
        <v>11867340</v>
      </c>
      <c r="BD132" s="221"/>
      <c r="BE132" s="221"/>
    </row>
    <row r="133" spans="2:57" x14ac:dyDescent="0.3">
      <c r="B133" s="288">
        <v>523199</v>
      </c>
      <c r="C133" s="220" t="s">
        <v>102</v>
      </c>
      <c r="D133" s="220"/>
      <c r="E133" s="220"/>
      <c r="F133" s="221">
        <v>36000000</v>
      </c>
      <c r="G133" s="221"/>
      <c r="H133" s="221"/>
      <c r="I133" s="221"/>
      <c r="J133" s="221"/>
      <c r="K133" s="221"/>
      <c r="L133" s="221"/>
      <c r="M133" s="221"/>
      <c r="N133" s="221"/>
      <c r="O133" s="221">
        <v>6000000</v>
      </c>
      <c r="P133" s="221"/>
      <c r="Q133" s="221"/>
      <c r="R133" s="221"/>
      <c r="S133" s="221"/>
      <c r="T133" s="221">
        <v>3000000</v>
      </c>
      <c r="U133" s="221"/>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f t="shared" si="178"/>
        <v>9000000</v>
      </c>
      <c r="AR133" s="224">
        <f t="shared" ref="AR133:AR135" si="192">AQ133/F133/100</f>
        <v>2.5000000000000001E-3</v>
      </c>
      <c r="AS133" s="225">
        <f t="shared" si="186"/>
        <v>27000000</v>
      </c>
      <c r="AT133" s="224">
        <f t="shared" si="181"/>
        <v>75</v>
      </c>
      <c r="AU133" s="220" t="s">
        <v>576</v>
      </c>
      <c r="AV133" s="220" t="s">
        <v>560</v>
      </c>
      <c r="AW133" s="220" t="s">
        <v>4837</v>
      </c>
      <c r="AX133" s="221"/>
      <c r="AY133" s="221">
        <v>6000000</v>
      </c>
      <c r="AZ133" s="302"/>
      <c r="BA133" s="221"/>
      <c r="BB133" s="221">
        <v>3000000</v>
      </c>
      <c r="BC133" s="221"/>
      <c r="BD133" s="221"/>
      <c r="BE133" s="221"/>
    </row>
    <row r="134" spans="2:57" x14ac:dyDescent="0.3">
      <c r="B134" s="290" t="s">
        <v>2239</v>
      </c>
      <c r="C134" s="222" t="s">
        <v>2240</v>
      </c>
      <c r="D134" s="222"/>
      <c r="E134" s="222"/>
      <c r="F134" s="223">
        <f t="shared" ref="F134:BA134" si="193">SUM(F135:F136)</f>
        <v>159376000</v>
      </c>
      <c r="G134" s="223">
        <f t="shared" si="193"/>
        <v>0</v>
      </c>
      <c r="H134" s="223">
        <f t="shared" si="193"/>
        <v>0</v>
      </c>
      <c r="I134" s="223">
        <f t="shared" si="193"/>
        <v>0</v>
      </c>
      <c r="J134" s="223">
        <f t="shared" si="193"/>
        <v>0</v>
      </c>
      <c r="K134" s="223">
        <f t="shared" si="193"/>
        <v>0</v>
      </c>
      <c r="L134" s="223">
        <f t="shared" si="193"/>
        <v>0</v>
      </c>
      <c r="M134" s="223">
        <f t="shared" si="193"/>
        <v>0</v>
      </c>
      <c r="N134" s="223">
        <f t="shared" si="193"/>
        <v>0</v>
      </c>
      <c r="O134" s="223">
        <f t="shared" si="193"/>
        <v>9456000</v>
      </c>
      <c r="P134" s="223">
        <f t="shared" si="193"/>
        <v>0</v>
      </c>
      <c r="Q134" s="223">
        <f t="shared" si="193"/>
        <v>0</v>
      </c>
      <c r="R134" s="223">
        <f t="shared" si="193"/>
        <v>0</v>
      </c>
      <c r="S134" s="223">
        <f t="shared" si="193"/>
        <v>0</v>
      </c>
      <c r="T134" s="223">
        <f t="shared" si="193"/>
        <v>49138000</v>
      </c>
      <c r="U134" s="223">
        <f t="shared" si="193"/>
        <v>0</v>
      </c>
      <c r="V134" s="223">
        <f t="shared" si="193"/>
        <v>0</v>
      </c>
      <c r="W134" s="223">
        <f t="shared" si="193"/>
        <v>0</v>
      </c>
      <c r="X134" s="223">
        <f t="shared" si="193"/>
        <v>0</v>
      </c>
      <c r="Y134" s="223">
        <f t="shared" si="193"/>
        <v>0</v>
      </c>
      <c r="Z134" s="223">
        <f t="shared" si="193"/>
        <v>0</v>
      </c>
      <c r="AA134" s="223">
        <f t="shared" si="193"/>
        <v>0</v>
      </c>
      <c r="AB134" s="223">
        <f t="shared" si="193"/>
        <v>0</v>
      </c>
      <c r="AC134" s="223">
        <f t="shared" si="193"/>
        <v>0</v>
      </c>
      <c r="AD134" s="223">
        <f t="shared" si="193"/>
        <v>0</v>
      </c>
      <c r="AE134" s="223">
        <f t="shared" si="193"/>
        <v>0</v>
      </c>
      <c r="AF134" s="223">
        <f t="shared" si="193"/>
        <v>0</v>
      </c>
      <c r="AG134" s="223">
        <f t="shared" si="193"/>
        <v>0</v>
      </c>
      <c r="AH134" s="223">
        <f t="shared" si="193"/>
        <v>0</v>
      </c>
      <c r="AI134" s="223">
        <f t="shared" si="193"/>
        <v>0</v>
      </c>
      <c r="AJ134" s="223">
        <f t="shared" si="193"/>
        <v>0</v>
      </c>
      <c r="AK134" s="223">
        <f t="shared" si="193"/>
        <v>0</v>
      </c>
      <c r="AL134" s="223">
        <f t="shared" si="193"/>
        <v>0</v>
      </c>
      <c r="AM134" s="223">
        <f t="shared" si="193"/>
        <v>0</v>
      </c>
      <c r="AN134" s="223">
        <f t="shared" si="193"/>
        <v>0</v>
      </c>
      <c r="AO134" s="223">
        <f t="shared" si="193"/>
        <v>0</v>
      </c>
      <c r="AP134" s="223">
        <f t="shared" si="193"/>
        <v>0</v>
      </c>
      <c r="AQ134" s="223">
        <f t="shared" si="178"/>
        <v>58594000</v>
      </c>
      <c r="AR134" s="231">
        <f t="shared" si="192"/>
        <v>3.676463206505371E-3</v>
      </c>
      <c r="AS134" s="232">
        <f t="shared" si="186"/>
        <v>100782000</v>
      </c>
      <c r="AT134" s="231">
        <f t="shared" si="181"/>
        <v>63.235367934946296</v>
      </c>
      <c r="AU134" s="220" t="s">
        <v>576</v>
      </c>
      <c r="AV134" s="220" t="s">
        <v>560</v>
      </c>
      <c r="AW134" s="220" t="s">
        <v>4837</v>
      </c>
      <c r="AX134" s="223">
        <f t="shared" si="193"/>
        <v>0</v>
      </c>
      <c r="AY134" s="223">
        <f t="shared" si="193"/>
        <v>9456000</v>
      </c>
      <c r="AZ134" s="223">
        <f t="shared" si="193"/>
        <v>0</v>
      </c>
      <c r="BA134" s="223">
        <f t="shared" si="193"/>
        <v>0</v>
      </c>
      <c r="BB134" s="223">
        <f t="shared" ref="BB134" si="194">SUM(BB135:BB136)</f>
        <v>44410000</v>
      </c>
      <c r="BC134" s="223">
        <f t="shared" ref="BC134:BD134" si="195">SUM(BC135:BC136)</f>
        <v>4728000</v>
      </c>
      <c r="BD134" s="223">
        <f t="shared" si="195"/>
        <v>0</v>
      </c>
      <c r="BE134" s="223">
        <f t="shared" ref="BE134" si="196">SUM(BE135:BE136)</f>
        <v>0</v>
      </c>
    </row>
    <row r="135" spans="2:57" x14ac:dyDescent="0.3">
      <c r="B135" s="288">
        <v>521111</v>
      </c>
      <c r="C135" s="220" t="s">
        <v>90</v>
      </c>
      <c r="D135" s="220"/>
      <c r="E135" s="220"/>
      <c r="F135" s="221">
        <v>101040000</v>
      </c>
      <c r="G135" s="221"/>
      <c r="H135" s="221"/>
      <c r="I135" s="221"/>
      <c r="J135" s="221"/>
      <c r="K135" s="221"/>
      <c r="L135" s="221"/>
      <c r="M135" s="221"/>
      <c r="N135" s="221"/>
      <c r="O135" s="221"/>
      <c r="P135" s="221"/>
      <c r="Q135" s="221"/>
      <c r="R135" s="221"/>
      <c r="S135" s="221"/>
      <c r="T135" s="221">
        <f>44410000</f>
        <v>44410000</v>
      </c>
      <c r="U135" s="221"/>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f t="shared" si="178"/>
        <v>44410000</v>
      </c>
      <c r="AR135" s="224">
        <f t="shared" si="192"/>
        <v>4.395288994457641E-3</v>
      </c>
      <c r="AS135" s="225">
        <f t="shared" si="186"/>
        <v>56630000</v>
      </c>
      <c r="AT135" s="224">
        <f t="shared" si="181"/>
        <v>56.047110055423602</v>
      </c>
      <c r="AU135" s="220" t="s">
        <v>576</v>
      </c>
      <c r="AV135" s="220" t="s">
        <v>560</v>
      </c>
      <c r="AW135" s="220" t="s">
        <v>4837</v>
      </c>
      <c r="AX135" s="221"/>
      <c r="AY135" s="221"/>
      <c r="AZ135" s="302"/>
      <c r="BA135" s="221"/>
      <c r="BB135" s="221">
        <v>44410000</v>
      </c>
      <c r="BC135" s="221"/>
      <c r="BD135" s="221"/>
      <c r="BE135" s="221"/>
    </row>
    <row r="136" spans="2:57" x14ac:dyDescent="0.3">
      <c r="B136" s="288">
        <v>521115</v>
      </c>
      <c r="C136" s="220" t="s">
        <v>104</v>
      </c>
      <c r="D136" s="220"/>
      <c r="E136" s="220"/>
      <c r="F136" s="221">
        <v>58336000</v>
      </c>
      <c r="G136" s="221"/>
      <c r="H136" s="221"/>
      <c r="I136" s="221"/>
      <c r="J136" s="221"/>
      <c r="K136" s="221"/>
      <c r="L136" s="221"/>
      <c r="M136" s="221"/>
      <c r="N136" s="221"/>
      <c r="O136" s="221">
        <v>9456000</v>
      </c>
      <c r="P136" s="221"/>
      <c r="Q136" s="221"/>
      <c r="R136" s="221"/>
      <c r="S136" s="221"/>
      <c r="T136" s="221">
        <v>4728000</v>
      </c>
      <c r="U136" s="221"/>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f t="shared" si="178"/>
        <v>14184000</v>
      </c>
      <c r="AR136" s="224">
        <f t="shared" ref="AR136:AR189" si="197">AQ136/F136/100</f>
        <v>2.4314317059791553E-3</v>
      </c>
      <c r="AS136" s="225">
        <f t="shared" si="186"/>
        <v>44152000</v>
      </c>
      <c r="AT136" s="224">
        <f t="shared" ref="AT136:AT189" si="198">AS136/F136*100</f>
        <v>75.685682940208437</v>
      </c>
      <c r="AU136" s="220" t="s">
        <v>576</v>
      </c>
      <c r="AV136" s="220" t="s">
        <v>560</v>
      </c>
      <c r="AW136" s="220" t="s">
        <v>4837</v>
      </c>
      <c r="AX136" s="221"/>
      <c r="AY136" s="221">
        <v>9456000</v>
      </c>
      <c r="AZ136" s="302"/>
      <c r="BA136" s="221"/>
      <c r="BB136" s="221"/>
      <c r="BC136" s="221">
        <v>4728000</v>
      </c>
      <c r="BD136" s="221"/>
      <c r="BE136" s="221"/>
    </row>
    <row r="137" spans="2:57" x14ac:dyDescent="0.3">
      <c r="B137" s="290" t="s">
        <v>4224</v>
      </c>
      <c r="C137" s="222" t="s">
        <v>4225</v>
      </c>
      <c r="D137" s="222"/>
      <c r="E137" s="222"/>
      <c r="F137" s="223">
        <f t="shared" ref="F137:BA137" si="199">SUM(F138:F140)</f>
        <v>100000000</v>
      </c>
      <c r="G137" s="223">
        <f t="shared" si="199"/>
        <v>0</v>
      </c>
      <c r="H137" s="223">
        <f t="shared" si="199"/>
        <v>0</v>
      </c>
      <c r="I137" s="223">
        <f t="shared" si="199"/>
        <v>0</v>
      </c>
      <c r="J137" s="223">
        <f t="shared" si="199"/>
        <v>0</v>
      </c>
      <c r="K137" s="223">
        <f t="shared" si="199"/>
        <v>0</v>
      </c>
      <c r="L137" s="223">
        <f t="shared" si="199"/>
        <v>0</v>
      </c>
      <c r="M137" s="223">
        <f t="shared" si="199"/>
        <v>0</v>
      </c>
      <c r="N137" s="223">
        <f t="shared" si="199"/>
        <v>0</v>
      </c>
      <c r="O137" s="223">
        <f t="shared" si="199"/>
        <v>0</v>
      </c>
      <c r="P137" s="223">
        <f t="shared" si="199"/>
        <v>0</v>
      </c>
      <c r="Q137" s="223">
        <f t="shared" si="199"/>
        <v>0</v>
      </c>
      <c r="R137" s="223">
        <f t="shared" si="199"/>
        <v>0</v>
      </c>
      <c r="S137" s="223">
        <f t="shared" si="199"/>
        <v>0</v>
      </c>
      <c r="T137" s="223">
        <f t="shared" si="199"/>
        <v>0</v>
      </c>
      <c r="U137" s="223">
        <f t="shared" si="199"/>
        <v>0</v>
      </c>
      <c r="V137" s="223">
        <f t="shared" si="199"/>
        <v>0</v>
      </c>
      <c r="W137" s="223">
        <f t="shared" si="199"/>
        <v>0</v>
      </c>
      <c r="X137" s="223">
        <f t="shared" si="199"/>
        <v>0</v>
      </c>
      <c r="Y137" s="223">
        <f t="shared" si="199"/>
        <v>0</v>
      </c>
      <c r="Z137" s="223">
        <f t="shared" si="199"/>
        <v>0</v>
      </c>
      <c r="AA137" s="223">
        <f t="shared" si="199"/>
        <v>0</v>
      </c>
      <c r="AB137" s="223">
        <f t="shared" si="199"/>
        <v>0</v>
      </c>
      <c r="AC137" s="223">
        <f t="shared" si="199"/>
        <v>0</v>
      </c>
      <c r="AD137" s="223">
        <f t="shared" si="199"/>
        <v>0</v>
      </c>
      <c r="AE137" s="223">
        <f t="shared" si="199"/>
        <v>0</v>
      </c>
      <c r="AF137" s="223">
        <f t="shared" si="199"/>
        <v>0</v>
      </c>
      <c r="AG137" s="223">
        <f t="shared" si="199"/>
        <v>0</v>
      </c>
      <c r="AH137" s="223">
        <f t="shared" si="199"/>
        <v>0</v>
      </c>
      <c r="AI137" s="223">
        <f t="shared" si="199"/>
        <v>0</v>
      </c>
      <c r="AJ137" s="223">
        <f t="shared" si="199"/>
        <v>0</v>
      </c>
      <c r="AK137" s="223">
        <f t="shared" si="199"/>
        <v>0</v>
      </c>
      <c r="AL137" s="223">
        <f t="shared" si="199"/>
        <v>0</v>
      </c>
      <c r="AM137" s="223">
        <f t="shared" si="199"/>
        <v>0</v>
      </c>
      <c r="AN137" s="223">
        <f t="shared" si="199"/>
        <v>0</v>
      </c>
      <c r="AO137" s="223">
        <f t="shared" si="199"/>
        <v>0</v>
      </c>
      <c r="AP137" s="223">
        <f t="shared" si="199"/>
        <v>0</v>
      </c>
      <c r="AQ137" s="223">
        <f t="shared" si="178"/>
        <v>0</v>
      </c>
      <c r="AR137" s="231">
        <f t="shared" si="197"/>
        <v>0</v>
      </c>
      <c r="AS137" s="232">
        <f t="shared" si="186"/>
        <v>100000000</v>
      </c>
      <c r="AT137" s="231">
        <f>AS137/F137*100</f>
        <v>100</v>
      </c>
      <c r="AU137" s="220" t="s">
        <v>576</v>
      </c>
      <c r="AV137" s="220" t="s">
        <v>560</v>
      </c>
      <c r="AW137" s="220" t="s">
        <v>4837</v>
      </c>
      <c r="AX137" s="223">
        <f t="shared" si="199"/>
        <v>0</v>
      </c>
      <c r="AY137" s="223">
        <f t="shared" si="199"/>
        <v>0</v>
      </c>
      <c r="AZ137" s="223">
        <f t="shared" si="199"/>
        <v>0</v>
      </c>
      <c r="BA137" s="223">
        <f t="shared" si="199"/>
        <v>0</v>
      </c>
      <c r="BB137" s="223">
        <f t="shared" ref="BB137" si="200">SUM(BB138:BB140)</f>
        <v>0</v>
      </c>
      <c r="BC137" s="223">
        <f t="shared" ref="BC137:BD137" si="201">SUM(BC138:BC140)</f>
        <v>0</v>
      </c>
      <c r="BD137" s="223">
        <f t="shared" si="201"/>
        <v>0</v>
      </c>
      <c r="BE137" s="223">
        <f t="shared" ref="BE137" si="202">SUM(BE138:BE140)</f>
        <v>0</v>
      </c>
    </row>
    <row r="138" spans="2:57" x14ac:dyDescent="0.3">
      <c r="B138" s="288">
        <v>521111</v>
      </c>
      <c r="C138" s="220" t="s">
        <v>90</v>
      </c>
      <c r="D138" s="220"/>
      <c r="E138" s="220"/>
      <c r="F138" s="221">
        <v>45000000</v>
      </c>
      <c r="G138" s="221"/>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f t="shared" si="178"/>
        <v>0</v>
      </c>
      <c r="AR138" s="224">
        <f t="shared" si="197"/>
        <v>0</v>
      </c>
      <c r="AS138" s="225">
        <f t="shared" si="186"/>
        <v>45000000</v>
      </c>
      <c r="AT138" s="224">
        <f>AS138/F138*100</f>
        <v>100</v>
      </c>
      <c r="AU138" s="220" t="s">
        <v>576</v>
      </c>
      <c r="AV138" s="220" t="s">
        <v>560</v>
      </c>
      <c r="AW138" s="220" t="s">
        <v>4837</v>
      </c>
      <c r="AX138" s="221"/>
      <c r="AY138" s="221"/>
      <c r="AZ138" s="302"/>
      <c r="BA138" s="221"/>
      <c r="BB138" s="221"/>
      <c r="BC138" s="221"/>
      <c r="BD138" s="221"/>
      <c r="BE138" s="221"/>
    </row>
    <row r="139" spans="2:57" x14ac:dyDescent="0.3">
      <c r="B139" s="288">
        <v>521811</v>
      </c>
      <c r="C139" s="220" t="s">
        <v>64</v>
      </c>
      <c r="D139" s="220"/>
      <c r="E139" s="220"/>
      <c r="F139" s="221">
        <v>26000000</v>
      </c>
      <c r="G139" s="221"/>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f t="shared" ref="AQ139:AQ140" si="203">SUM(G139:AP139)</f>
        <v>0</v>
      </c>
      <c r="AR139" s="224">
        <f t="shared" ref="AR139:AR142" si="204">AQ139/F139/100</f>
        <v>0</v>
      </c>
      <c r="AS139" s="225">
        <f t="shared" ref="AS139:AS140" si="205">F139-AQ139</f>
        <v>26000000</v>
      </c>
      <c r="AT139" s="224">
        <f t="shared" ref="AT139:AT140" si="206">AS139/F139*100</f>
        <v>100</v>
      </c>
      <c r="AU139" s="220" t="s">
        <v>576</v>
      </c>
      <c r="AV139" s="220" t="s">
        <v>560</v>
      </c>
      <c r="AW139" s="220" t="s">
        <v>4837</v>
      </c>
      <c r="AX139" s="221"/>
      <c r="AY139" s="221"/>
      <c r="AZ139" s="302"/>
      <c r="BA139" s="221"/>
      <c r="BB139" s="221"/>
      <c r="BC139" s="221"/>
      <c r="BD139" s="221"/>
      <c r="BE139" s="221"/>
    </row>
    <row r="140" spans="2:57" x14ac:dyDescent="0.3">
      <c r="B140" s="288">
        <v>523121</v>
      </c>
      <c r="C140" s="220" t="s">
        <v>99</v>
      </c>
      <c r="D140" s="220"/>
      <c r="E140" s="220"/>
      <c r="F140" s="221">
        <v>29000000</v>
      </c>
      <c r="G140" s="221"/>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f t="shared" si="203"/>
        <v>0</v>
      </c>
      <c r="AR140" s="224">
        <f t="shared" si="204"/>
        <v>0</v>
      </c>
      <c r="AS140" s="225">
        <f t="shared" si="205"/>
        <v>29000000</v>
      </c>
      <c r="AT140" s="224">
        <f t="shared" si="206"/>
        <v>100</v>
      </c>
      <c r="AU140" s="220" t="s">
        <v>576</v>
      </c>
      <c r="AV140" s="220" t="s">
        <v>560</v>
      </c>
      <c r="AW140" s="220" t="s">
        <v>4837</v>
      </c>
      <c r="AX140" s="221"/>
      <c r="AY140" s="221"/>
      <c r="AZ140" s="302"/>
      <c r="BA140" s="221"/>
      <c r="BB140" s="221"/>
      <c r="BC140" s="221"/>
      <c r="BD140" s="221"/>
      <c r="BE140" s="221"/>
    </row>
    <row r="141" spans="2:57" x14ac:dyDescent="0.3">
      <c r="B141" s="236" t="s">
        <v>2269</v>
      </c>
      <c r="C141" s="237" t="s">
        <v>2270</v>
      </c>
      <c r="D141" s="237">
        <v>2</v>
      </c>
      <c r="E141" s="237" t="s">
        <v>42</v>
      </c>
      <c r="F141" s="235">
        <f t="shared" ref="F141:U143" si="207">F142</f>
        <v>540934000</v>
      </c>
      <c r="G141" s="235">
        <f t="shared" si="207"/>
        <v>0</v>
      </c>
      <c r="H141" s="235">
        <f t="shared" si="207"/>
        <v>0</v>
      </c>
      <c r="I141" s="235">
        <f t="shared" si="207"/>
        <v>0</v>
      </c>
      <c r="J141" s="235">
        <f t="shared" si="207"/>
        <v>0</v>
      </c>
      <c r="K141" s="235">
        <f t="shared" si="207"/>
        <v>0</v>
      </c>
      <c r="L141" s="235">
        <f t="shared" si="207"/>
        <v>0</v>
      </c>
      <c r="M141" s="235">
        <f t="shared" si="207"/>
        <v>0</v>
      </c>
      <c r="N141" s="235">
        <f t="shared" si="207"/>
        <v>0</v>
      </c>
      <c r="O141" s="235">
        <f t="shared" si="207"/>
        <v>0</v>
      </c>
      <c r="P141" s="235">
        <f t="shared" si="207"/>
        <v>0</v>
      </c>
      <c r="Q141" s="235">
        <f t="shared" si="207"/>
        <v>0</v>
      </c>
      <c r="R141" s="235">
        <f t="shared" si="207"/>
        <v>0</v>
      </c>
      <c r="S141" s="235">
        <f t="shared" si="207"/>
        <v>540000000</v>
      </c>
      <c r="T141" s="235">
        <f t="shared" si="207"/>
        <v>0</v>
      </c>
      <c r="U141" s="235">
        <f t="shared" si="207"/>
        <v>0</v>
      </c>
      <c r="V141" s="235">
        <f t="shared" ref="V141:AY141" si="208">V142</f>
        <v>0</v>
      </c>
      <c r="W141" s="235">
        <f t="shared" si="208"/>
        <v>0</v>
      </c>
      <c r="X141" s="235">
        <f t="shared" si="208"/>
        <v>0</v>
      </c>
      <c r="Y141" s="235">
        <f t="shared" si="208"/>
        <v>0</v>
      </c>
      <c r="Z141" s="235">
        <f t="shared" si="208"/>
        <v>0</v>
      </c>
      <c r="AA141" s="235">
        <f t="shared" si="208"/>
        <v>0</v>
      </c>
      <c r="AB141" s="235">
        <f t="shared" si="208"/>
        <v>0</v>
      </c>
      <c r="AC141" s="235">
        <f t="shared" si="208"/>
        <v>0</v>
      </c>
      <c r="AD141" s="235">
        <f t="shared" si="208"/>
        <v>0</v>
      </c>
      <c r="AE141" s="235">
        <f t="shared" si="208"/>
        <v>0</v>
      </c>
      <c r="AF141" s="235">
        <f t="shared" si="208"/>
        <v>0</v>
      </c>
      <c r="AG141" s="235">
        <f t="shared" si="208"/>
        <v>0</v>
      </c>
      <c r="AH141" s="235">
        <f t="shared" si="208"/>
        <v>0</v>
      </c>
      <c r="AI141" s="235">
        <f t="shared" si="208"/>
        <v>0</v>
      </c>
      <c r="AJ141" s="235">
        <f t="shared" si="208"/>
        <v>0</v>
      </c>
      <c r="AK141" s="235">
        <f t="shared" si="208"/>
        <v>0</v>
      </c>
      <c r="AL141" s="235">
        <f t="shared" si="208"/>
        <v>0</v>
      </c>
      <c r="AM141" s="235">
        <f t="shared" si="208"/>
        <v>0</v>
      </c>
      <c r="AN141" s="235">
        <f t="shared" si="208"/>
        <v>0</v>
      </c>
      <c r="AO141" s="235">
        <f t="shared" si="208"/>
        <v>0</v>
      </c>
      <c r="AP141" s="235">
        <f t="shared" si="208"/>
        <v>0</v>
      </c>
      <c r="AQ141" s="235">
        <f t="shared" ref="AQ141:AQ150" si="209">SUM(G141:AP141)</f>
        <v>540000000</v>
      </c>
      <c r="AR141" s="238">
        <f t="shared" si="204"/>
        <v>9.9827335682356813E-3</v>
      </c>
      <c r="AS141" s="239">
        <f>F141-AQ141</f>
        <v>934000</v>
      </c>
      <c r="AT141" s="238">
        <f>AS141/F141*100</f>
        <v>0.17266431764318754</v>
      </c>
      <c r="AU141" s="220" t="s">
        <v>576</v>
      </c>
      <c r="AV141" s="220" t="s">
        <v>560</v>
      </c>
      <c r="AW141" s="220" t="s">
        <v>4836</v>
      </c>
      <c r="AX141" s="235">
        <f>AX142</f>
        <v>0</v>
      </c>
      <c r="AY141" s="235">
        <f t="shared" si="208"/>
        <v>0</v>
      </c>
      <c r="AZ141" s="235">
        <f t="shared" ref="AY141:BE142" si="210">AZ142</f>
        <v>0</v>
      </c>
      <c r="BA141" s="235">
        <f t="shared" si="210"/>
        <v>0</v>
      </c>
      <c r="BB141" s="235">
        <f t="shared" si="210"/>
        <v>0</v>
      </c>
      <c r="BC141" s="235">
        <f t="shared" si="210"/>
        <v>0</v>
      </c>
      <c r="BD141" s="235">
        <f t="shared" si="210"/>
        <v>0</v>
      </c>
      <c r="BE141" s="235">
        <f t="shared" si="210"/>
        <v>0</v>
      </c>
    </row>
    <row r="142" spans="2:57" x14ac:dyDescent="0.3">
      <c r="B142" s="226" t="s">
        <v>4253</v>
      </c>
      <c r="C142" s="227" t="s">
        <v>2273</v>
      </c>
      <c r="D142" s="227">
        <v>1</v>
      </c>
      <c r="E142" s="227" t="s">
        <v>42</v>
      </c>
      <c r="F142" s="228">
        <f t="shared" si="207"/>
        <v>540934000</v>
      </c>
      <c r="G142" s="228">
        <f t="shared" ref="G142:AP143" si="211">G143</f>
        <v>0</v>
      </c>
      <c r="H142" s="228">
        <f t="shared" si="211"/>
        <v>0</v>
      </c>
      <c r="I142" s="228">
        <f t="shared" si="211"/>
        <v>0</v>
      </c>
      <c r="J142" s="228">
        <f t="shared" si="211"/>
        <v>0</v>
      </c>
      <c r="K142" s="228">
        <f t="shared" si="211"/>
        <v>0</v>
      </c>
      <c r="L142" s="228">
        <f t="shared" si="211"/>
        <v>0</v>
      </c>
      <c r="M142" s="228">
        <f t="shared" si="211"/>
        <v>0</v>
      </c>
      <c r="N142" s="228">
        <f t="shared" si="211"/>
        <v>0</v>
      </c>
      <c r="O142" s="228">
        <f t="shared" si="211"/>
        <v>0</v>
      </c>
      <c r="P142" s="228">
        <f t="shared" si="211"/>
        <v>0</v>
      </c>
      <c r="Q142" s="228">
        <f t="shared" si="211"/>
        <v>0</v>
      </c>
      <c r="R142" s="228">
        <f t="shared" si="211"/>
        <v>0</v>
      </c>
      <c r="S142" s="228">
        <f t="shared" si="211"/>
        <v>540000000</v>
      </c>
      <c r="T142" s="228">
        <f t="shared" si="211"/>
        <v>0</v>
      </c>
      <c r="U142" s="228">
        <f t="shared" si="211"/>
        <v>0</v>
      </c>
      <c r="V142" s="228">
        <f t="shared" si="211"/>
        <v>0</v>
      </c>
      <c r="W142" s="228">
        <f t="shared" si="211"/>
        <v>0</v>
      </c>
      <c r="X142" s="228">
        <f t="shared" si="211"/>
        <v>0</v>
      </c>
      <c r="Y142" s="228">
        <f t="shared" si="211"/>
        <v>0</v>
      </c>
      <c r="Z142" s="228">
        <f t="shared" si="211"/>
        <v>0</v>
      </c>
      <c r="AA142" s="228">
        <f t="shared" si="211"/>
        <v>0</v>
      </c>
      <c r="AB142" s="228">
        <f t="shared" si="211"/>
        <v>0</v>
      </c>
      <c r="AC142" s="228">
        <f t="shared" si="211"/>
        <v>0</v>
      </c>
      <c r="AD142" s="228">
        <f t="shared" si="211"/>
        <v>0</v>
      </c>
      <c r="AE142" s="228">
        <f t="shared" si="211"/>
        <v>0</v>
      </c>
      <c r="AF142" s="228">
        <f t="shared" si="211"/>
        <v>0</v>
      </c>
      <c r="AG142" s="228">
        <f t="shared" si="211"/>
        <v>0</v>
      </c>
      <c r="AH142" s="228">
        <f t="shared" si="211"/>
        <v>0</v>
      </c>
      <c r="AI142" s="228">
        <f t="shared" si="211"/>
        <v>0</v>
      </c>
      <c r="AJ142" s="228">
        <f t="shared" si="211"/>
        <v>0</v>
      </c>
      <c r="AK142" s="228">
        <f t="shared" si="211"/>
        <v>0</v>
      </c>
      <c r="AL142" s="228">
        <f t="shared" si="211"/>
        <v>0</v>
      </c>
      <c r="AM142" s="228">
        <f t="shared" si="211"/>
        <v>0</v>
      </c>
      <c r="AN142" s="228">
        <f t="shared" si="211"/>
        <v>0</v>
      </c>
      <c r="AO142" s="228">
        <f t="shared" si="211"/>
        <v>0</v>
      </c>
      <c r="AP142" s="228">
        <f t="shared" si="211"/>
        <v>0</v>
      </c>
      <c r="AQ142" s="228">
        <f t="shared" si="209"/>
        <v>540000000</v>
      </c>
      <c r="AR142" s="229">
        <f t="shared" si="204"/>
        <v>9.9827335682356813E-3</v>
      </c>
      <c r="AS142" s="230">
        <f t="shared" ref="AS142" si="212">F142-AQ142</f>
        <v>934000</v>
      </c>
      <c r="AT142" s="229">
        <f t="shared" ref="AT142" si="213">AS142/F142*100</f>
        <v>0.17266431764318754</v>
      </c>
      <c r="AU142" s="220" t="s">
        <v>576</v>
      </c>
      <c r="AV142" s="220" t="s">
        <v>560</v>
      </c>
      <c r="AW142" s="220" t="s">
        <v>4836</v>
      </c>
      <c r="AX142" s="228">
        <f>AX143</f>
        <v>0</v>
      </c>
      <c r="AY142" s="228">
        <f t="shared" si="210"/>
        <v>0</v>
      </c>
      <c r="AZ142" s="228">
        <f t="shared" si="210"/>
        <v>0</v>
      </c>
      <c r="BA142" s="228">
        <f t="shared" si="210"/>
        <v>0</v>
      </c>
      <c r="BB142" s="228">
        <f t="shared" si="210"/>
        <v>0</v>
      </c>
      <c r="BC142" s="228">
        <f t="shared" si="210"/>
        <v>0</v>
      </c>
      <c r="BD142" s="228">
        <f t="shared" si="210"/>
        <v>0</v>
      </c>
      <c r="BE142" s="228">
        <f t="shared" si="210"/>
        <v>0</v>
      </c>
    </row>
    <row r="143" spans="2:57" x14ac:dyDescent="0.3">
      <c r="B143" s="226">
        <v>301</v>
      </c>
      <c r="C143" s="227" t="s">
        <v>2290</v>
      </c>
      <c r="D143" s="227"/>
      <c r="E143" s="227"/>
      <c r="F143" s="228">
        <f t="shared" si="207"/>
        <v>540934000</v>
      </c>
      <c r="G143" s="228">
        <f t="shared" si="211"/>
        <v>0</v>
      </c>
      <c r="H143" s="228">
        <f t="shared" ref="H143:BE143" si="214">H144</f>
        <v>0</v>
      </c>
      <c r="I143" s="228">
        <f t="shared" si="214"/>
        <v>0</v>
      </c>
      <c r="J143" s="228">
        <f t="shared" si="214"/>
        <v>0</v>
      </c>
      <c r="K143" s="228">
        <f t="shared" si="214"/>
        <v>0</v>
      </c>
      <c r="L143" s="228">
        <f t="shared" si="214"/>
        <v>0</v>
      </c>
      <c r="M143" s="228">
        <f t="shared" si="214"/>
        <v>0</v>
      </c>
      <c r="N143" s="228">
        <f t="shared" si="214"/>
        <v>0</v>
      </c>
      <c r="O143" s="228">
        <f t="shared" si="214"/>
        <v>0</v>
      </c>
      <c r="P143" s="228">
        <f t="shared" si="214"/>
        <v>0</v>
      </c>
      <c r="Q143" s="228">
        <f t="shared" si="214"/>
        <v>0</v>
      </c>
      <c r="R143" s="228">
        <f t="shared" si="214"/>
        <v>0</v>
      </c>
      <c r="S143" s="228">
        <f t="shared" si="214"/>
        <v>540000000</v>
      </c>
      <c r="T143" s="228">
        <f t="shared" si="214"/>
        <v>0</v>
      </c>
      <c r="U143" s="228">
        <f t="shared" si="214"/>
        <v>0</v>
      </c>
      <c r="V143" s="228">
        <f t="shared" si="214"/>
        <v>0</v>
      </c>
      <c r="W143" s="228">
        <f t="shared" si="214"/>
        <v>0</v>
      </c>
      <c r="X143" s="228">
        <f t="shared" si="214"/>
        <v>0</v>
      </c>
      <c r="Y143" s="228">
        <f t="shared" si="214"/>
        <v>0</v>
      </c>
      <c r="Z143" s="228">
        <f t="shared" si="214"/>
        <v>0</v>
      </c>
      <c r="AA143" s="228">
        <f t="shared" si="214"/>
        <v>0</v>
      </c>
      <c r="AB143" s="228">
        <f t="shared" si="214"/>
        <v>0</v>
      </c>
      <c r="AC143" s="228">
        <f t="shared" si="214"/>
        <v>0</v>
      </c>
      <c r="AD143" s="228">
        <f t="shared" si="214"/>
        <v>0</v>
      </c>
      <c r="AE143" s="228">
        <f t="shared" si="214"/>
        <v>0</v>
      </c>
      <c r="AF143" s="228">
        <f t="shared" si="214"/>
        <v>0</v>
      </c>
      <c r="AG143" s="228">
        <f t="shared" si="214"/>
        <v>0</v>
      </c>
      <c r="AH143" s="228">
        <f t="shared" si="214"/>
        <v>0</v>
      </c>
      <c r="AI143" s="228">
        <f t="shared" si="214"/>
        <v>0</v>
      </c>
      <c r="AJ143" s="228">
        <f t="shared" si="214"/>
        <v>0</v>
      </c>
      <c r="AK143" s="228">
        <f t="shared" si="214"/>
        <v>0</v>
      </c>
      <c r="AL143" s="228">
        <f t="shared" si="214"/>
        <v>0</v>
      </c>
      <c r="AM143" s="228">
        <f t="shared" si="214"/>
        <v>0</v>
      </c>
      <c r="AN143" s="228">
        <f t="shared" si="214"/>
        <v>0</v>
      </c>
      <c r="AO143" s="228">
        <f t="shared" si="214"/>
        <v>0</v>
      </c>
      <c r="AP143" s="228">
        <f t="shared" si="214"/>
        <v>0</v>
      </c>
      <c r="AQ143" s="228">
        <f t="shared" si="209"/>
        <v>540000000</v>
      </c>
      <c r="AR143" s="229">
        <f t="shared" ref="AR143:AR147" si="215">AQ143/F143/100</f>
        <v>9.9827335682356813E-3</v>
      </c>
      <c r="AS143" s="230">
        <f t="shared" ref="AS143" si="216">F143-AQ143</f>
        <v>934000</v>
      </c>
      <c r="AT143" s="229">
        <f t="shared" ref="AT143" si="217">AS143/F143*100</f>
        <v>0.17266431764318754</v>
      </c>
      <c r="AU143" s="220" t="s">
        <v>576</v>
      </c>
      <c r="AV143" s="220" t="s">
        <v>560</v>
      </c>
      <c r="AW143" s="220" t="s">
        <v>4836</v>
      </c>
      <c r="AX143" s="228">
        <f>AX144</f>
        <v>0</v>
      </c>
      <c r="AY143" s="228">
        <f t="shared" si="214"/>
        <v>0</v>
      </c>
      <c r="AZ143" s="228">
        <f t="shared" si="214"/>
        <v>0</v>
      </c>
      <c r="BA143" s="228">
        <f t="shared" si="214"/>
        <v>0</v>
      </c>
      <c r="BB143" s="228">
        <f t="shared" si="214"/>
        <v>0</v>
      </c>
      <c r="BC143" s="228">
        <f t="shared" si="214"/>
        <v>0</v>
      </c>
      <c r="BD143" s="228">
        <f t="shared" si="214"/>
        <v>0</v>
      </c>
      <c r="BE143" s="228">
        <f t="shared" si="214"/>
        <v>0</v>
      </c>
    </row>
    <row r="144" spans="2:57" x14ac:dyDescent="0.3">
      <c r="B144" s="290" t="s">
        <v>8</v>
      </c>
      <c r="C144" s="222" t="s">
        <v>2292</v>
      </c>
      <c r="D144" s="222"/>
      <c r="E144" s="222"/>
      <c r="F144" s="223">
        <f t="shared" ref="F144:AX144" si="218">SUM(F145)</f>
        <v>540934000</v>
      </c>
      <c r="G144" s="223">
        <f t="shared" si="218"/>
        <v>0</v>
      </c>
      <c r="H144" s="223">
        <f t="shared" si="218"/>
        <v>0</v>
      </c>
      <c r="I144" s="223">
        <f t="shared" si="218"/>
        <v>0</v>
      </c>
      <c r="J144" s="223">
        <f t="shared" si="218"/>
        <v>0</v>
      </c>
      <c r="K144" s="223">
        <f t="shared" si="218"/>
        <v>0</v>
      </c>
      <c r="L144" s="223">
        <f t="shared" si="218"/>
        <v>0</v>
      </c>
      <c r="M144" s="223">
        <f t="shared" si="218"/>
        <v>0</v>
      </c>
      <c r="N144" s="223">
        <f t="shared" si="218"/>
        <v>0</v>
      </c>
      <c r="O144" s="223">
        <f t="shared" si="218"/>
        <v>0</v>
      </c>
      <c r="P144" s="223">
        <f t="shared" si="218"/>
        <v>0</v>
      </c>
      <c r="Q144" s="223">
        <f t="shared" si="218"/>
        <v>0</v>
      </c>
      <c r="R144" s="223">
        <f t="shared" si="218"/>
        <v>0</v>
      </c>
      <c r="S144" s="223">
        <f t="shared" si="218"/>
        <v>540000000</v>
      </c>
      <c r="T144" s="223">
        <f t="shared" si="218"/>
        <v>0</v>
      </c>
      <c r="U144" s="223">
        <f t="shared" si="218"/>
        <v>0</v>
      </c>
      <c r="V144" s="223">
        <f t="shared" si="218"/>
        <v>0</v>
      </c>
      <c r="W144" s="223">
        <f t="shared" si="218"/>
        <v>0</v>
      </c>
      <c r="X144" s="223">
        <f t="shared" si="218"/>
        <v>0</v>
      </c>
      <c r="Y144" s="223">
        <f t="shared" si="218"/>
        <v>0</v>
      </c>
      <c r="Z144" s="223">
        <f t="shared" si="218"/>
        <v>0</v>
      </c>
      <c r="AA144" s="223">
        <f t="shared" si="218"/>
        <v>0</v>
      </c>
      <c r="AB144" s="223">
        <f t="shared" si="218"/>
        <v>0</v>
      </c>
      <c r="AC144" s="223">
        <f t="shared" si="218"/>
        <v>0</v>
      </c>
      <c r="AD144" s="223">
        <f t="shared" si="218"/>
        <v>0</v>
      </c>
      <c r="AE144" s="223">
        <f t="shared" si="218"/>
        <v>0</v>
      </c>
      <c r="AF144" s="223">
        <f t="shared" si="218"/>
        <v>0</v>
      </c>
      <c r="AG144" s="223">
        <f t="shared" si="218"/>
        <v>0</v>
      </c>
      <c r="AH144" s="223">
        <f t="shared" si="218"/>
        <v>0</v>
      </c>
      <c r="AI144" s="223">
        <f t="shared" si="218"/>
        <v>0</v>
      </c>
      <c r="AJ144" s="223">
        <f t="shared" si="218"/>
        <v>0</v>
      </c>
      <c r="AK144" s="223">
        <f t="shared" si="218"/>
        <v>0</v>
      </c>
      <c r="AL144" s="223">
        <f t="shared" si="218"/>
        <v>0</v>
      </c>
      <c r="AM144" s="223">
        <f t="shared" si="218"/>
        <v>0</v>
      </c>
      <c r="AN144" s="223">
        <f t="shared" si="218"/>
        <v>0</v>
      </c>
      <c r="AO144" s="223">
        <f t="shared" si="218"/>
        <v>0</v>
      </c>
      <c r="AP144" s="223">
        <f t="shared" si="218"/>
        <v>0</v>
      </c>
      <c r="AQ144" s="223">
        <f>SUM(G144:AP144)</f>
        <v>540000000</v>
      </c>
      <c r="AR144" s="231">
        <f t="shared" si="215"/>
        <v>9.9827335682356813E-3</v>
      </c>
      <c r="AS144" s="232">
        <f>F144-AQ144</f>
        <v>934000</v>
      </c>
      <c r="AT144" s="231">
        <f>AS144/F144*100</f>
        <v>0.17266431764318754</v>
      </c>
      <c r="AU144" s="220" t="s">
        <v>576</v>
      </c>
      <c r="AV144" s="220" t="s">
        <v>560</v>
      </c>
      <c r="AW144" s="220" t="s">
        <v>4836</v>
      </c>
      <c r="AX144" s="223">
        <f t="shared" si="218"/>
        <v>0</v>
      </c>
      <c r="AY144" s="223">
        <f>SUM(AY145)</f>
        <v>0</v>
      </c>
      <c r="AZ144" s="223">
        <f>SUM(AZ145)</f>
        <v>0</v>
      </c>
      <c r="BA144" s="223">
        <f t="shared" ref="BA144:BE144" si="219">SUM(BA145)</f>
        <v>0</v>
      </c>
      <c r="BB144" s="223">
        <f t="shared" si="219"/>
        <v>0</v>
      </c>
      <c r="BC144" s="223">
        <f t="shared" si="219"/>
        <v>0</v>
      </c>
      <c r="BD144" s="223">
        <f t="shared" si="219"/>
        <v>0</v>
      </c>
      <c r="BE144" s="223">
        <f t="shared" si="219"/>
        <v>0</v>
      </c>
    </row>
    <row r="145" spans="2:57" x14ac:dyDescent="0.3">
      <c r="B145" s="288">
        <v>532111</v>
      </c>
      <c r="C145" s="220" t="s">
        <v>43</v>
      </c>
      <c r="D145" s="220"/>
      <c r="E145" s="220"/>
      <c r="F145" s="221">
        <v>540934000</v>
      </c>
      <c r="G145" s="221"/>
      <c r="H145" s="221"/>
      <c r="I145" s="221"/>
      <c r="J145" s="221"/>
      <c r="K145" s="221"/>
      <c r="L145" s="221"/>
      <c r="M145" s="221"/>
      <c r="N145" s="221"/>
      <c r="O145" s="221"/>
      <c r="P145" s="221"/>
      <c r="Q145" s="221"/>
      <c r="R145" s="221"/>
      <c r="S145" s="221">
        <v>540000000</v>
      </c>
      <c r="T145" s="221"/>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f t="shared" si="209"/>
        <v>540000000</v>
      </c>
      <c r="AR145" s="224">
        <f t="shared" si="215"/>
        <v>9.9827335682356813E-3</v>
      </c>
      <c r="AS145" s="225">
        <f>F145-AQ145</f>
        <v>934000</v>
      </c>
      <c r="AT145" s="224">
        <f>AS145/F145*100</f>
        <v>0.17266431764318754</v>
      </c>
      <c r="AU145" s="220" t="s">
        <v>576</v>
      </c>
      <c r="AV145" s="220" t="s">
        <v>560</v>
      </c>
      <c r="AW145" s="220" t="s">
        <v>4836</v>
      </c>
      <c r="AX145" s="221"/>
      <c r="AY145" s="221"/>
      <c r="AZ145" s="221"/>
      <c r="BA145" s="221"/>
      <c r="BB145" s="221"/>
      <c r="BC145" s="221"/>
      <c r="BD145" s="221"/>
      <c r="BE145" s="221"/>
    </row>
    <row r="146" spans="2:57" x14ac:dyDescent="0.3">
      <c r="B146" s="236" t="s">
        <v>2466</v>
      </c>
      <c r="C146" s="237" t="s">
        <v>2467</v>
      </c>
      <c r="D146" s="237">
        <v>5</v>
      </c>
      <c r="E146" s="237" t="s">
        <v>4315</v>
      </c>
      <c r="F146" s="235">
        <f>F147+F165+F182</f>
        <v>1538790000</v>
      </c>
      <c r="G146" s="235">
        <f t="shared" ref="G146" si="220">G147+G165+G182</f>
        <v>0</v>
      </c>
      <c r="H146" s="235">
        <f t="shared" ref="H146:AX146" si="221">H147+H165+H182</f>
        <v>0</v>
      </c>
      <c r="I146" s="235">
        <f t="shared" si="221"/>
        <v>0</v>
      </c>
      <c r="J146" s="235">
        <f t="shared" si="221"/>
        <v>10597800</v>
      </c>
      <c r="K146" s="235">
        <f t="shared" si="221"/>
        <v>0</v>
      </c>
      <c r="L146" s="235">
        <f t="shared" si="221"/>
        <v>0</v>
      </c>
      <c r="M146" s="235">
        <f t="shared" si="221"/>
        <v>0</v>
      </c>
      <c r="N146" s="235">
        <f t="shared" si="221"/>
        <v>30344500</v>
      </c>
      <c r="O146" s="235">
        <f t="shared" si="221"/>
        <v>93601693</v>
      </c>
      <c r="P146" s="235">
        <f t="shared" si="221"/>
        <v>22589500</v>
      </c>
      <c r="Q146" s="235">
        <f t="shared" si="221"/>
        <v>19929200</v>
      </c>
      <c r="R146" s="235">
        <f t="shared" si="221"/>
        <v>0</v>
      </c>
      <c r="S146" s="235">
        <f t="shared" si="221"/>
        <v>9172500</v>
      </c>
      <c r="T146" s="235">
        <f t="shared" si="221"/>
        <v>20182883</v>
      </c>
      <c r="U146" s="235">
        <f t="shared" si="221"/>
        <v>82150655</v>
      </c>
      <c r="V146" s="235">
        <f t="shared" si="221"/>
        <v>51085531</v>
      </c>
      <c r="W146" s="235">
        <f t="shared" si="221"/>
        <v>0</v>
      </c>
      <c r="X146" s="235">
        <f t="shared" si="221"/>
        <v>4670000</v>
      </c>
      <c r="Y146" s="235">
        <f t="shared" si="221"/>
        <v>0</v>
      </c>
      <c r="Z146" s="235">
        <f t="shared" si="221"/>
        <v>0</v>
      </c>
      <c r="AA146" s="235">
        <f t="shared" si="221"/>
        <v>0</v>
      </c>
      <c r="AB146" s="235">
        <f t="shared" si="221"/>
        <v>0</v>
      </c>
      <c r="AC146" s="235">
        <f t="shared" si="221"/>
        <v>0</v>
      </c>
      <c r="AD146" s="235">
        <f t="shared" si="221"/>
        <v>0</v>
      </c>
      <c r="AE146" s="235">
        <f t="shared" si="221"/>
        <v>0</v>
      </c>
      <c r="AF146" s="235">
        <f t="shared" si="221"/>
        <v>0</v>
      </c>
      <c r="AG146" s="235">
        <f t="shared" si="221"/>
        <v>0</v>
      </c>
      <c r="AH146" s="235">
        <f t="shared" si="221"/>
        <v>0</v>
      </c>
      <c r="AI146" s="235">
        <f t="shared" si="221"/>
        <v>0</v>
      </c>
      <c r="AJ146" s="235">
        <f t="shared" si="221"/>
        <v>0</v>
      </c>
      <c r="AK146" s="235">
        <f t="shared" si="221"/>
        <v>0</v>
      </c>
      <c r="AL146" s="235">
        <f t="shared" si="221"/>
        <v>0</v>
      </c>
      <c r="AM146" s="235">
        <f t="shared" si="221"/>
        <v>0</v>
      </c>
      <c r="AN146" s="235">
        <f t="shared" si="221"/>
        <v>0</v>
      </c>
      <c r="AO146" s="235">
        <f t="shared" si="221"/>
        <v>0</v>
      </c>
      <c r="AP146" s="235">
        <f t="shared" si="221"/>
        <v>0</v>
      </c>
      <c r="AQ146" s="235">
        <f t="shared" si="209"/>
        <v>344324262</v>
      </c>
      <c r="AR146" s="238">
        <f t="shared" si="215"/>
        <v>2.2376299690016182E-3</v>
      </c>
      <c r="AS146" s="239">
        <f>F146-AQ146</f>
        <v>1194465738</v>
      </c>
      <c r="AT146" s="238">
        <f>AS146/F146*100</f>
        <v>77.623700309983818</v>
      </c>
      <c r="AU146" s="220"/>
      <c r="AV146" s="220"/>
      <c r="AW146" s="220" t="s">
        <v>4732</v>
      </c>
      <c r="AX146" s="235">
        <f t="shared" si="221"/>
        <v>0</v>
      </c>
      <c r="AY146" s="235">
        <f t="shared" ref="AY146:AZ146" si="222">AY147+AY165+AY182</f>
        <v>93601693</v>
      </c>
      <c r="AZ146" s="235">
        <f t="shared" si="222"/>
        <v>30344500</v>
      </c>
      <c r="BA146" s="235">
        <f t="shared" ref="BA146" si="223">BA147+BA165+BA182</f>
        <v>19929200</v>
      </c>
      <c r="BB146" s="235">
        <f t="shared" ref="BB146" si="224">BB147+BB165+BB182</f>
        <v>10000000</v>
      </c>
      <c r="BC146" s="235">
        <f t="shared" ref="BC146:BD146" si="225">BC147+BC165+BC182</f>
        <v>10182883</v>
      </c>
      <c r="BD146" s="235">
        <f t="shared" si="225"/>
        <v>82150655</v>
      </c>
      <c r="BE146" s="235">
        <f t="shared" ref="BE146" si="226">BE147+BE165+BE182</f>
        <v>4670000</v>
      </c>
    </row>
    <row r="147" spans="2:57" x14ac:dyDescent="0.3">
      <c r="B147" s="226" t="s">
        <v>4316</v>
      </c>
      <c r="C147" s="227" t="s">
        <v>2470</v>
      </c>
      <c r="D147" s="227">
        <v>1</v>
      </c>
      <c r="E147" s="227" t="s">
        <v>4315</v>
      </c>
      <c r="F147" s="228">
        <f>F148</f>
        <v>615138000</v>
      </c>
      <c r="G147" s="228">
        <f t="shared" ref="G147:BE147" si="227">G148</f>
        <v>0</v>
      </c>
      <c r="H147" s="228">
        <f t="shared" si="227"/>
        <v>0</v>
      </c>
      <c r="I147" s="228">
        <f t="shared" si="227"/>
        <v>0</v>
      </c>
      <c r="J147" s="228">
        <f t="shared" si="227"/>
        <v>10597800</v>
      </c>
      <c r="K147" s="228">
        <f t="shared" si="227"/>
        <v>0</v>
      </c>
      <c r="L147" s="228">
        <f t="shared" si="227"/>
        <v>0</v>
      </c>
      <c r="M147" s="228">
        <f t="shared" si="227"/>
        <v>0</v>
      </c>
      <c r="N147" s="228">
        <f t="shared" si="227"/>
        <v>7845000</v>
      </c>
      <c r="O147" s="228">
        <f t="shared" si="227"/>
        <v>37430665</v>
      </c>
      <c r="P147" s="228">
        <f t="shared" si="227"/>
        <v>6535000</v>
      </c>
      <c r="Q147" s="228">
        <f t="shared" si="227"/>
        <v>0</v>
      </c>
      <c r="R147" s="228">
        <f t="shared" si="227"/>
        <v>0</v>
      </c>
      <c r="S147" s="228">
        <f t="shared" si="227"/>
        <v>9172500</v>
      </c>
      <c r="T147" s="228">
        <f t="shared" si="227"/>
        <v>0</v>
      </c>
      <c r="U147" s="228">
        <f t="shared" si="227"/>
        <v>19898480</v>
      </c>
      <c r="V147" s="228">
        <f t="shared" si="227"/>
        <v>10500000</v>
      </c>
      <c r="W147" s="228">
        <f t="shared" si="227"/>
        <v>0</v>
      </c>
      <c r="X147" s="228">
        <f t="shared" si="227"/>
        <v>0</v>
      </c>
      <c r="Y147" s="228">
        <f t="shared" si="227"/>
        <v>0</v>
      </c>
      <c r="Z147" s="228">
        <f t="shared" si="227"/>
        <v>0</v>
      </c>
      <c r="AA147" s="228">
        <f t="shared" si="227"/>
        <v>0</v>
      </c>
      <c r="AB147" s="228">
        <f t="shared" si="227"/>
        <v>0</v>
      </c>
      <c r="AC147" s="228">
        <f t="shared" si="227"/>
        <v>0</v>
      </c>
      <c r="AD147" s="228">
        <f t="shared" si="227"/>
        <v>0</v>
      </c>
      <c r="AE147" s="228">
        <f t="shared" si="227"/>
        <v>0</v>
      </c>
      <c r="AF147" s="228">
        <f t="shared" si="227"/>
        <v>0</v>
      </c>
      <c r="AG147" s="228">
        <f t="shared" si="227"/>
        <v>0</v>
      </c>
      <c r="AH147" s="228">
        <f t="shared" si="227"/>
        <v>0</v>
      </c>
      <c r="AI147" s="228">
        <f t="shared" si="227"/>
        <v>0</v>
      </c>
      <c r="AJ147" s="228">
        <f t="shared" si="227"/>
        <v>0</v>
      </c>
      <c r="AK147" s="228">
        <f t="shared" si="227"/>
        <v>0</v>
      </c>
      <c r="AL147" s="228">
        <f t="shared" si="227"/>
        <v>0</v>
      </c>
      <c r="AM147" s="228">
        <f t="shared" si="227"/>
        <v>0</v>
      </c>
      <c r="AN147" s="228">
        <f t="shared" si="227"/>
        <v>0</v>
      </c>
      <c r="AO147" s="228">
        <f t="shared" si="227"/>
        <v>0</v>
      </c>
      <c r="AP147" s="228">
        <f t="shared" si="227"/>
        <v>0</v>
      </c>
      <c r="AQ147" s="228">
        <f t="shared" si="209"/>
        <v>101979445</v>
      </c>
      <c r="AR147" s="229">
        <f t="shared" si="215"/>
        <v>1.6578303567654736E-3</v>
      </c>
      <c r="AS147" s="230">
        <f t="shared" ref="AS147:AS148" si="228">F147-AQ147</f>
        <v>513158555</v>
      </c>
      <c r="AT147" s="229">
        <f t="shared" ref="AT147:AT148" si="229">AS147/F147*100</f>
        <v>83.421696432345257</v>
      </c>
      <c r="AU147" s="220" t="s">
        <v>542</v>
      </c>
      <c r="AV147" s="220" t="s">
        <v>543</v>
      </c>
      <c r="AW147" s="220" t="s">
        <v>4732</v>
      </c>
      <c r="AX147" s="228">
        <f t="shared" si="227"/>
        <v>0</v>
      </c>
      <c r="AY147" s="228">
        <f t="shared" si="227"/>
        <v>37430665</v>
      </c>
      <c r="AZ147" s="228">
        <f t="shared" si="227"/>
        <v>7845000</v>
      </c>
      <c r="BA147" s="228">
        <f t="shared" si="227"/>
        <v>0</v>
      </c>
      <c r="BB147" s="228">
        <f t="shared" si="227"/>
        <v>0</v>
      </c>
      <c r="BC147" s="228">
        <f t="shared" si="227"/>
        <v>0</v>
      </c>
      <c r="BD147" s="228">
        <f t="shared" si="227"/>
        <v>19898480</v>
      </c>
      <c r="BE147" s="228">
        <f t="shared" si="227"/>
        <v>0</v>
      </c>
    </row>
    <row r="148" spans="2:57" x14ac:dyDescent="0.3">
      <c r="B148" s="226">
        <v>301</v>
      </c>
      <c r="C148" s="227" t="s">
        <v>2740</v>
      </c>
      <c r="D148" s="227"/>
      <c r="E148" s="227"/>
      <c r="F148" s="228">
        <f>F149+F154+F160</f>
        <v>615138000</v>
      </c>
      <c r="G148" s="228">
        <f t="shared" ref="G148" si="230">G149+G154+G160</f>
        <v>0</v>
      </c>
      <c r="H148" s="228">
        <f t="shared" ref="H148:AX148" si="231">H149+H154+H160</f>
        <v>0</v>
      </c>
      <c r="I148" s="228">
        <f t="shared" si="231"/>
        <v>0</v>
      </c>
      <c r="J148" s="228">
        <f t="shared" si="231"/>
        <v>10597800</v>
      </c>
      <c r="K148" s="228">
        <f t="shared" si="231"/>
        <v>0</v>
      </c>
      <c r="L148" s="228">
        <f t="shared" si="231"/>
        <v>0</v>
      </c>
      <c r="M148" s="228">
        <f t="shared" si="231"/>
        <v>0</v>
      </c>
      <c r="N148" s="228">
        <f t="shared" si="231"/>
        <v>7845000</v>
      </c>
      <c r="O148" s="228">
        <f t="shared" si="231"/>
        <v>37430665</v>
      </c>
      <c r="P148" s="228">
        <f t="shared" si="231"/>
        <v>6535000</v>
      </c>
      <c r="Q148" s="228">
        <f t="shared" si="231"/>
        <v>0</v>
      </c>
      <c r="R148" s="228">
        <f t="shared" si="231"/>
        <v>0</v>
      </c>
      <c r="S148" s="228">
        <f t="shared" si="231"/>
        <v>9172500</v>
      </c>
      <c r="T148" s="228">
        <f t="shared" si="231"/>
        <v>0</v>
      </c>
      <c r="U148" s="228">
        <f t="shared" si="231"/>
        <v>19898480</v>
      </c>
      <c r="V148" s="228">
        <f t="shared" si="231"/>
        <v>10500000</v>
      </c>
      <c r="W148" s="228">
        <f t="shared" si="231"/>
        <v>0</v>
      </c>
      <c r="X148" s="228">
        <f t="shared" si="231"/>
        <v>0</v>
      </c>
      <c r="Y148" s="228">
        <f t="shared" si="231"/>
        <v>0</v>
      </c>
      <c r="Z148" s="228">
        <f t="shared" si="231"/>
        <v>0</v>
      </c>
      <c r="AA148" s="228">
        <f t="shared" si="231"/>
        <v>0</v>
      </c>
      <c r="AB148" s="228">
        <f t="shared" si="231"/>
        <v>0</v>
      </c>
      <c r="AC148" s="228">
        <f t="shared" si="231"/>
        <v>0</v>
      </c>
      <c r="AD148" s="228">
        <f t="shared" si="231"/>
        <v>0</v>
      </c>
      <c r="AE148" s="228">
        <f t="shared" si="231"/>
        <v>0</v>
      </c>
      <c r="AF148" s="228">
        <f t="shared" si="231"/>
        <v>0</v>
      </c>
      <c r="AG148" s="228">
        <f t="shared" si="231"/>
        <v>0</v>
      </c>
      <c r="AH148" s="228">
        <f t="shared" si="231"/>
        <v>0</v>
      </c>
      <c r="AI148" s="228">
        <f t="shared" si="231"/>
        <v>0</v>
      </c>
      <c r="AJ148" s="228">
        <f t="shared" si="231"/>
        <v>0</v>
      </c>
      <c r="AK148" s="228">
        <f t="shared" si="231"/>
        <v>0</v>
      </c>
      <c r="AL148" s="228">
        <f t="shared" si="231"/>
        <v>0</v>
      </c>
      <c r="AM148" s="228">
        <f t="shared" si="231"/>
        <v>0</v>
      </c>
      <c r="AN148" s="228">
        <f t="shared" si="231"/>
        <v>0</v>
      </c>
      <c r="AO148" s="228">
        <f t="shared" si="231"/>
        <v>0</v>
      </c>
      <c r="AP148" s="228">
        <f t="shared" si="231"/>
        <v>0</v>
      </c>
      <c r="AQ148" s="228">
        <f t="shared" si="209"/>
        <v>101979445</v>
      </c>
      <c r="AR148" s="229">
        <f t="shared" ref="AR148:AR149" si="232">AQ148/F148/100</f>
        <v>1.6578303567654736E-3</v>
      </c>
      <c r="AS148" s="230">
        <f t="shared" si="228"/>
        <v>513158555</v>
      </c>
      <c r="AT148" s="229">
        <f t="shared" si="229"/>
        <v>83.421696432345257</v>
      </c>
      <c r="AU148" s="220" t="s">
        <v>542</v>
      </c>
      <c r="AV148" s="220" t="s">
        <v>543</v>
      </c>
      <c r="AW148" s="220" t="s">
        <v>4732</v>
      </c>
      <c r="AX148" s="228">
        <f t="shared" si="231"/>
        <v>0</v>
      </c>
      <c r="AY148" s="228">
        <f t="shared" ref="AY148:AZ148" si="233">AY149+AY154+AY160</f>
        <v>37430665</v>
      </c>
      <c r="AZ148" s="228">
        <f t="shared" si="233"/>
        <v>7845000</v>
      </c>
      <c r="BA148" s="228">
        <f t="shared" ref="BA148" si="234">BA149+BA154+BA160</f>
        <v>0</v>
      </c>
      <c r="BB148" s="228">
        <f t="shared" ref="BB148" si="235">BB149+BB154+BB160</f>
        <v>0</v>
      </c>
      <c r="BC148" s="228">
        <f t="shared" ref="BC148:BD148" si="236">BC149+BC154+BC160</f>
        <v>0</v>
      </c>
      <c r="BD148" s="228">
        <f t="shared" si="236"/>
        <v>19898480</v>
      </c>
      <c r="BE148" s="228">
        <f t="shared" ref="BE148" si="237">BE149+BE154+BE160</f>
        <v>0</v>
      </c>
    </row>
    <row r="149" spans="2:57" x14ac:dyDescent="0.3">
      <c r="B149" s="290" t="s">
        <v>8</v>
      </c>
      <c r="C149" s="222" t="s">
        <v>129</v>
      </c>
      <c r="D149" s="222"/>
      <c r="E149" s="222"/>
      <c r="F149" s="223">
        <f>SUM(F150:F153)</f>
        <v>101050000</v>
      </c>
      <c r="G149" s="223">
        <f t="shared" ref="G149" si="238">SUM(G150:G153)</f>
        <v>0</v>
      </c>
      <c r="H149" s="223">
        <f t="shared" ref="H149:AX149" si="239">SUM(H150:H153)</f>
        <v>0</v>
      </c>
      <c r="I149" s="223">
        <f t="shared" si="239"/>
        <v>0</v>
      </c>
      <c r="J149" s="223">
        <f t="shared" si="239"/>
        <v>1010000</v>
      </c>
      <c r="K149" s="223">
        <f t="shared" si="239"/>
        <v>0</v>
      </c>
      <c r="L149" s="223">
        <f t="shared" si="239"/>
        <v>0</v>
      </c>
      <c r="M149" s="223">
        <f t="shared" si="239"/>
        <v>0</v>
      </c>
      <c r="N149" s="223">
        <f t="shared" si="239"/>
        <v>2805000</v>
      </c>
      <c r="O149" s="223">
        <f t="shared" si="239"/>
        <v>4303915</v>
      </c>
      <c r="P149" s="223">
        <f t="shared" si="239"/>
        <v>0</v>
      </c>
      <c r="Q149" s="223">
        <f t="shared" si="239"/>
        <v>0</v>
      </c>
      <c r="R149" s="223">
        <f t="shared" si="239"/>
        <v>0</v>
      </c>
      <c r="S149" s="223">
        <f t="shared" si="239"/>
        <v>1348500</v>
      </c>
      <c r="T149" s="223">
        <f t="shared" si="239"/>
        <v>0</v>
      </c>
      <c r="U149" s="223">
        <f t="shared" si="239"/>
        <v>4238980</v>
      </c>
      <c r="V149" s="223">
        <f t="shared" si="239"/>
        <v>0</v>
      </c>
      <c r="W149" s="223">
        <f t="shared" si="239"/>
        <v>0</v>
      </c>
      <c r="X149" s="223">
        <f t="shared" si="239"/>
        <v>0</v>
      </c>
      <c r="Y149" s="223">
        <f t="shared" si="239"/>
        <v>0</v>
      </c>
      <c r="Z149" s="223">
        <f t="shared" si="239"/>
        <v>0</v>
      </c>
      <c r="AA149" s="223">
        <f t="shared" si="239"/>
        <v>0</v>
      </c>
      <c r="AB149" s="223">
        <f t="shared" si="239"/>
        <v>0</v>
      </c>
      <c r="AC149" s="223">
        <f t="shared" si="239"/>
        <v>0</v>
      </c>
      <c r="AD149" s="223">
        <f t="shared" si="239"/>
        <v>0</v>
      </c>
      <c r="AE149" s="223">
        <f t="shared" si="239"/>
        <v>0</v>
      </c>
      <c r="AF149" s="223">
        <f t="shared" si="239"/>
        <v>0</v>
      </c>
      <c r="AG149" s="223">
        <f t="shared" si="239"/>
        <v>0</v>
      </c>
      <c r="AH149" s="223">
        <f t="shared" si="239"/>
        <v>0</v>
      </c>
      <c r="AI149" s="223">
        <f t="shared" si="239"/>
        <v>0</v>
      </c>
      <c r="AJ149" s="223">
        <f t="shared" si="239"/>
        <v>0</v>
      </c>
      <c r="AK149" s="223">
        <f t="shared" si="239"/>
        <v>0</v>
      </c>
      <c r="AL149" s="223">
        <f t="shared" si="239"/>
        <v>0</v>
      </c>
      <c r="AM149" s="223">
        <f t="shared" si="239"/>
        <v>0</v>
      </c>
      <c r="AN149" s="223">
        <f t="shared" si="239"/>
        <v>0</v>
      </c>
      <c r="AO149" s="223">
        <f t="shared" si="239"/>
        <v>0</v>
      </c>
      <c r="AP149" s="223">
        <f t="shared" si="239"/>
        <v>0</v>
      </c>
      <c r="AQ149" s="223">
        <f t="shared" si="209"/>
        <v>13706395</v>
      </c>
      <c r="AR149" s="231">
        <f t="shared" si="232"/>
        <v>1.3563973280554182E-3</v>
      </c>
      <c r="AS149" s="232">
        <f>F149-AQ149</f>
        <v>87343605</v>
      </c>
      <c r="AT149" s="231">
        <f>AS149/F149*100</f>
        <v>86.43602671944582</v>
      </c>
      <c r="AU149" s="220" t="s">
        <v>542</v>
      </c>
      <c r="AV149" s="220" t="s">
        <v>543</v>
      </c>
      <c r="AW149" s="220" t="s">
        <v>4732</v>
      </c>
      <c r="AX149" s="223">
        <f t="shared" si="239"/>
        <v>0</v>
      </c>
      <c r="AY149" s="223">
        <f t="shared" ref="AY149:AZ149" si="240">SUM(AY150:AY153)</f>
        <v>4303915</v>
      </c>
      <c r="AZ149" s="223">
        <f t="shared" si="240"/>
        <v>2805000</v>
      </c>
      <c r="BA149" s="223">
        <f t="shared" ref="BA149" si="241">SUM(BA150:BA153)</f>
        <v>0</v>
      </c>
      <c r="BB149" s="223">
        <f t="shared" ref="BB149" si="242">SUM(BB150:BB153)</f>
        <v>0</v>
      </c>
      <c r="BC149" s="223">
        <f t="shared" ref="BC149:BD149" si="243">SUM(BC150:BC153)</f>
        <v>0</v>
      </c>
      <c r="BD149" s="223">
        <f t="shared" si="243"/>
        <v>4238980</v>
      </c>
      <c r="BE149" s="223">
        <f t="shared" ref="BE149" si="244">SUM(BE150:BE153)</f>
        <v>0</v>
      </c>
    </row>
    <row r="150" spans="2:57" x14ac:dyDescent="0.3">
      <c r="B150" s="288">
        <v>521211</v>
      </c>
      <c r="C150" s="220" t="s">
        <v>7</v>
      </c>
      <c r="D150" s="220"/>
      <c r="E150" s="220"/>
      <c r="F150" s="221">
        <v>22650000</v>
      </c>
      <c r="G150" s="221"/>
      <c r="H150" s="221"/>
      <c r="I150" s="221"/>
      <c r="J150" s="221"/>
      <c r="K150" s="221"/>
      <c r="L150" s="221"/>
      <c r="M150" s="221"/>
      <c r="N150" s="221"/>
      <c r="O150" s="221">
        <v>1498000</v>
      </c>
      <c r="P150" s="221"/>
      <c r="Q150" s="221"/>
      <c r="R150" s="221"/>
      <c r="S150" s="221"/>
      <c r="T150" s="221"/>
      <c r="U150" s="302">
        <v>1493000</v>
      </c>
      <c r="V150" s="221"/>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f t="shared" si="209"/>
        <v>2991000</v>
      </c>
      <c r="AR150" s="224">
        <f t="shared" ref="AR150" si="245">AQ150/F150/100</f>
        <v>1.3205298013245035E-3</v>
      </c>
      <c r="AS150" s="225">
        <f>F150-AQ150</f>
        <v>19659000</v>
      </c>
      <c r="AT150" s="224">
        <f>AS150/F150*100</f>
        <v>86.794701986754959</v>
      </c>
      <c r="AU150" s="220" t="s">
        <v>542</v>
      </c>
      <c r="AV150" s="220" t="s">
        <v>543</v>
      </c>
      <c r="AW150" s="220" t="s">
        <v>4732</v>
      </c>
      <c r="AX150" s="221"/>
      <c r="AY150" s="221">
        <v>1498000</v>
      </c>
      <c r="AZ150" s="302"/>
      <c r="BA150" s="302"/>
      <c r="BB150" s="302"/>
      <c r="BC150" s="302"/>
      <c r="BD150" s="302">
        <v>1493000</v>
      </c>
      <c r="BE150" s="302"/>
    </row>
    <row r="151" spans="2:57" x14ac:dyDescent="0.3">
      <c r="B151" s="288">
        <v>521219</v>
      </c>
      <c r="C151" s="220" t="s">
        <v>53</v>
      </c>
      <c r="D151" s="220"/>
      <c r="E151" s="220"/>
      <c r="F151" s="221">
        <v>1000000</v>
      </c>
      <c r="G151" s="221"/>
      <c r="H151" s="221"/>
      <c r="I151" s="221"/>
      <c r="J151" s="221"/>
      <c r="K151" s="221"/>
      <c r="L151" s="221"/>
      <c r="M151" s="221"/>
      <c r="N151" s="221"/>
      <c r="O151" s="221">
        <v>346915</v>
      </c>
      <c r="P151" s="221"/>
      <c r="Q151" s="221"/>
      <c r="R151" s="221"/>
      <c r="S151" s="221"/>
      <c r="T151" s="221"/>
      <c r="U151" s="221">
        <v>355980</v>
      </c>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f t="shared" ref="AQ151:AQ153" si="246">SUM(G151:AP151)</f>
        <v>702895</v>
      </c>
      <c r="AR151" s="224">
        <f t="shared" ref="AR151:AR154" si="247">AQ151/F151/100</f>
        <v>7.0289500000000008E-3</v>
      </c>
      <c r="AS151" s="225">
        <f t="shared" ref="AS151:AS154" si="248">F151-AQ151</f>
        <v>297105</v>
      </c>
      <c r="AT151" s="224">
        <f t="shared" ref="AT151:AT153" si="249">AS151/F151*100</f>
        <v>29.7105</v>
      </c>
      <c r="AU151" s="220" t="s">
        <v>542</v>
      </c>
      <c r="AV151" s="220" t="s">
        <v>543</v>
      </c>
      <c r="AW151" s="391" t="s">
        <v>4732</v>
      </c>
      <c r="AX151" s="221"/>
      <c r="AY151" s="221">
        <v>346915</v>
      </c>
      <c r="AZ151" s="302"/>
      <c r="BA151" s="221"/>
      <c r="BB151" s="221"/>
      <c r="BC151" s="221"/>
      <c r="BD151" s="221">
        <v>355980</v>
      </c>
      <c r="BE151" s="221"/>
    </row>
    <row r="152" spans="2:57" x14ac:dyDescent="0.3">
      <c r="B152" s="288">
        <v>521811</v>
      </c>
      <c r="C152" s="220" t="s">
        <v>64</v>
      </c>
      <c r="D152" s="220"/>
      <c r="E152" s="220"/>
      <c r="F152" s="221">
        <v>15000000</v>
      </c>
      <c r="G152" s="221"/>
      <c r="H152" s="221"/>
      <c r="I152" s="221"/>
      <c r="J152" s="221"/>
      <c r="K152" s="221"/>
      <c r="L152" s="221"/>
      <c r="M152" s="221"/>
      <c r="N152" s="221"/>
      <c r="O152" s="221">
        <v>2459000</v>
      </c>
      <c r="P152" s="221"/>
      <c r="Q152" s="221"/>
      <c r="R152" s="221"/>
      <c r="S152" s="221"/>
      <c r="T152" s="221"/>
      <c r="U152" s="221">
        <v>2390000</v>
      </c>
      <c r="V152" s="221"/>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f>SUM(G152:AP152)</f>
        <v>4849000</v>
      </c>
      <c r="AR152" s="224">
        <f t="shared" si="247"/>
        <v>3.2326666666666667E-3</v>
      </c>
      <c r="AS152" s="225">
        <f t="shared" si="248"/>
        <v>10151000</v>
      </c>
      <c r="AT152" s="224">
        <f t="shared" si="249"/>
        <v>67.673333333333332</v>
      </c>
      <c r="AU152" s="220" t="s">
        <v>542</v>
      </c>
      <c r="AV152" s="220" t="s">
        <v>543</v>
      </c>
      <c r="AW152" s="220" t="s">
        <v>4732</v>
      </c>
      <c r="AX152" s="221"/>
      <c r="AY152" s="221">
        <v>2459000</v>
      </c>
      <c r="AZ152" s="302"/>
      <c r="BA152" s="221"/>
      <c r="BB152" s="221"/>
      <c r="BC152" s="221"/>
      <c r="BD152" s="221">
        <v>2390000</v>
      </c>
      <c r="BE152" s="221"/>
    </row>
    <row r="153" spans="2:57" x14ac:dyDescent="0.3">
      <c r="B153" s="288">
        <v>524111</v>
      </c>
      <c r="C153" s="220" t="s">
        <v>19</v>
      </c>
      <c r="D153" s="220"/>
      <c r="E153" s="220"/>
      <c r="F153" s="221">
        <v>62400000</v>
      </c>
      <c r="G153" s="221"/>
      <c r="H153" s="221"/>
      <c r="I153" s="221"/>
      <c r="J153" s="221">
        <v>1010000</v>
      </c>
      <c r="K153" s="221"/>
      <c r="L153" s="221"/>
      <c r="M153" s="221"/>
      <c r="N153" s="302">
        <v>2805000</v>
      </c>
      <c r="O153" s="221"/>
      <c r="P153" s="221"/>
      <c r="Q153" s="221"/>
      <c r="R153" s="221"/>
      <c r="S153" s="221">
        <f>900500+448000</f>
        <v>1348500</v>
      </c>
      <c r="T153" s="221"/>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f t="shared" si="246"/>
        <v>5163500</v>
      </c>
      <c r="AR153" s="224">
        <f t="shared" si="247"/>
        <v>8.2748397435897431E-4</v>
      </c>
      <c r="AS153" s="225">
        <f t="shared" si="248"/>
        <v>57236500</v>
      </c>
      <c r="AT153" s="224">
        <f t="shared" si="249"/>
        <v>91.725160256410248</v>
      </c>
      <c r="AU153" s="220" t="s">
        <v>542</v>
      </c>
      <c r="AV153" s="220" t="s">
        <v>543</v>
      </c>
      <c r="AW153" s="220" t="s">
        <v>4732</v>
      </c>
      <c r="AX153" s="221"/>
      <c r="AY153" s="221"/>
      <c r="AZ153" s="302">
        <v>2805000</v>
      </c>
      <c r="BA153" s="221"/>
      <c r="BB153" s="221"/>
      <c r="BC153" s="221"/>
      <c r="BD153" s="221"/>
      <c r="BE153" s="221"/>
    </row>
    <row r="154" spans="2:57" x14ac:dyDescent="0.3">
      <c r="B154" s="290" t="s">
        <v>511</v>
      </c>
      <c r="C154" s="222" t="s">
        <v>130</v>
      </c>
      <c r="D154" s="222"/>
      <c r="E154" s="222"/>
      <c r="F154" s="223">
        <f t="shared" ref="F154:AP154" si="250">SUM(F155:F159)</f>
        <v>345988000</v>
      </c>
      <c r="G154" s="223">
        <f t="shared" si="250"/>
        <v>0</v>
      </c>
      <c r="H154" s="223">
        <f t="shared" si="250"/>
        <v>0</v>
      </c>
      <c r="I154" s="223">
        <f t="shared" si="250"/>
        <v>0</v>
      </c>
      <c r="J154" s="223">
        <f t="shared" si="250"/>
        <v>0</v>
      </c>
      <c r="K154" s="223">
        <f t="shared" si="250"/>
        <v>0</v>
      </c>
      <c r="L154" s="223">
        <f t="shared" si="250"/>
        <v>0</v>
      </c>
      <c r="M154" s="223">
        <f t="shared" si="250"/>
        <v>0</v>
      </c>
      <c r="N154" s="223">
        <f t="shared" si="250"/>
        <v>0</v>
      </c>
      <c r="O154" s="223">
        <f t="shared" si="250"/>
        <v>7874000</v>
      </c>
      <c r="P154" s="223">
        <f t="shared" si="250"/>
        <v>205000</v>
      </c>
      <c r="Q154" s="223">
        <f t="shared" si="250"/>
        <v>0</v>
      </c>
      <c r="R154" s="223">
        <f t="shared" si="250"/>
        <v>0</v>
      </c>
      <c r="S154" s="223">
        <f t="shared" si="250"/>
        <v>4224000</v>
      </c>
      <c r="T154" s="223">
        <f t="shared" si="250"/>
        <v>0</v>
      </c>
      <c r="U154" s="223">
        <f t="shared" si="250"/>
        <v>7848000</v>
      </c>
      <c r="V154" s="223">
        <f t="shared" si="250"/>
        <v>0</v>
      </c>
      <c r="W154" s="223">
        <f t="shared" si="250"/>
        <v>0</v>
      </c>
      <c r="X154" s="223">
        <f t="shared" si="250"/>
        <v>0</v>
      </c>
      <c r="Y154" s="223">
        <f t="shared" si="250"/>
        <v>0</v>
      </c>
      <c r="Z154" s="223">
        <f t="shared" si="250"/>
        <v>0</v>
      </c>
      <c r="AA154" s="223">
        <f t="shared" si="250"/>
        <v>0</v>
      </c>
      <c r="AB154" s="223">
        <f t="shared" si="250"/>
        <v>0</v>
      </c>
      <c r="AC154" s="223">
        <f t="shared" si="250"/>
        <v>0</v>
      </c>
      <c r="AD154" s="223">
        <f t="shared" si="250"/>
        <v>0</v>
      </c>
      <c r="AE154" s="223">
        <f t="shared" si="250"/>
        <v>0</v>
      </c>
      <c r="AF154" s="223">
        <f t="shared" si="250"/>
        <v>0</v>
      </c>
      <c r="AG154" s="223">
        <f t="shared" si="250"/>
        <v>0</v>
      </c>
      <c r="AH154" s="223">
        <f t="shared" si="250"/>
        <v>0</v>
      </c>
      <c r="AI154" s="223">
        <f t="shared" si="250"/>
        <v>0</v>
      </c>
      <c r="AJ154" s="223">
        <f t="shared" si="250"/>
        <v>0</v>
      </c>
      <c r="AK154" s="223">
        <f t="shared" si="250"/>
        <v>0</v>
      </c>
      <c r="AL154" s="223">
        <f t="shared" si="250"/>
        <v>0</v>
      </c>
      <c r="AM154" s="223">
        <f t="shared" si="250"/>
        <v>0</v>
      </c>
      <c r="AN154" s="223">
        <f t="shared" si="250"/>
        <v>0</v>
      </c>
      <c r="AO154" s="223">
        <f t="shared" si="250"/>
        <v>0</v>
      </c>
      <c r="AP154" s="223">
        <f t="shared" si="250"/>
        <v>0</v>
      </c>
      <c r="AQ154" s="223">
        <f>SUM(G154:AP154)</f>
        <v>20151000</v>
      </c>
      <c r="AR154" s="231">
        <f t="shared" si="247"/>
        <v>5.8241904343503241E-4</v>
      </c>
      <c r="AS154" s="232">
        <f t="shared" si="248"/>
        <v>325837000</v>
      </c>
      <c r="AT154" s="231">
        <f>AS154/F154*100</f>
        <v>94.175809565649672</v>
      </c>
      <c r="AU154" s="220" t="s">
        <v>542</v>
      </c>
      <c r="AV154" s="220" t="s">
        <v>543</v>
      </c>
      <c r="AW154" s="220" t="s">
        <v>4732</v>
      </c>
      <c r="AX154" s="223">
        <f>SUM(AX155:AX159)</f>
        <v>0</v>
      </c>
      <c r="AY154" s="223">
        <f>SUM(AY155:AY159)</f>
        <v>7874000</v>
      </c>
      <c r="AZ154" s="223">
        <f>SUM(AZ155:AZ159)</f>
        <v>0</v>
      </c>
      <c r="BA154" s="223">
        <f t="shared" ref="BA154" si="251">SUM(BA155:BA159)</f>
        <v>0</v>
      </c>
      <c r="BB154" s="223">
        <f t="shared" ref="BB154" si="252">SUM(BB155:BB159)</f>
        <v>0</v>
      </c>
      <c r="BC154" s="223">
        <f t="shared" ref="BC154:BD154" si="253">SUM(BC155:BC159)</f>
        <v>0</v>
      </c>
      <c r="BD154" s="223">
        <f t="shared" si="253"/>
        <v>7848000</v>
      </c>
      <c r="BE154" s="223">
        <f t="shared" ref="BE154" si="254">SUM(BE155:BE159)</f>
        <v>0</v>
      </c>
    </row>
    <row r="155" spans="2:57" x14ac:dyDescent="0.3">
      <c r="B155" s="288">
        <v>521211</v>
      </c>
      <c r="C155" s="220" t="s">
        <v>7</v>
      </c>
      <c r="D155" s="220"/>
      <c r="E155" s="220"/>
      <c r="F155" s="221">
        <v>49300000</v>
      </c>
      <c r="G155" s="221"/>
      <c r="H155" s="221"/>
      <c r="I155" s="221"/>
      <c r="J155" s="221"/>
      <c r="K155" s="221"/>
      <c r="L155" s="221"/>
      <c r="M155" s="221"/>
      <c r="N155" s="221"/>
      <c r="O155" s="221">
        <v>2964000</v>
      </c>
      <c r="P155" s="221"/>
      <c r="Q155" s="221"/>
      <c r="R155" s="221"/>
      <c r="S155" s="221"/>
      <c r="T155" s="221"/>
      <c r="U155" s="221">
        <v>2975000</v>
      </c>
      <c r="V155" s="221"/>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f>SUM(G155:AP155)</f>
        <v>5939000</v>
      </c>
      <c r="AR155" s="224">
        <f t="shared" si="197"/>
        <v>1.2046653144016227E-3</v>
      </c>
      <c r="AS155" s="225">
        <f t="shared" ref="AS155:AS189" si="255">F155-AQ155</f>
        <v>43361000</v>
      </c>
      <c r="AT155" s="224">
        <f t="shared" si="198"/>
        <v>87.953346855983767</v>
      </c>
      <c r="AU155" s="220" t="s">
        <v>542</v>
      </c>
      <c r="AV155" s="220" t="s">
        <v>543</v>
      </c>
      <c r="AW155" s="220" t="s">
        <v>4732</v>
      </c>
      <c r="AX155" s="221"/>
      <c r="AY155" s="221">
        <v>2964000</v>
      </c>
      <c r="AZ155" s="302"/>
      <c r="BA155" s="221"/>
      <c r="BB155" s="221"/>
      <c r="BC155" s="221"/>
      <c r="BD155" s="221">
        <v>2975000</v>
      </c>
      <c r="BE155" s="221"/>
    </row>
    <row r="156" spans="2:57" x14ac:dyDescent="0.3">
      <c r="B156" s="288">
        <v>521219</v>
      </c>
      <c r="C156" s="220" t="s">
        <v>53</v>
      </c>
      <c r="D156" s="220"/>
      <c r="E156" s="220"/>
      <c r="F156" s="221">
        <v>1000000</v>
      </c>
      <c r="G156" s="221"/>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f t="shared" ref="AQ156:AQ189" si="256">SUM(G156:AP156)</f>
        <v>0</v>
      </c>
      <c r="AR156" s="224">
        <f t="shared" si="197"/>
        <v>0</v>
      </c>
      <c r="AS156" s="225">
        <f t="shared" si="255"/>
        <v>1000000</v>
      </c>
      <c r="AT156" s="224">
        <f t="shared" si="198"/>
        <v>100</v>
      </c>
      <c r="AU156" s="220" t="s">
        <v>542</v>
      </c>
      <c r="AV156" s="220" t="s">
        <v>543</v>
      </c>
      <c r="AW156" s="391" t="s">
        <v>4732</v>
      </c>
      <c r="AX156" s="221"/>
      <c r="AY156" s="221"/>
      <c r="AZ156" s="302"/>
      <c r="BA156" s="221"/>
      <c r="BB156" s="221"/>
      <c r="BC156" s="221"/>
      <c r="BD156" s="221"/>
      <c r="BE156" s="221"/>
    </row>
    <row r="157" spans="2:57" x14ac:dyDescent="0.3">
      <c r="B157" s="288">
        <v>521811</v>
      </c>
      <c r="C157" s="220" t="s">
        <v>64</v>
      </c>
      <c r="D157" s="220"/>
      <c r="E157" s="220"/>
      <c r="F157" s="221">
        <v>25000000</v>
      </c>
      <c r="G157" s="221"/>
      <c r="H157" s="221"/>
      <c r="I157" s="221"/>
      <c r="J157" s="221"/>
      <c r="K157" s="221"/>
      <c r="L157" s="221"/>
      <c r="M157" s="221"/>
      <c r="N157" s="221"/>
      <c r="O157" s="221">
        <v>4910000</v>
      </c>
      <c r="P157" s="221"/>
      <c r="Q157" s="221"/>
      <c r="R157" s="221"/>
      <c r="S157" s="221"/>
      <c r="T157" s="221"/>
      <c r="U157" s="221">
        <v>4873000</v>
      </c>
      <c r="V157" s="221"/>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f t="shared" si="256"/>
        <v>9783000</v>
      </c>
      <c r="AR157" s="224">
        <f t="shared" si="197"/>
        <v>3.9132000000000004E-3</v>
      </c>
      <c r="AS157" s="225">
        <f t="shared" si="255"/>
        <v>15217000</v>
      </c>
      <c r="AT157" s="224">
        <f t="shared" si="198"/>
        <v>60.868000000000002</v>
      </c>
      <c r="AU157" s="220" t="s">
        <v>542</v>
      </c>
      <c r="AV157" s="220" t="s">
        <v>543</v>
      </c>
      <c r="AW157" s="220" t="s">
        <v>4732</v>
      </c>
      <c r="AX157" s="221"/>
      <c r="AY157" s="221">
        <v>4910000</v>
      </c>
      <c r="AZ157" s="302"/>
      <c r="BA157" s="221"/>
      <c r="BB157" s="221"/>
      <c r="BC157" s="221"/>
      <c r="BD157" s="221">
        <v>4873000</v>
      </c>
      <c r="BE157" s="221"/>
    </row>
    <row r="158" spans="2:57" x14ac:dyDescent="0.3">
      <c r="B158" s="288">
        <v>522151</v>
      </c>
      <c r="C158" s="220" t="s">
        <v>11</v>
      </c>
      <c r="D158" s="220"/>
      <c r="E158" s="220"/>
      <c r="F158" s="221">
        <v>12000000</v>
      </c>
      <c r="G158" s="221"/>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f t="shared" si="256"/>
        <v>0</v>
      </c>
      <c r="AR158" s="224">
        <f t="shared" si="197"/>
        <v>0</v>
      </c>
      <c r="AS158" s="225">
        <f t="shared" si="255"/>
        <v>12000000</v>
      </c>
      <c r="AT158" s="224">
        <f t="shared" si="198"/>
        <v>100</v>
      </c>
      <c r="AU158" s="220" t="s">
        <v>542</v>
      </c>
      <c r="AV158" s="220" t="s">
        <v>543</v>
      </c>
      <c r="AW158" s="220" t="s">
        <v>4732</v>
      </c>
      <c r="AX158" s="221"/>
      <c r="AY158" s="221"/>
      <c r="AZ158" s="302"/>
      <c r="BA158" s="221"/>
      <c r="BB158" s="221"/>
      <c r="BC158" s="221"/>
      <c r="BD158" s="221"/>
      <c r="BE158" s="221"/>
    </row>
    <row r="159" spans="2:57" x14ac:dyDescent="0.3">
      <c r="B159" s="288">
        <v>524111</v>
      </c>
      <c r="C159" s="220" t="s">
        <v>19</v>
      </c>
      <c r="D159" s="220"/>
      <c r="E159" s="220"/>
      <c r="F159" s="221">
        <v>258688000</v>
      </c>
      <c r="G159" s="221"/>
      <c r="H159" s="221"/>
      <c r="I159" s="221"/>
      <c r="J159" s="221"/>
      <c r="K159" s="221"/>
      <c r="L159" s="221"/>
      <c r="M159" s="221"/>
      <c r="N159" s="221"/>
      <c r="O159" s="221"/>
      <c r="P159" s="221">
        <v>205000</v>
      </c>
      <c r="Q159" s="221"/>
      <c r="R159" s="221"/>
      <c r="S159" s="221">
        <f>1040000+3184000</f>
        <v>4224000</v>
      </c>
      <c r="T159" s="221"/>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f t="shared" si="256"/>
        <v>4429000</v>
      </c>
      <c r="AR159" s="224">
        <f t="shared" si="197"/>
        <v>1.7121010638297872E-4</v>
      </c>
      <c r="AS159" s="225">
        <f t="shared" si="255"/>
        <v>254259000</v>
      </c>
      <c r="AT159" s="224">
        <f t="shared" si="198"/>
        <v>98.287898936170208</v>
      </c>
      <c r="AU159" s="220" t="s">
        <v>542</v>
      </c>
      <c r="AV159" s="220" t="s">
        <v>543</v>
      </c>
      <c r="AW159" s="220" t="s">
        <v>4732</v>
      </c>
      <c r="AX159" s="221"/>
      <c r="AY159" s="221"/>
      <c r="AZ159" s="302"/>
      <c r="BA159" s="221"/>
      <c r="BB159" s="221"/>
      <c r="BC159" s="221"/>
      <c r="BD159" s="221"/>
      <c r="BE159" s="221"/>
    </row>
    <row r="160" spans="2:57" x14ac:dyDescent="0.3">
      <c r="B160" s="290" t="s">
        <v>512</v>
      </c>
      <c r="C160" s="222" t="s">
        <v>131</v>
      </c>
      <c r="D160" s="222"/>
      <c r="E160" s="222"/>
      <c r="F160" s="223">
        <f t="shared" ref="F160:AP160" si="257">SUM(F161:F164)</f>
        <v>168100000</v>
      </c>
      <c r="G160" s="223">
        <f t="shared" si="257"/>
        <v>0</v>
      </c>
      <c r="H160" s="223">
        <f t="shared" si="257"/>
        <v>0</v>
      </c>
      <c r="I160" s="223">
        <f t="shared" si="257"/>
        <v>0</v>
      </c>
      <c r="J160" s="223">
        <f t="shared" si="257"/>
        <v>9587800</v>
      </c>
      <c r="K160" s="223">
        <f t="shared" si="257"/>
        <v>0</v>
      </c>
      <c r="L160" s="223">
        <f t="shared" si="257"/>
        <v>0</v>
      </c>
      <c r="M160" s="223">
        <f t="shared" si="257"/>
        <v>0</v>
      </c>
      <c r="N160" s="223">
        <f t="shared" si="257"/>
        <v>5040000</v>
      </c>
      <c r="O160" s="223">
        <f t="shared" si="257"/>
        <v>25252750</v>
      </c>
      <c r="P160" s="223">
        <f t="shared" si="257"/>
        <v>6330000</v>
      </c>
      <c r="Q160" s="223">
        <f t="shared" si="257"/>
        <v>0</v>
      </c>
      <c r="R160" s="223">
        <f t="shared" si="257"/>
        <v>0</v>
      </c>
      <c r="S160" s="223">
        <f t="shared" si="257"/>
        <v>3600000</v>
      </c>
      <c r="T160" s="223">
        <f t="shared" si="257"/>
        <v>0</v>
      </c>
      <c r="U160" s="223">
        <f t="shared" si="257"/>
        <v>7811500</v>
      </c>
      <c r="V160" s="223">
        <f t="shared" si="257"/>
        <v>10500000</v>
      </c>
      <c r="W160" s="223">
        <f t="shared" si="257"/>
        <v>0</v>
      </c>
      <c r="X160" s="223">
        <f t="shared" si="257"/>
        <v>0</v>
      </c>
      <c r="Y160" s="223">
        <f t="shared" si="257"/>
        <v>0</v>
      </c>
      <c r="Z160" s="223">
        <f t="shared" si="257"/>
        <v>0</v>
      </c>
      <c r="AA160" s="223">
        <f t="shared" si="257"/>
        <v>0</v>
      </c>
      <c r="AB160" s="223">
        <f t="shared" si="257"/>
        <v>0</v>
      </c>
      <c r="AC160" s="223">
        <f t="shared" si="257"/>
        <v>0</v>
      </c>
      <c r="AD160" s="223">
        <f t="shared" si="257"/>
        <v>0</v>
      </c>
      <c r="AE160" s="223">
        <f t="shared" si="257"/>
        <v>0</v>
      </c>
      <c r="AF160" s="223">
        <f t="shared" si="257"/>
        <v>0</v>
      </c>
      <c r="AG160" s="223">
        <f t="shared" si="257"/>
        <v>0</v>
      </c>
      <c r="AH160" s="223">
        <f t="shared" si="257"/>
        <v>0</v>
      </c>
      <c r="AI160" s="223">
        <f t="shared" si="257"/>
        <v>0</v>
      </c>
      <c r="AJ160" s="223">
        <f t="shared" si="257"/>
        <v>0</v>
      </c>
      <c r="AK160" s="223">
        <f t="shared" si="257"/>
        <v>0</v>
      </c>
      <c r="AL160" s="223">
        <f t="shared" si="257"/>
        <v>0</v>
      </c>
      <c r="AM160" s="223">
        <f t="shared" si="257"/>
        <v>0</v>
      </c>
      <c r="AN160" s="223">
        <f t="shared" si="257"/>
        <v>0</v>
      </c>
      <c r="AO160" s="223">
        <f t="shared" si="257"/>
        <v>0</v>
      </c>
      <c r="AP160" s="223">
        <f t="shared" si="257"/>
        <v>0</v>
      </c>
      <c r="AQ160" s="223">
        <f t="shared" si="256"/>
        <v>68122050</v>
      </c>
      <c r="AR160" s="231">
        <f t="shared" si="197"/>
        <v>4.0524717430101128E-3</v>
      </c>
      <c r="AS160" s="232">
        <f t="shared" si="255"/>
        <v>99977950</v>
      </c>
      <c r="AT160" s="231">
        <f t="shared" si="198"/>
        <v>59.475282569898866</v>
      </c>
      <c r="AU160" s="220" t="s">
        <v>542</v>
      </c>
      <c r="AV160" s="220" t="s">
        <v>543</v>
      </c>
      <c r="AW160" s="220" t="s">
        <v>4732</v>
      </c>
      <c r="AX160" s="223">
        <f t="shared" ref="AX160:BA160" si="258">SUM(AX161:AX164)</f>
        <v>0</v>
      </c>
      <c r="AY160" s="223">
        <f t="shared" si="258"/>
        <v>25252750</v>
      </c>
      <c r="AZ160" s="223">
        <f t="shared" si="258"/>
        <v>5040000</v>
      </c>
      <c r="BA160" s="223">
        <f t="shared" si="258"/>
        <v>0</v>
      </c>
      <c r="BB160" s="223">
        <f t="shared" ref="BB160" si="259">SUM(BB161:BB164)</f>
        <v>0</v>
      </c>
      <c r="BC160" s="223">
        <f t="shared" ref="BC160:BD160" si="260">SUM(BC161:BC164)</f>
        <v>0</v>
      </c>
      <c r="BD160" s="223">
        <f t="shared" si="260"/>
        <v>7811500</v>
      </c>
      <c r="BE160" s="223">
        <f t="shared" ref="BE160" si="261">SUM(BE161:BE164)</f>
        <v>0</v>
      </c>
    </row>
    <row r="161" spans="2:57" x14ac:dyDescent="0.3">
      <c r="B161" s="288">
        <v>521211</v>
      </c>
      <c r="C161" s="220" t="s">
        <v>7</v>
      </c>
      <c r="D161" s="220"/>
      <c r="E161" s="220"/>
      <c r="F161" s="221">
        <v>39500000</v>
      </c>
      <c r="G161" s="221"/>
      <c r="H161" s="221"/>
      <c r="I161" s="221"/>
      <c r="J161" s="221"/>
      <c r="K161" s="221"/>
      <c r="L161" s="221"/>
      <c r="M161" s="221"/>
      <c r="N161" s="221"/>
      <c r="O161" s="221">
        <v>2955000</v>
      </c>
      <c r="P161" s="221"/>
      <c r="Q161" s="221"/>
      <c r="R161" s="221"/>
      <c r="S161" s="221"/>
      <c r="T161" s="221"/>
      <c r="U161" s="221">
        <v>2933500</v>
      </c>
      <c r="V161" s="221">
        <v>10500000</v>
      </c>
      <c r="W161" s="221"/>
      <c r="X161" s="221"/>
      <c r="Y161" s="221"/>
      <c r="Z161" s="221"/>
      <c r="AA161" s="221"/>
      <c r="AB161" s="221"/>
      <c r="AC161" s="221"/>
      <c r="AD161" s="221"/>
      <c r="AE161" s="221"/>
      <c r="AF161" s="221"/>
      <c r="AG161" s="221"/>
      <c r="AH161" s="221"/>
      <c r="AI161" s="221"/>
      <c r="AJ161" s="221"/>
      <c r="AK161" s="221"/>
      <c r="AL161" s="221"/>
      <c r="AM161" s="221"/>
      <c r="AN161" s="221"/>
      <c r="AO161" s="221"/>
      <c r="AP161" s="221"/>
      <c r="AQ161" s="221">
        <f t="shared" si="256"/>
        <v>16388500</v>
      </c>
      <c r="AR161" s="224">
        <f t="shared" si="197"/>
        <v>4.1489873417721521E-3</v>
      </c>
      <c r="AS161" s="225">
        <f t="shared" si="255"/>
        <v>23111500</v>
      </c>
      <c r="AT161" s="224">
        <f t="shared" si="198"/>
        <v>58.510126582278474</v>
      </c>
      <c r="AU161" s="220" t="s">
        <v>542</v>
      </c>
      <c r="AV161" s="220" t="s">
        <v>543</v>
      </c>
      <c r="AW161" s="220" t="s">
        <v>4732</v>
      </c>
      <c r="AX161" s="221"/>
      <c r="AY161" s="221">
        <v>2955000</v>
      </c>
      <c r="AZ161" s="302"/>
      <c r="BA161" s="221"/>
      <c r="BB161" s="221"/>
      <c r="BC161" s="221"/>
      <c r="BD161" s="221">
        <v>2933500</v>
      </c>
      <c r="BE161" s="221"/>
    </row>
    <row r="162" spans="2:57" x14ac:dyDescent="0.3">
      <c r="B162" s="288">
        <v>521811</v>
      </c>
      <c r="C162" s="220" t="s">
        <v>64</v>
      </c>
      <c r="D162" s="220"/>
      <c r="E162" s="220"/>
      <c r="F162" s="221">
        <v>25000000</v>
      </c>
      <c r="G162" s="221"/>
      <c r="H162" s="221"/>
      <c r="I162" s="221"/>
      <c r="J162" s="221"/>
      <c r="K162" s="221"/>
      <c r="L162" s="221"/>
      <c r="M162" s="221"/>
      <c r="N162" s="221"/>
      <c r="O162" s="221">
        <v>4947750</v>
      </c>
      <c r="P162" s="221"/>
      <c r="Q162" s="221"/>
      <c r="R162" s="221"/>
      <c r="S162" s="221"/>
      <c r="T162" s="221"/>
      <c r="U162" s="221">
        <v>4878000</v>
      </c>
      <c r="V162" s="221"/>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f t="shared" si="256"/>
        <v>9825750</v>
      </c>
      <c r="AR162" s="224">
        <f t="shared" si="197"/>
        <v>3.9303000000000003E-3</v>
      </c>
      <c r="AS162" s="225">
        <f t="shared" si="255"/>
        <v>15174250</v>
      </c>
      <c r="AT162" s="224">
        <f t="shared" si="198"/>
        <v>60.697000000000003</v>
      </c>
      <c r="AU162" s="220" t="s">
        <v>542</v>
      </c>
      <c r="AV162" s="220" t="s">
        <v>543</v>
      </c>
      <c r="AW162" s="220" t="s">
        <v>4732</v>
      </c>
      <c r="AX162" s="221"/>
      <c r="AY162" s="221">
        <v>4947750</v>
      </c>
      <c r="AZ162" s="302"/>
      <c r="BA162" s="221"/>
      <c r="BB162" s="221"/>
      <c r="BC162" s="221"/>
      <c r="BD162" s="221">
        <v>4878000</v>
      </c>
      <c r="BE162" s="221"/>
    </row>
    <row r="163" spans="2:57" x14ac:dyDescent="0.3">
      <c r="B163" s="288">
        <v>522151</v>
      </c>
      <c r="C163" s="220" t="s">
        <v>11</v>
      </c>
      <c r="D163" s="220"/>
      <c r="E163" s="220"/>
      <c r="F163" s="221">
        <v>10000000</v>
      </c>
      <c r="G163" s="221"/>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f t="shared" si="256"/>
        <v>0</v>
      </c>
      <c r="AR163" s="224">
        <f t="shared" si="197"/>
        <v>0</v>
      </c>
      <c r="AS163" s="225">
        <f t="shared" si="255"/>
        <v>10000000</v>
      </c>
      <c r="AT163" s="224">
        <f t="shared" si="198"/>
        <v>100</v>
      </c>
      <c r="AU163" s="220" t="s">
        <v>542</v>
      </c>
      <c r="AV163" s="220" t="s">
        <v>543</v>
      </c>
      <c r="AW163" s="220" t="s">
        <v>4732</v>
      </c>
      <c r="AX163" s="221"/>
      <c r="AY163" s="221"/>
      <c r="AZ163" s="302"/>
      <c r="BA163" s="221"/>
      <c r="BB163" s="221"/>
      <c r="BC163" s="221"/>
      <c r="BD163" s="221"/>
      <c r="BE163" s="221"/>
    </row>
    <row r="164" spans="2:57" x14ac:dyDescent="0.3">
      <c r="B164" s="288">
        <v>524111</v>
      </c>
      <c r="C164" s="220" t="s">
        <v>19</v>
      </c>
      <c r="D164" s="220"/>
      <c r="E164" s="220"/>
      <c r="F164" s="221">
        <v>93600000</v>
      </c>
      <c r="G164" s="221"/>
      <c r="H164" s="221"/>
      <c r="I164" s="221"/>
      <c r="J164" s="221">
        <v>9587800</v>
      </c>
      <c r="K164" s="221"/>
      <c r="L164" s="221"/>
      <c r="M164" s="221"/>
      <c r="N164" s="302">
        <v>5040000</v>
      </c>
      <c r="O164" s="221">
        <v>17350000</v>
      </c>
      <c r="P164" s="221">
        <v>6330000</v>
      </c>
      <c r="Q164" s="221"/>
      <c r="R164" s="221"/>
      <c r="S164" s="221">
        <v>3600000</v>
      </c>
      <c r="T164" s="221"/>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f t="shared" si="256"/>
        <v>41907800</v>
      </c>
      <c r="AR164" s="224">
        <f t="shared" si="197"/>
        <v>4.4773290598290596E-3</v>
      </c>
      <c r="AS164" s="225">
        <f t="shared" si="255"/>
        <v>51692200</v>
      </c>
      <c r="AT164" s="224">
        <f t="shared" si="198"/>
        <v>55.226709401709407</v>
      </c>
      <c r="AU164" s="220" t="s">
        <v>542</v>
      </c>
      <c r="AV164" s="220" t="s">
        <v>543</v>
      </c>
      <c r="AW164" s="220" t="s">
        <v>4732</v>
      </c>
      <c r="AX164" s="221"/>
      <c r="AY164" s="221">
        <v>17350000</v>
      </c>
      <c r="AZ164" s="302">
        <v>5040000</v>
      </c>
      <c r="BA164" s="221"/>
      <c r="BB164" s="221"/>
      <c r="BC164" s="221"/>
      <c r="BD164" s="221"/>
      <c r="BE164" s="221"/>
    </row>
    <row r="165" spans="2:57" x14ac:dyDescent="0.3">
      <c r="B165" s="226" t="s">
        <v>4425</v>
      </c>
      <c r="C165" s="227" t="s">
        <v>2786</v>
      </c>
      <c r="D165" s="227">
        <v>2</v>
      </c>
      <c r="E165" s="227" t="s">
        <v>4315</v>
      </c>
      <c r="F165" s="228">
        <f>F166+F177</f>
        <v>633732000</v>
      </c>
      <c r="G165" s="228">
        <f t="shared" ref="G165:AP165" si="262">G166+G177</f>
        <v>0</v>
      </c>
      <c r="H165" s="228">
        <f t="shared" si="262"/>
        <v>0</v>
      </c>
      <c r="I165" s="228">
        <f t="shared" si="262"/>
        <v>0</v>
      </c>
      <c r="J165" s="228">
        <f t="shared" si="262"/>
        <v>0</v>
      </c>
      <c r="K165" s="228">
        <f t="shared" si="262"/>
        <v>0</v>
      </c>
      <c r="L165" s="228">
        <f t="shared" si="262"/>
        <v>0</v>
      </c>
      <c r="M165" s="228">
        <f t="shared" si="262"/>
        <v>0</v>
      </c>
      <c r="N165" s="228">
        <f t="shared" si="262"/>
        <v>4230000</v>
      </c>
      <c r="O165" s="228">
        <f t="shared" si="262"/>
        <v>5496528</v>
      </c>
      <c r="P165" s="228">
        <f t="shared" si="262"/>
        <v>16054500</v>
      </c>
      <c r="Q165" s="228">
        <f t="shared" si="262"/>
        <v>0</v>
      </c>
      <c r="R165" s="228">
        <f t="shared" si="262"/>
        <v>0</v>
      </c>
      <c r="S165" s="228">
        <f t="shared" si="262"/>
        <v>0</v>
      </c>
      <c r="T165" s="228">
        <f t="shared" si="262"/>
        <v>300383</v>
      </c>
      <c r="U165" s="228">
        <f t="shared" si="262"/>
        <v>36489355</v>
      </c>
      <c r="V165" s="228">
        <f t="shared" si="262"/>
        <v>40585531</v>
      </c>
      <c r="W165" s="228">
        <f t="shared" si="262"/>
        <v>0</v>
      </c>
      <c r="X165" s="228">
        <f t="shared" si="262"/>
        <v>2640000</v>
      </c>
      <c r="Y165" s="228">
        <f t="shared" si="262"/>
        <v>0</v>
      </c>
      <c r="Z165" s="228">
        <f t="shared" si="262"/>
        <v>0</v>
      </c>
      <c r="AA165" s="228">
        <f t="shared" si="262"/>
        <v>0</v>
      </c>
      <c r="AB165" s="228">
        <f t="shared" si="262"/>
        <v>0</v>
      </c>
      <c r="AC165" s="228">
        <f t="shared" si="262"/>
        <v>0</v>
      </c>
      <c r="AD165" s="228">
        <f t="shared" si="262"/>
        <v>0</v>
      </c>
      <c r="AE165" s="228">
        <f t="shared" si="262"/>
        <v>0</v>
      </c>
      <c r="AF165" s="228">
        <f t="shared" si="262"/>
        <v>0</v>
      </c>
      <c r="AG165" s="228">
        <f t="shared" si="262"/>
        <v>0</v>
      </c>
      <c r="AH165" s="228">
        <f t="shared" si="262"/>
        <v>0</v>
      </c>
      <c r="AI165" s="228">
        <f t="shared" si="262"/>
        <v>0</v>
      </c>
      <c r="AJ165" s="228">
        <f t="shared" si="262"/>
        <v>0</v>
      </c>
      <c r="AK165" s="228">
        <f t="shared" si="262"/>
        <v>0</v>
      </c>
      <c r="AL165" s="228">
        <f t="shared" si="262"/>
        <v>0</v>
      </c>
      <c r="AM165" s="228">
        <f t="shared" si="262"/>
        <v>0</v>
      </c>
      <c r="AN165" s="228">
        <f t="shared" si="262"/>
        <v>0</v>
      </c>
      <c r="AO165" s="228">
        <f t="shared" si="262"/>
        <v>0</v>
      </c>
      <c r="AP165" s="228">
        <f t="shared" si="262"/>
        <v>0</v>
      </c>
      <c r="AQ165" s="228">
        <f t="shared" si="256"/>
        <v>105796297</v>
      </c>
      <c r="AR165" s="229">
        <f t="shared" si="197"/>
        <v>1.6694169933031628E-3</v>
      </c>
      <c r="AS165" s="230">
        <f t="shared" si="255"/>
        <v>527935703</v>
      </c>
      <c r="AT165" s="229">
        <f t="shared" si="198"/>
        <v>83.305830066968369</v>
      </c>
      <c r="AU165" s="220"/>
      <c r="AV165" s="220"/>
      <c r="AW165" s="220" t="s">
        <v>4732</v>
      </c>
      <c r="AX165" s="228">
        <f t="shared" ref="AX165:AZ165" si="263">AX166+AX177</f>
        <v>0</v>
      </c>
      <c r="AY165" s="228">
        <f t="shared" si="263"/>
        <v>5496528</v>
      </c>
      <c r="AZ165" s="228">
        <f t="shared" si="263"/>
        <v>4230000</v>
      </c>
      <c r="BA165" s="228">
        <f t="shared" ref="BA165" si="264">BA166+BA177</f>
        <v>0</v>
      </c>
      <c r="BB165" s="228">
        <f t="shared" ref="BB165" si="265">BB166+BB177</f>
        <v>0</v>
      </c>
      <c r="BC165" s="228">
        <f t="shared" ref="BC165:BD165" si="266">BC166+BC177</f>
        <v>300383</v>
      </c>
      <c r="BD165" s="228">
        <f t="shared" si="266"/>
        <v>36489355</v>
      </c>
      <c r="BE165" s="228">
        <f t="shared" ref="BE165" si="267">BE166+BE177</f>
        <v>2640000</v>
      </c>
    </row>
    <row r="166" spans="2:57" x14ac:dyDescent="0.3">
      <c r="B166" s="226">
        <v>301</v>
      </c>
      <c r="C166" s="227" t="s">
        <v>3053</v>
      </c>
      <c r="D166" s="227"/>
      <c r="E166" s="227"/>
      <c r="F166" s="228">
        <f>F167+F171</f>
        <v>507200000</v>
      </c>
      <c r="G166" s="228">
        <f t="shared" ref="G166:AP166" si="268">G167+G171</f>
        <v>0</v>
      </c>
      <c r="H166" s="228">
        <f t="shared" si="268"/>
        <v>0</v>
      </c>
      <c r="I166" s="228">
        <f t="shared" si="268"/>
        <v>0</v>
      </c>
      <c r="J166" s="228">
        <f t="shared" si="268"/>
        <v>0</v>
      </c>
      <c r="K166" s="228">
        <f t="shared" si="268"/>
        <v>0</v>
      </c>
      <c r="L166" s="228">
        <f t="shared" si="268"/>
        <v>0</v>
      </c>
      <c r="M166" s="228">
        <f t="shared" si="268"/>
        <v>0</v>
      </c>
      <c r="N166" s="228">
        <f t="shared" si="268"/>
        <v>880000</v>
      </c>
      <c r="O166" s="228">
        <f t="shared" si="268"/>
        <v>2998528</v>
      </c>
      <c r="P166" s="228">
        <f t="shared" si="268"/>
        <v>524500</v>
      </c>
      <c r="Q166" s="228">
        <f t="shared" si="268"/>
        <v>0</v>
      </c>
      <c r="R166" s="228">
        <f t="shared" si="268"/>
        <v>0</v>
      </c>
      <c r="S166" s="228">
        <f t="shared" si="268"/>
        <v>0</v>
      </c>
      <c r="T166" s="228">
        <f t="shared" si="268"/>
        <v>300383</v>
      </c>
      <c r="U166" s="228">
        <f t="shared" si="268"/>
        <v>31503355</v>
      </c>
      <c r="V166" s="228">
        <f t="shared" si="268"/>
        <v>38467531</v>
      </c>
      <c r="W166" s="228">
        <f t="shared" si="268"/>
        <v>0</v>
      </c>
      <c r="X166" s="228">
        <f t="shared" si="268"/>
        <v>2640000</v>
      </c>
      <c r="Y166" s="228">
        <f t="shared" si="268"/>
        <v>0</v>
      </c>
      <c r="Z166" s="228">
        <f t="shared" si="268"/>
        <v>0</v>
      </c>
      <c r="AA166" s="228">
        <f t="shared" si="268"/>
        <v>0</v>
      </c>
      <c r="AB166" s="228">
        <f t="shared" si="268"/>
        <v>0</v>
      </c>
      <c r="AC166" s="228">
        <f t="shared" si="268"/>
        <v>0</v>
      </c>
      <c r="AD166" s="228">
        <f t="shared" si="268"/>
        <v>0</v>
      </c>
      <c r="AE166" s="228">
        <f t="shared" si="268"/>
        <v>0</v>
      </c>
      <c r="AF166" s="228">
        <f t="shared" si="268"/>
        <v>0</v>
      </c>
      <c r="AG166" s="228">
        <f t="shared" si="268"/>
        <v>0</v>
      </c>
      <c r="AH166" s="228">
        <f t="shared" si="268"/>
        <v>0</v>
      </c>
      <c r="AI166" s="228">
        <f t="shared" si="268"/>
        <v>0</v>
      </c>
      <c r="AJ166" s="228">
        <f t="shared" si="268"/>
        <v>0</v>
      </c>
      <c r="AK166" s="228">
        <f t="shared" si="268"/>
        <v>0</v>
      </c>
      <c r="AL166" s="228">
        <f t="shared" si="268"/>
        <v>0</v>
      </c>
      <c r="AM166" s="228">
        <f t="shared" si="268"/>
        <v>0</v>
      </c>
      <c r="AN166" s="228">
        <f t="shared" si="268"/>
        <v>0</v>
      </c>
      <c r="AO166" s="228">
        <f t="shared" si="268"/>
        <v>0</v>
      </c>
      <c r="AP166" s="228">
        <f t="shared" si="268"/>
        <v>0</v>
      </c>
      <c r="AQ166" s="228">
        <f t="shared" si="256"/>
        <v>77314297</v>
      </c>
      <c r="AR166" s="229">
        <f t="shared" si="197"/>
        <v>1.524335508675079E-3</v>
      </c>
      <c r="AS166" s="230">
        <f t="shared" si="255"/>
        <v>429885703</v>
      </c>
      <c r="AT166" s="229">
        <f t="shared" si="198"/>
        <v>84.756644913249218</v>
      </c>
      <c r="AU166" s="220" t="s">
        <v>542</v>
      </c>
      <c r="AV166" s="220" t="s">
        <v>591</v>
      </c>
      <c r="AW166" s="220" t="s">
        <v>4732</v>
      </c>
      <c r="AX166" s="228">
        <f t="shared" ref="AX166:AZ166" si="269">AX167+AX171</f>
        <v>0</v>
      </c>
      <c r="AY166" s="228">
        <f t="shared" si="269"/>
        <v>2998528</v>
      </c>
      <c r="AZ166" s="228">
        <f t="shared" si="269"/>
        <v>880000</v>
      </c>
      <c r="BA166" s="228">
        <f t="shared" ref="BA166" si="270">BA167+BA171</f>
        <v>0</v>
      </c>
      <c r="BB166" s="228">
        <f t="shared" ref="BB166" si="271">BB167+BB171</f>
        <v>0</v>
      </c>
      <c r="BC166" s="228">
        <f t="shared" ref="BC166:BD166" si="272">BC167+BC171</f>
        <v>300383</v>
      </c>
      <c r="BD166" s="228">
        <f t="shared" si="272"/>
        <v>31503355</v>
      </c>
      <c r="BE166" s="228">
        <f t="shared" ref="BE166" si="273">BE167+BE171</f>
        <v>2640000</v>
      </c>
    </row>
    <row r="167" spans="2:57" x14ac:dyDescent="0.3">
      <c r="B167" s="290" t="s">
        <v>8</v>
      </c>
      <c r="C167" s="222" t="s">
        <v>174</v>
      </c>
      <c r="D167" s="222"/>
      <c r="E167" s="222"/>
      <c r="F167" s="223">
        <f>SUM(F168:F170)</f>
        <v>295200000</v>
      </c>
      <c r="G167" s="223">
        <f t="shared" ref="G167:AP167" si="274">SUM(G168:G170)</f>
        <v>0</v>
      </c>
      <c r="H167" s="223">
        <f t="shared" si="274"/>
        <v>0</v>
      </c>
      <c r="I167" s="223">
        <f t="shared" si="274"/>
        <v>0</v>
      </c>
      <c r="J167" s="223">
        <f t="shared" si="274"/>
        <v>0</v>
      </c>
      <c r="K167" s="223">
        <f t="shared" si="274"/>
        <v>0</v>
      </c>
      <c r="L167" s="223">
        <f t="shared" si="274"/>
        <v>0</v>
      </c>
      <c r="M167" s="223">
        <f t="shared" si="274"/>
        <v>0</v>
      </c>
      <c r="N167" s="223">
        <f t="shared" si="274"/>
        <v>0</v>
      </c>
      <c r="O167" s="223">
        <f t="shared" si="274"/>
        <v>499528</v>
      </c>
      <c r="P167" s="223">
        <f t="shared" si="274"/>
        <v>0</v>
      </c>
      <c r="Q167" s="223">
        <f t="shared" si="274"/>
        <v>0</v>
      </c>
      <c r="R167" s="223">
        <f t="shared" si="274"/>
        <v>0</v>
      </c>
      <c r="S167" s="223">
        <f t="shared" si="274"/>
        <v>0</v>
      </c>
      <c r="T167" s="223">
        <f t="shared" si="274"/>
        <v>0</v>
      </c>
      <c r="U167" s="223">
        <f t="shared" si="274"/>
        <v>6278500</v>
      </c>
      <c r="V167" s="223">
        <f t="shared" si="274"/>
        <v>0</v>
      </c>
      <c r="W167" s="223">
        <f t="shared" si="274"/>
        <v>0</v>
      </c>
      <c r="X167" s="223">
        <f t="shared" si="274"/>
        <v>0</v>
      </c>
      <c r="Y167" s="223">
        <f t="shared" si="274"/>
        <v>0</v>
      </c>
      <c r="Z167" s="223">
        <f t="shared" si="274"/>
        <v>0</v>
      </c>
      <c r="AA167" s="223">
        <f t="shared" si="274"/>
        <v>0</v>
      </c>
      <c r="AB167" s="223">
        <f t="shared" si="274"/>
        <v>0</v>
      </c>
      <c r="AC167" s="223">
        <f t="shared" si="274"/>
        <v>0</v>
      </c>
      <c r="AD167" s="223">
        <f t="shared" si="274"/>
        <v>0</v>
      </c>
      <c r="AE167" s="223">
        <f t="shared" si="274"/>
        <v>0</v>
      </c>
      <c r="AF167" s="223">
        <f t="shared" si="274"/>
        <v>0</v>
      </c>
      <c r="AG167" s="223">
        <f t="shared" si="274"/>
        <v>0</v>
      </c>
      <c r="AH167" s="223">
        <f t="shared" si="274"/>
        <v>0</v>
      </c>
      <c r="AI167" s="223">
        <f t="shared" si="274"/>
        <v>0</v>
      </c>
      <c r="AJ167" s="223">
        <f t="shared" si="274"/>
        <v>0</v>
      </c>
      <c r="AK167" s="223">
        <f t="shared" si="274"/>
        <v>0</v>
      </c>
      <c r="AL167" s="223">
        <f t="shared" si="274"/>
        <v>0</v>
      </c>
      <c r="AM167" s="223">
        <f t="shared" si="274"/>
        <v>0</v>
      </c>
      <c r="AN167" s="223">
        <f t="shared" si="274"/>
        <v>0</v>
      </c>
      <c r="AO167" s="223">
        <f t="shared" si="274"/>
        <v>0</v>
      </c>
      <c r="AP167" s="223">
        <f t="shared" si="274"/>
        <v>0</v>
      </c>
      <c r="AQ167" s="223">
        <f>SUM(G167:AP167)</f>
        <v>6778028</v>
      </c>
      <c r="AR167" s="231">
        <f t="shared" si="197"/>
        <v>2.296079945799458E-4</v>
      </c>
      <c r="AS167" s="232">
        <f t="shared" si="255"/>
        <v>288421972</v>
      </c>
      <c r="AT167" s="231">
        <f t="shared" si="198"/>
        <v>97.703920054200537</v>
      </c>
      <c r="AU167" s="220" t="s">
        <v>542</v>
      </c>
      <c r="AV167" s="220" t="s">
        <v>591</v>
      </c>
      <c r="AW167" s="220" t="s">
        <v>4732</v>
      </c>
      <c r="AX167" s="223">
        <f t="shared" ref="AX167" si="275">SUM(AX168:AX170)</f>
        <v>0</v>
      </c>
      <c r="AY167" s="223">
        <f>SUM(AY168:AY170)</f>
        <v>499528</v>
      </c>
      <c r="AZ167" s="223">
        <f>SUM(AZ168:AZ170)</f>
        <v>0</v>
      </c>
      <c r="BA167" s="223">
        <f t="shared" ref="BA167" si="276">SUM(BA168:BA170)</f>
        <v>0</v>
      </c>
      <c r="BB167" s="223">
        <f t="shared" ref="BB167" si="277">SUM(BB168:BB170)</f>
        <v>0</v>
      </c>
      <c r="BC167" s="223">
        <f t="shared" ref="BC167:BD167" si="278">SUM(BC168:BC170)</f>
        <v>0</v>
      </c>
      <c r="BD167" s="223">
        <f t="shared" si="278"/>
        <v>6278500</v>
      </c>
      <c r="BE167" s="223">
        <f t="shared" ref="BE167" si="279">SUM(BE168:BE170)</f>
        <v>0</v>
      </c>
    </row>
    <row r="168" spans="2:57" x14ac:dyDescent="0.3">
      <c r="B168" s="288">
        <v>521211</v>
      </c>
      <c r="C168" s="220" t="s">
        <v>7</v>
      </c>
      <c r="D168" s="220"/>
      <c r="E168" s="220"/>
      <c r="F168" s="221">
        <v>46000000</v>
      </c>
      <c r="G168" s="221"/>
      <c r="H168" s="221"/>
      <c r="I168" s="221"/>
      <c r="J168" s="221"/>
      <c r="K168" s="221"/>
      <c r="L168" s="221"/>
      <c r="M168" s="221"/>
      <c r="N168" s="221"/>
      <c r="O168" s="221"/>
      <c r="P168" s="221"/>
      <c r="Q168" s="221"/>
      <c r="R168" s="221"/>
      <c r="S168" s="221"/>
      <c r="T168" s="221"/>
      <c r="U168" s="221">
        <v>6278500</v>
      </c>
      <c r="V168" s="221"/>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f t="shared" si="256"/>
        <v>6278500</v>
      </c>
      <c r="AR168" s="224">
        <f t="shared" si="197"/>
        <v>1.364891304347826E-3</v>
      </c>
      <c r="AS168" s="225">
        <f t="shared" si="255"/>
        <v>39721500</v>
      </c>
      <c r="AT168" s="224">
        <f t="shared" si="198"/>
        <v>86.35108695652174</v>
      </c>
      <c r="AU168" s="220" t="s">
        <v>542</v>
      </c>
      <c r="AV168" s="220" t="s">
        <v>591</v>
      </c>
      <c r="AW168" s="220" t="s">
        <v>4732</v>
      </c>
      <c r="AX168" s="221"/>
      <c r="AY168" s="221"/>
      <c r="AZ168" s="302"/>
      <c r="BA168" s="221"/>
      <c r="BB168" s="221"/>
      <c r="BC168" s="221"/>
      <c r="BD168" s="221">
        <v>6278500</v>
      </c>
      <c r="BE168" s="221"/>
    </row>
    <row r="169" spans="2:57" x14ac:dyDescent="0.3">
      <c r="B169" s="288">
        <v>521219</v>
      </c>
      <c r="C169" s="220" t="s">
        <v>53</v>
      </c>
      <c r="D169" s="220"/>
      <c r="E169" s="220"/>
      <c r="F169" s="221">
        <v>2000000</v>
      </c>
      <c r="G169" s="221"/>
      <c r="H169" s="221"/>
      <c r="I169" s="221"/>
      <c r="J169" s="221"/>
      <c r="K169" s="221"/>
      <c r="L169" s="221"/>
      <c r="M169" s="221"/>
      <c r="N169" s="221"/>
      <c r="O169" s="221">
        <v>499528</v>
      </c>
      <c r="P169" s="221"/>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f t="shared" si="256"/>
        <v>499528</v>
      </c>
      <c r="AR169" s="224">
        <f t="shared" si="197"/>
        <v>2.4976400000000002E-3</v>
      </c>
      <c r="AS169" s="225">
        <f t="shared" si="255"/>
        <v>1500472</v>
      </c>
      <c r="AT169" s="224">
        <f t="shared" si="198"/>
        <v>75.023600000000002</v>
      </c>
      <c r="AU169" s="220" t="s">
        <v>542</v>
      </c>
      <c r="AV169" s="220" t="s">
        <v>591</v>
      </c>
      <c r="AW169" s="391" t="s">
        <v>4732</v>
      </c>
      <c r="AX169" s="221"/>
      <c r="AY169" s="221">
        <v>499528</v>
      </c>
      <c r="AZ169" s="302"/>
      <c r="BA169" s="221"/>
      <c r="BB169" s="221"/>
      <c r="BC169" s="221"/>
      <c r="BD169" s="221"/>
      <c r="BE169" s="221"/>
    </row>
    <row r="170" spans="2:57" x14ac:dyDescent="0.3">
      <c r="B170" s="288">
        <v>524111</v>
      </c>
      <c r="C170" s="220" t="s">
        <v>19</v>
      </c>
      <c r="D170" s="220"/>
      <c r="E170" s="220"/>
      <c r="F170" s="221">
        <v>247200000</v>
      </c>
      <c r="G170" s="221"/>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f t="shared" si="256"/>
        <v>0</v>
      </c>
      <c r="AR170" s="224">
        <f t="shared" si="197"/>
        <v>0</v>
      </c>
      <c r="AS170" s="225">
        <f t="shared" si="255"/>
        <v>247200000</v>
      </c>
      <c r="AT170" s="224">
        <f t="shared" si="198"/>
        <v>100</v>
      </c>
      <c r="AU170" s="220" t="s">
        <v>542</v>
      </c>
      <c r="AV170" s="220" t="s">
        <v>591</v>
      </c>
      <c r="AW170" s="220" t="s">
        <v>4732</v>
      </c>
      <c r="AX170" s="221"/>
      <c r="AY170" s="221"/>
      <c r="AZ170" s="302"/>
      <c r="BA170" s="221"/>
      <c r="BB170" s="221"/>
      <c r="BC170" s="221"/>
      <c r="BD170" s="221"/>
      <c r="BE170" s="221"/>
    </row>
    <row r="171" spans="2:57" x14ac:dyDescent="0.3">
      <c r="B171" s="290" t="s">
        <v>511</v>
      </c>
      <c r="C171" s="222" t="s">
        <v>175</v>
      </c>
      <c r="D171" s="222"/>
      <c r="E171" s="222"/>
      <c r="F171" s="223">
        <f t="shared" ref="F171:AP171" si="280">SUM(F172:F176)</f>
        <v>212000000</v>
      </c>
      <c r="G171" s="223">
        <f t="shared" si="280"/>
        <v>0</v>
      </c>
      <c r="H171" s="223">
        <f t="shared" si="280"/>
        <v>0</v>
      </c>
      <c r="I171" s="223">
        <f t="shared" si="280"/>
        <v>0</v>
      </c>
      <c r="J171" s="223">
        <f t="shared" si="280"/>
        <v>0</v>
      </c>
      <c r="K171" s="223">
        <f t="shared" si="280"/>
        <v>0</v>
      </c>
      <c r="L171" s="223">
        <f t="shared" si="280"/>
        <v>0</v>
      </c>
      <c r="M171" s="223">
        <f t="shared" si="280"/>
        <v>0</v>
      </c>
      <c r="N171" s="223">
        <f t="shared" si="280"/>
        <v>880000</v>
      </c>
      <c r="O171" s="223">
        <f t="shared" si="280"/>
        <v>2499000</v>
      </c>
      <c r="P171" s="223">
        <f t="shared" si="280"/>
        <v>524500</v>
      </c>
      <c r="Q171" s="223">
        <f t="shared" si="280"/>
        <v>0</v>
      </c>
      <c r="R171" s="223">
        <f t="shared" si="280"/>
        <v>0</v>
      </c>
      <c r="S171" s="223">
        <f t="shared" si="280"/>
        <v>0</v>
      </c>
      <c r="T171" s="223">
        <f t="shared" si="280"/>
        <v>300383</v>
      </c>
      <c r="U171" s="223">
        <f t="shared" si="280"/>
        <v>25224855</v>
      </c>
      <c r="V171" s="223">
        <f t="shared" si="280"/>
        <v>38467531</v>
      </c>
      <c r="W171" s="223">
        <f t="shared" si="280"/>
        <v>0</v>
      </c>
      <c r="X171" s="223">
        <f t="shared" si="280"/>
        <v>2640000</v>
      </c>
      <c r="Y171" s="223">
        <f t="shared" si="280"/>
        <v>0</v>
      </c>
      <c r="Z171" s="223">
        <f t="shared" si="280"/>
        <v>0</v>
      </c>
      <c r="AA171" s="223">
        <f t="shared" si="280"/>
        <v>0</v>
      </c>
      <c r="AB171" s="223">
        <f t="shared" si="280"/>
        <v>0</v>
      </c>
      <c r="AC171" s="223">
        <f t="shared" si="280"/>
        <v>0</v>
      </c>
      <c r="AD171" s="223">
        <f t="shared" si="280"/>
        <v>0</v>
      </c>
      <c r="AE171" s="223">
        <f t="shared" si="280"/>
        <v>0</v>
      </c>
      <c r="AF171" s="223">
        <f t="shared" si="280"/>
        <v>0</v>
      </c>
      <c r="AG171" s="223">
        <f t="shared" si="280"/>
        <v>0</v>
      </c>
      <c r="AH171" s="223">
        <f t="shared" si="280"/>
        <v>0</v>
      </c>
      <c r="AI171" s="223">
        <f t="shared" si="280"/>
        <v>0</v>
      </c>
      <c r="AJ171" s="223">
        <f t="shared" si="280"/>
        <v>0</v>
      </c>
      <c r="AK171" s="223">
        <f t="shared" si="280"/>
        <v>0</v>
      </c>
      <c r="AL171" s="223">
        <f t="shared" si="280"/>
        <v>0</v>
      </c>
      <c r="AM171" s="223">
        <f t="shared" si="280"/>
        <v>0</v>
      </c>
      <c r="AN171" s="223">
        <f t="shared" si="280"/>
        <v>0</v>
      </c>
      <c r="AO171" s="223">
        <f t="shared" si="280"/>
        <v>0</v>
      </c>
      <c r="AP171" s="223">
        <f t="shared" si="280"/>
        <v>0</v>
      </c>
      <c r="AQ171" s="223">
        <f t="shared" si="256"/>
        <v>70536269</v>
      </c>
      <c r="AR171" s="231">
        <f t="shared" si="197"/>
        <v>3.3271824999999999E-3</v>
      </c>
      <c r="AS171" s="232">
        <f>F171-AQ171</f>
        <v>141463731</v>
      </c>
      <c r="AT171" s="231">
        <f t="shared" si="198"/>
        <v>66.728175000000007</v>
      </c>
      <c r="AU171" s="220" t="s">
        <v>542</v>
      </c>
      <c r="AV171" s="220" t="s">
        <v>591</v>
      </c>
      <c r="AW171" s="220" t="s">
        <v>4732</v>
      </c>
      <c r="AX171" s="223">
        <f t="shared" ref="AX171:BA171" si="281">SUM(AX172:AX176)</f>
        <v>0</v>
      </c>
      <c r="AY171" s="223">
        <f t="shared" si="281"/>
        <v>2499000</v>
      </c>
      <c r="AZ171" s="223">
        <f t="shared" si="281"/>
        <v>880000</v>
      </c>
      <c r="BA171" s="223">
        <f t="shared" si="281"/>
        <v>0</v>
      </c>
      <c r="BB171" s="223">
        <f t="shared" ref="BB171" si="282">SUM(BB172:BB176)</f>
        <v>0</v>
      </c>
      <c r="BC171" s="223">
        <f t="shared" ref="BC171:BD171" si="283">SUM(BC172:BC176)</f>
        <v>300383</v>
      </c>
      <c r="BD171" s="223">
        <f t="shared" si="283"/>
        <v>25224855</v>
      </c>
      <c r="BE171" s="223">
        <f t="shared" ref="BE171" si="284">SUM(BE172:BE176)</f>
        <v>2640000</v>
      </c>
    </row>
    <row r="172" spans="2:57" x14ac:dyDescent="0.3">
      <c r="B172" s="288">
        <v>521211</v>
      </c>
      <c r="C172" s="220" t="s">
        <v>7</v>
      </c>
      <c r="D172" s="220"/>
      <c r="E172" s="220"/>
      <c r="F172" s="221">
        <v>41000000</v>
      </c>
      <c r="G172" s="221"/>
      <c r="H172" s="221"/>
      <c r="I172" s="221"/>
      <c r="J172" s="221"/>
      <c r="K172" s="221"/>
      <c r="L172" s="221"/>
      <c r="M172" s="221"/>
      <c r="N172" s="302">
        <v>880000</v>
      </c>
      <c r="O172" s="221">
        <v>2499000</v>
      </c>
      <c r="P172" s="221"/>
      <c r="Q172" s="221"/>
      <c r="R172" s="221"/>
      <c r="S172" s="221"/>
      <c r="T172" s="221"/>
      <c r="U172" s="221">
        <v>3500000</v>
      </c>
      <c r="V172" s="221"/>
      <c r="W172" s="221"/>
      <c r="X172" s="221">
        <v>2640000</v>
      </c>
      <c r="Y172" s="221"/>
      <c r="Z172" s="221"/>
      <c r="AA172" s="221"/>
      <c r="AB172" s="221"/>
      <c r="AC172" s="221"/>
      <c r="AD172" s="221"/>
      <c r="AE172" s="221"/>
      <c r="AF172" s="221"/>
      <c r="AG172" s="221"/>
      <c r="AH172" s="221"/>
      <c r="AI172" s="221"/>
      <c r="AJ172" s="221"/>
      <c r="AK172" s="221"/>
      <c r="AL172" s="221"/>
      <c r="AM172" s="221"/>
      <c r="AN172" s="221"/>
      <c r="AO172" s="221"/>
      <c r="AP172" s="221"/>
      <c r="AQ172" s="221">
        <f t="shared" si="256"/>
        <v>9519000</v>
      </c>
      <c r="AR172" s="224">
        <f t="shared" si="197"/>
        <v>2.3217073170731708E-3</v>
      </c>
      <c r="AS172" s="225">
        <f t="shared" si="255"/>
        <v>31481000</v>
      </c>
      <c r="AT172" s="224">
        <f t="shared" si="198"/>
        <v>76.782926829268291</v>
      </c>
      <c r="AU172" s="220" t="s">
        <v>542</v>
      </c>
      <c r="AV172" s="220" t="s">
        <v>591</v>
      </c>
      <c r="AW172" s="220" t="s">
        <v>4732</v>
      </c>
      <c r="AX172" s="221"/>
      <c r="AY172" s="221">
        <v>2499000</v>
      </c>
      <c r="AZ172" s="302">
        <v>880000</v>
      </c>
      <c r="BA172" s="221"/>
      <c r="BB172" s="221"/>
      <c r="BC172" s="221"/>
      <c r="BD172" s="221">
        <v>3500000</v>
      </c>
      <c r="BE172" s="221">
        <v>2640000</v>
      </c>
    </row>
    <row r="173" spans="2:57" x14ac:dyDescent="0.3">
      <c r="B173" s="288">
        <v>521219</v>
      </c>
      <c r="C173" s="220" t="s">
        <v>53</v>
      </c>
      <c r="D173" s="220"/>
      <c r="E173" s="220"/>
      <c r="F173" s="221">
        <v>32000000</v>
      </c>
      <c r="G173" s="221"/>
      <c r="H173" s="221"/>
      <c r="I173" s="221"/>
      <c r="J173" s="221"/>
      <c r="K173" s="221"/>
      <c r="L173" s="221"/>
      <c r="M173" s="221"/>
      <c r="N173" s="221"/>
      <c r="O173" s="221"/>
      <c r="P173" s="221"/>
      <c r="Q173" s="221"/>
      <c r="R173" s="221"/>
      <c r="S173" s="221"/>
      <c r="T173" s="221">
        <v>300383</v>
      </c>
      <c r="U173" s="221">
        <v>302631</v>
      </c>
      <c r="V173" s="221"/>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f t="shared" si="256"/>
        <v>603014</v>
      </c>
      <c r="AR173" s="224">
        <f t="shared" si="197"/>
        <v>1.8844187500000002E-4</v>
      </c>
      <c r="AS173" s="225">
        <f t="shared" si="255"/>
        <v>31396986</v>
      </c>
      <c r="AT173" s="224">
        <f t="shared" si="198"/>
        <v>98.115581249999991</v>
      </c>
      <c r="AU173" s="220" t="s">
        <v>542</v>
      </c>
      <c r="AV173" s="220" t="s">
        <v>591</v>
      </c>
      <c r="AW173" s="391" t="s">
        <v>4732</v>
      </c>
      <c r="AX173" s="221"/>
      <c r="AY173" s="221"/>
      <c r="AZ173" s="302"/>
      <c r="BA173" s="221"/>
      <c r="BB173" s="221"/>
      <c r="BC173" s="221">
        <v>300383</v>
      </c>
      <c r="BD173" s="221">
        <v>302631</v>
      </c>
      <c r="BE173" s="221"/>
    </row>
    <row r="174" spans="2:57" x14ac:dyDescent="0.3">
      <c r="B174" s="288">
        <v>522151</v>
      </c>
      <c r="C174" s="220" t="s">
        <v>11</v>
      </c>
      <c r="D174" s="220"/>
      <c r="E174" s="220"/>
      <c r="F174" s="221">
        <v>10000000</v>
      </c>
      <c r="G174" s="221"/>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f t="shared" si="256"/>
        <v>0</v>
      </c>
      <c r="AR174" s="224">
        <f t="shared" si="197"/>
        <v>0</v>
      </c>
      <c r="AS174" s="225">
        <f t="shared" si="255"/>
        <v>10000000</v>
      </c>
      <c r="AT174" s="224">
        <f t="shared" si="198"/>
        <v>100</v>
      </c>
      <c r="AU174" s="220" t="s">
        <v>542</v>
      </c>
      <c r="AV174" s="220" t="s">
        <v>591</v>
      </c>
      <c r="AW174" s="220" t="s">
        <v>4732</v>
      </c>
      <c r="AX174" s="221"/>
      <c r="AY174" s="221"/>
      <c r="AZ174" s="302"/>
      <c r="BA174" s="221"/>
      <c r="BB174" s="221"/>
      <c r="BC174" s="221"/>
      <c r="BD174" s="221"/>
      <c r="BE174" s="221"/>
    </row>
    <row r="175" spans="2:57" x14ac:dyDescent="0.3">
      <c r="B175" s="288">
        <v>524111</v>
      </c>
      <c r="C175" s="220" t="s">
        <v>19</v>
      </c>
      <c r="D175" s="220"/>
      <c r="E175" s="220"/>
      <c r="F175" s="221">
        <v>120000000</v>
      </c>
      <c r="G175" s="221"/>
      <c r="H175" s="221"/>
      <c r="I175" s="221"/>
      <c r="J175" s="221"/>
      <c r="K175" s="221"/>
      <c r="L175" s="221"/>
      <c r="M175" s="221"/>
      <c r="N175" s="221"/>
      <c r="O175" s="221"/>
      <c r="P175" s="221">
        <v>524500</v>
      </c>
      <c r="Q175" s="221"/>
      <c r="R175" s="221"/>
      <c r="S175" s="221"/>
      <c r="T175" s="221"/>
      <c r="U175" s="221">
        <v>21422224</v>
      </c>
      <c r="V175" s="221"/>
      <c r="W175" s="221"/>
      <c r="X175" s="221"/>
      <c r="Y175" s="221"/>
      <c r="Z175" s="221"/>
      <c r="AA175" s="221"/>
      <c r="AB175" s="221"/>
      <c r="AC175" s="221"/>
      <c r="AD175" s="221"/>
      <c r="AE175" s="221"/>
      <c r="AF175" s="221"/>
      <c r="AG175" s="221"/>
      <c r="AH175" s="221"/>
      <c r="AI175" s="221"/>
      <c r="AJ175" s="221"/>
      <c r="AK175" s="221"/>
      <c r="AL175" s="221"/>
      <c r="AM175" s="221"/>
      <c r="AN175" s="221"/>
      <c r="AO175" s="221"/>
      <c r="AP175" s="221"/>
      <c r="AQ175" s="221">
        <f t="shared" si="256"/>
        <v>21946724</v>
      </c>
      <c r="AR175" s="224">
        <f t="shared" si="197"/>
        <v>1.8288936666666666E-3</v>
      </c>
      <c r="AS175" s="225">
        <f t="shared" si="255"/>
        <v>98053276</v>
      </c>
      <c r="AT175" s="224">
        <f t="shared" si="198"/>
        <v>81.711063333333328</v>
      </c>
      <c r="AU175" s="220" t="s">
        <v>542</v>
      </c>
      <c r="AV175" s="220" t="s">
        <v>591</v>
      </c>
      <c r="AW175" s="220" t="s">
        <v>4732</v>
      </c>
      <c r="AX175" s="221"/>
      <c r="AY175" s="221"/>
      <c r="AZ175" s="302"/>
      <c r="BA175" s="221"/>
      <c r="BB175" s="221"/>
      <c r="BC175" s="221"/>
      <c r="BD175" s="221">
        <v>21422224</v>
      </c>
      <c r="BE175" s="221"/>
    </row>
    <row r="176" spans="2:57" x14ac:dyDescent="0.3">
      <c r="B176" s="288">
        <v>524113</v>
      </c>
      <c r="C176" s="220" t="s">
        <v>13</v>
      </c>
      <c r="D176" s="220"/>
      <c r="E176" s="220"/>
      <c r="F176" s="221">
        <v>9000000</v>
      </c>
      <c r="G176" s="221"/>
      <c r="H176" s="221"/>
      <c r="I176" s="221"/>
      <c r="J176" s="221"/>
      <c r="K176" s="221"/>
      <c r="L176" s="221"/>
      <c r="M176" s="221"/>
      <c r="N176" s="221"/>
      <c r="O176" s="221"/>
      <c r="P176" s="221"/>
      <c r="Q176" s="221"/>
      <c r="R176" s="221"/>
      <c r="S176" s="221"/>
      <c r="T176" s="221"/>
      <c r="U176" s="221"/>
      <c r="V176" s="221">
        <f>4074431+9185000+25208100</f>
        <v>38467531</v>
      </c>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f t="shared" si="256"/>
        <v>38467531</v>
      </c>
      <c r="AR176" s="224">
        <f t="shared" si="197"/>
        <v>4.2741701111111113E-2</v>
      </c>
      <c r="AS176" s="225">
        <f t="shared" si="255"/>
        <v>-29467531</v>
      </c>
      <c r="AT176" s="224">
        <f t="shared" si="198"/>
        <v>-327.41701111111115</v>
      </c>
      <c r="AU176" s="220" t="s">
        <v>542</v>
      </c>
      <c r="AV176" s="220" t="s">
        <v>591</v>
      </c>
      <c r="AW176" s="220" t="s">
        <v>4732</v>
      </c>
      <c r="AX176" s="221"/>
      <c r="AY176" s="221"/>
      <c r="AZ176" s="302"/>
      <c r="BA176" s="221"/>
      <c r="BB176" s="221"/>
      <c r="BC176" s="221"/>
      <c r="BD176" s="221"/>
      <c r="BE176" s="221"/>
    </row>
    <row r="177" spans="2:57" x14ac:dyDescent="0.3">
      <c r="B177" s="226">
        <v>302</v>
      </c>
      <c r="C177" s="227" t="s">
        <v>3091</v>
      </c>
      <c r="D177" s="227"/>
      <c r="E177" s="227"/>
      <c r="F177" s="228">
        <f t="shared" ref="F177:AP177" si="285">F178</f>
        <v>126532000</v>
      </c>
      <c r="G177" s="228">
        <f t="shared" si="285"/>
        <v>0</v>
      </c>
      <c r="H177" s="228">
        <f t="shared" si="285"/>
        <v>0</v>
      </c>
      <c r="I177" s="228">
        <f t="shared" si="285"/>
        <v>0</v>
      </c>
      <c r="J177" s="228">
        <f t="shared" si="285"/>
        <v>0</v>
      </c>
      <c r="K177" s="228">
        <f t="shared" si="285"/>
        <v>0</v>
      </c>
      <c r="L177" s="228">
        <f t="shared" si="285"/>
        <v>0</v>
      </c>
      <c r="M177" s="228">
        <f t="shared" si="285"/>
        <v>0</v>
      </c>
      <c r="N177" s="228">
        <f t="shared" si="285"/>
        <v>3350000</v>
      </c>
      <c r="O177" s="228">
        <f t="shared" si="285"/>
        <v>2498000</v>
      </c>
      <c r="P177" s="228">
        <f t="shared" si="285"/>
        <v>15530000</v>
      </c>
      <c r="Q177" s="228">
        <f t="shared" si="285"/>
        <v>0</v>
      </c>
      <c r="R177" s="228">
        <f t="shared" si="285"/>
        <v>0</v>
      </c>
      <c r="S177" s="228">
        <f t="shared" si="285"/>
        <v>0</v>
      </c>
      <c r="T177" s="228">
        <f t="shared" si="285"/>
        <v>0</v>
      </c>
      <c r="U177" s="228">
        <f t="shared" si="285"/>
        <v>4986000</v>
      </c>
      <c r="V177" s="228">
        <f t="shared" si="285"/>
        <v>2118000</v>
      </c>
      <c r="W177" s="228">
        <f t="shared" si="285"/>
        <v>0</v>
      </c>
      <c r="X177" s="228">
        <f t="shared" si="285"/>
        <v>0</v>
      </c>
      <c r="Y177" s="228">
        <f t="shared" si="285"/>
        <v>0</v>
      </c>
      <c r="Z177" s="228">
        <f t="shared" si="285"/>
        <v>0</v>
      </c>
      <c r="AA177" s="228">
        <f t="shared" si="285"/>
        <v>0</v>
      </c>
      <c r="AB177" s="228">
        <f t="shared" si="285"/>
        <v>0</v>
      </c>
      <c r="AC177" s="228">
        <f t="shared" si="285"/>
        <v>0</v>
      </c>
      <c r="AD177" s="228">
        <f t="shared" si="285"/>
        <v>0</v>
      </c>
      <c r="AE177" s="228">
        <f t="shared" si="285"/>
        <v>0</v>
      </c>
      <c r="AF177" s="228">
        <f t="shared" si="285"/>
        <v>0</v>
      </c>
      <c r="AG177" s="228">
        <f t="shared" si="285"/>
        <v>0</v>
      </c>
      <c r="AH177" s="228">
        <f t="shared" si="285"/>
        <v>0</v>
      </c>
      <c r="AI177" s="228">
        <f t="shared" si="285"/>
        <v>0</v>
      </c>
      <c r="AJ177" s="228">
        <f t="shared" si="285"/>
        <v>0</v>
      </c>
      <c r="AK177" s="228">
        <f t="shared" si="285"/>
        <v>0</v>
      </c>
      <c r="AL177" s="228">
        <f t="shared" si="285"/>
        <v>0</v>
      </c>
      <c r="AM177" s="228">
        <f t="shared" si="285"/>
        <v>0</v>
      </c>
      <c r="AN177" s="228">
        <f t="shared" si="285"/>
        <v>0</v>
      </c>
      <c r="AO177" s="228">
        <f t="shared" si="285"/>
        <v>0</v>
      </c>
      <c r="AP177" s="228">
        <f t="shared" si="285"/>
        <v>0</v>
      </c>
      <c r="AQ177" s="228">
        <f t="shared" ref="AQ177" si="286">SUM(G177:AP177)</f>
        <v>28482000</v>
      </c>
      <c r="AR177" s="229">
        <f t="shared" ref="AR177:AR178" si="287">AQ177/F177/100</f>
        <v>2.250972086112604E-3</v>
      </c>
      <c r="AS177" s="230">
        <f t="shared" ref="AS177:AS178" si="288">F177-AQ177</f>
        <v>98050000</v>
      </c>
      <c r="AT177" s="229">
        <f t="shared" ref="AT177:AT178" si="289">AS177/F177*100</f>
        <v>77.490279138873959</v>
      </c>
      <c r="AU177" s="220" t="s">
        <v>542</v>
      </c>
      <c r="AV177" s="220" t="s">
        <v>591</v>
      </c>
      <c r="AW177" s="220" t="s">
        <v>4732</v>
      </c>
      <c r="AX177" s="228">
        <f t="shared" ref="AX177:AY177" si="290">AX178</f>
        <v>0</v>
      </c>
      <c r="AY177" s="228">
        <f t="shared" si="290"/>
        <v>2498000</v>
      </c>
      <c r="AZ177" s="228">
        <f>AZ178</f>
        <v>3350000</v>
      </c>
      <c r="BA177" s="228">
        <f t="shared" ref="BA177:BE177" si="291">BA178</f>
        <v>0</v>
      </c>
      <c r="BB177" s="228">
        <f t="shared" si="291"/>
        <v>0</v>
      </c>
      <c r="BC177" s="228">
        <f t="shared" si="291"/>
        <v>0</v>
      </c>
      <c r="BD177" s="228">
        <f t="shared" si="291"/>
        <v>4986000</v>
      </c>
      <c r="BE177" s="228">
        <f t="shared" si="291"/>
        <v>0</v>
      </c>
    </row>
    <row r="178" spans="2:57" x14ac:dyDescent="0.3">
      <c r="B178" s="290" t="s">
        <v>8</v>
      </c>
      <c r="C178" s="222" t="s">
        <v>178</v>
      </c>
      <c r="D178" s="222"/>
      <c r="E178" s="222"/>
      <c r="F178" s="223">
        <f>SUM(F179:F181)</f>
        <v>126532000</v>
      </c>
      <c r="G178" s="223">
        <f t="shared" ref="G178:AP178" si="292">SUM(G179:G181)</f>
        <v>0</v>
      </c>
      <c r="H178" s="223">
        <f t="shared" si="292"/>
        <v>0</v>
      </c>
      <c r="I178" s="223">
        <f t="shared" si="292"/>
        <v>0</v>
      </c>
      <c r="J178" s="223">
        <f t="shared" si="292"/>
        <v>0</v>
      </c>
      <c r="K178" s="223">
        <f t="shared" si="292"/>
        <v>0</v>
      </c>
      <c r="L178" s="223">
        <f t="shared" si="292"/>
        <v>0</v>
      </c>
      <c r="M178" s="223">
        <f t="shared" si="292"/>
        <v>0</v>
      </c>
      <c r="N178" s="223">
        <f t="shared" si="292"/>
        <v>3350000</v>
      </c>
      <c r="O178" s="223">
        <f t="shared" si="292"/>
        <v>2498000</v>
      </c>
      <c r="P178" s="223">
        <f t="shared" si="292"/>
        <v>15530000</v>
      </c>
      <c r="Q178" s="223">
        <f t="shared" si="292"/>
        <v>0</v>
      </c>
      <c r="R178" s="223">
        <f t="shared" si="292"/>
        <v>0</v>
      </c>
      <c r="S178" s="223">
        <f t="shared" si="292"/>
        <v>0</v>
      </c>
      <c r="T178" s="223">
        <f t="shared" si="292"/>
        <v>0</v>
      </c>
      <c r="U178" s="223">
        <f t="shared" si="292"/>
        <v>4986000</v>
      </c>
      <c r="V178" s="223">
        <f t="shared" si="292"/>
        <v>2118000</v>
      </c>
      <c r="W178" s="223">
        <f t="shared" si="292"/>
        <v>0</v>
      </c>
      <c r="X178" s="223">
        <f t="shared" si="292"/>
        <v>0</v>
      </c>
      <c r="Y178" s="223">
        <f t="shared" si="292"/>
        <v>0</v>
      </c>
      <c r="Z178" s="223">
        <f t="shared" si="292"/>
        <v>0</v>
      </c>
      <c r="AA178" s="223">
        <f t="shared" si="292"/>
        <v>0</v>
      </c>
      <c r="AB178" s="223">
        <f t="shared" si="292"/>
        <v>0</v>
      </c>
      <c r="AC178" s="223">
        <f t="shared" si="292"/>
        <v>0</v>
      </c>
      <c r="AD178" s="223">
        <f t="shared" si="292"/>
        <v>0</v>
      </c>
      <c r="AE178" s="223">
        <f t="shared" si="292"/>
        <v>0</v>
      </c>
      <c r="AF178" s="223">
        <f t="shared" si="292"/>
        <v>0</v>
      </c>
      <c r="AG178" s="223">
        <f t="shared" si="292"/>
        <v>0</v>
      </c>
      <c r="AH178" s="223">
        <f t="shared" si="292"/>
        <v>0</v>
      </c>
      <c r="AI178" s="223">
        <f t="shared" si="292"/>
        <v>0</v>
      </c>
      <c r="AJ178" s="223">
        <f t="shared" si="292"/>
        <v>0</v>
      </c>
      <c r="AK178" s="223">
        <f t="shared" si="292"/>
        <v>0</v>
      </c>
      <c r="AL178" s="223">
        <f t="shared" si="292"/>
        <v>0</v>
      </c>
      <c r="AM178" s="223">
        <f t="shared" si="292"/>
        <v>0</v>
      </c>
      <c r="AN178" s="223">
        <f t="shared" si="292"/>
        <v>0</v>
      </c>
      <c r="AO178" s="223">
        <f t="shared" si="292"/>
        <v>0</v>
      </c>
      <c r="AP178" s="223">
        <f t="shared" si="292"/>
        <v>0</v>
      </c>
      <c r="AQ178" s="223">
        <f>SUM(G178:AP178)</f>
        <v>28482000</v>
      </c>
      <c r="AR178" s="231">
        <f t="shared" si="287"/>
        <v>2.250972086112604E-3</v>
      </c>
      <c r="AS178" s="232">
        <f t="shared" si="288"/>
        <v>98050000</v>
      </c>
      <c r="AT178" s="231">
        <f t="shared" si="289"/>
        <v>77.490279138873959</v>
      </c>
      <c r="AU178" s="220" t="s">
        <v>542</v>
      </c>
      <c r="AV178" s="220" t="s">
        <v>591</v>
      </c>
      <c r="AW178" s="220" t="s">
        <v>4732</v>
      </c>
      <c r="AX178" s="223">
        <f t="shared" ref="AX178:AY178" si="293">SUM(AX179:AX181)</f>
        <v>0</v>
      </c>
      <c r="AY178" s="223">
        <f t="shared" si="293"/>
        <v>2498000</v>
      </c>
      <c r="AZ178" s="223">
        <f>SUM(AZ179:AZ181)</f>
        <v>3350000</v>
      </c>
      <c r="BA178" s="223">
        <f t="shared" ref="BA178" si="294">SUM(BA179:BA181)</f>
        <v>0</v>
      </c>
      <c r="BB178" s="223">
        <f t="shared" ref="BB178" si="295">SUM(BB179:BB181)</f>
        <v>0</v>
      </c>
      <c r="BC178" s="223">
        <f t="shared" ref="BC178:BD178" si="296">SUM(BC179:BC181)</f>
        <v>0</v>
      </c>
      <c r="BD178" s="223">
        <f t="shared" si="296"/>
        <v>4986000</v>
      </c>
      <c r="BE178" s="223">
        <f t="shared" ref="BE178" si="297">SUM(BE179:BE181)</f>
        <v>0</v>
      </c>
    </row>
    <row r="179" spans="2:57" x14ac:dyDescent="0.3">
      <c r="B179" s="288">
        <v>521211</v>
      </c>
      <c r="C179" s="220" t="s">
        <v>7</v>
      </c>
      <c r="D179" s="220"/>
      <c r="E179" s="220"/>
      <c r="F179" s="221">
        <v>35500000</v>
      </c>
      <c r="G179" s="221"/>
      <c r="H179" s="221"/>
      <c r="I179" s="221"/>
      <c r="J179" s="221"/>
      <c r="K179" s="221"/>
      <c r="L179" s="221"/>
      <c r="M179" s="221"/>
      <c r="N179" s="302">
        <v>860000</v>
      </c>
      <c r="O179" s="221">
        <v>2498000</v>
      </c>
      <c r="P179" s="221"/>
      <c r="Q179" s="221"/>
      <c r="R179" s="221"/>
      <c r="S179" s="221"/>
      <c r="T179" s="221"/>
      <c r="U179" s="221">
        <v>4986000</v>
      </c>
      <c r="V179" s="221"/>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f t="shared" si="256"/>
        <v>8344000</v>
      </c>
      <c r="AR179" s="224">
        <f t="shared" si="197"/>
        <v>2.3504225352112677E-3</v>
      </c>
      <c r="AS179" s="225">
        <f t="shared" si="255"/>
        <v>27156000</v>
      </c>
      <c r="AT179" s="224">
        <f t="shared" si="198"/>
        <v>76.49577464788733</v>
      </c>
      <c r="AU179" s="220" t="s">
        <v>542</v>
      </c>
      <c r="AV179" s="220" t="s">
        <v>591</v>
      </c>
      <c r="AW179" s="220" t="s">
        <v>4732</v>
      </c>
      <c r="AX179" s="221"/>
      <c r="AY179" s="221">
        <v>2498000</v>
      </c>
      <c r="AZ179" s="302">
        <v>860000</v>
      </c>
      <c r="BA179" s="221"/>
      <c r="BB179" s="221"/>
      <c r="BC179" s="221"/>
      <c r="BD179" s="221">
        <v>4986000</v>
      </c>
      <c r="BE179" s="221"/>
    </row>
    <row r="180" spans="2:57" x14ac:dyDescent="0.3">
      <c r="B180" s="288">
        <v>521219</v>
      </c>
      <c r="C180" s="220" t="s">
        <v>53</v>
      </c>
      <c r="D180" s="220"/>
      <c r="E180" s="220"/>
      <c r="F180" s="221">
        <v>2000000</v>
      </c>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f t="shared" si="256"/>
        <v>0</v>
      </c>
      <c r="AR180" s="224">
        <f t="shared" si="197"/>
        <v>0</v>
      </c>
      <c r="AS180" s="225">
        <f t="shared" si="255"/>
        <v>2000000</v>
      </c>
      <c r="AT180" s="224">
        <f t="shared" si="198"/>
        <v>100</v>
      </c>
      <c r="AU180" s="220" t="s">
        <v>542</v>
      </c>
      <c r="AV180" s="220" t="s">
        <v>591</v>
      </c>
      <c r="AW180" s="220" t="s">
        <v>4732</v>
      </c>
      <c r="AX180" s="221"/>
      <c r="AY180" s="221"/>
      <c r="AZ180" s="302"/>
      <c r="BA180" s="221"/>
      <c r="BB180" s="221"/>
      <c r="BC180" s="221"/>
      <c r="BD180" s="221"/>
      <c r="BE180" s="221"/>
    </row>
    <row r="181" spans="2:57" x14ac:dyDescent="0.3">
      <c r="B181" s="288">
        <v>524111</v>
      </c>
      <c r="C181" s="220" t="s">
        <v>19</v>
      </c>
      <c r="D181" s="220"/>
      <c r="E181" s="220"/>
      <c r="F181" s="221">
        <v>89032000</v>
      </c>
      <c r="G181" s="221"/>
      <c r="H181" s="221"/>
      <c r="I181" s="221"/>
      <c r="J181" s="221"/>
      <c r="K181" s="221"/>
      <c r="L181" s="221"/>
      <c r="M181" s="221"/>
      <c r="N181" s="302">
        <v>2490000</v>
      </c>
      <c r="O181" s="221"/>
      <c r="P181" s="221">
        <f>8760000+4980000+1790000</f>
        <v>15530000</v>
      </c>
      <c r="Q181" s="221"/>
      <c r="R181" s="221"/>
      <c r="S181" s="221"/>
      <c r="T181" s="221"/>
      <c r="U181" s="221"/>
      <c r="V181" s="221">
        <v>2118000</v>
      </c>
      <c r="W181" s="221"/>
      <c r="X181" s="221"/>
      <c r="Y181" s="221"/>
      <c r="Z181" s="221"/>
      <c r="AA181" s="221"/>
      <c r="AB181" s="221"/>
      <c r="AC181" s="221"/>
      <c r="AD181" s="221"/>
      <c r="AE181" s="221"/>
      <c r="AF181" s="221"/>
      <c r="AG181" s="221"/>
      <c r="AH181" s="221"/>
      <c r="AI181" s="221"/>
      <c r="AJ181" s="221"/>
      <c r="AK181" s="221"/>
      <c r="AL181" s="221"/>
      <c r="AM181" s="221"/>
      <c r="AN181" s="221"/>
      <c r="AO181" s="221"/>
      <c r="AP181" s="221"/>
      <c r="AQ181" s="221">
        <f t="shared" si="256"/>
        <v>20138000</v>
      </c>
      <c r="AR181" s="224">
        <f t="shared" si="197"/>
        <v>2.2618833677778777E-3</v>
      </c>
      <c r="AS181" s="225">
        <f t="shared" si="255"/>
        <v>68894000</v>
      </c>
      <c r="AT181" s="224">
        <f t="shared" si="198"/>
        <v>77.381166322221233</v>
      </c>
      <c r="AU181" s="220" t="s">
        <v>542</v>
      </c>
      <c r="AV181" s="220" t="s">
        <v>591</v>
      </c>
      <c r="AW181" s="220" t="s">
        <v>4732</v>
      </c>
      <c r="AX181" s="221"/>
      <c r="AY181" s="221"/>
      <c r="AZ181" s="302">
        <v>2490000</v>
      </c>
      <c r="BA181" s="221"/>
      <c r="BB181" s="221"/>
      <c r="BC181" s="221"/>
      <c r="BD181" s="221"/>
      <c r="BE181" s="221"/>
    </row>
    <row r="182" spans="2:57" x14ac:dyDescent="0.3">
      <c r="B182" s="226" t="s">
        <v>4516</v>
      </c>
      <c r="C182" s="227" t="s">
        <v>3106</v>
      </c>
      <c r="D182" s="227">
        <v>1</v>
      </c>
      <c r="E182" s="227" t="s">
        <v>4315</v>
      </c>
      <c r="F182" s="228">
        <f>F183</f>
        <v>289920000</v>
      </c>
      <c r="G182" s="228">
        <f t="shared" ref="G182:AP182" si="298">G183</f>
        <v>0</v>
      </c>
      <c r="H182" s="228">
        <f t="shared" si="298"/>
        <v>0</v>
      </c>
      <c r="I182" s="228">
        <f t="shared" si="298"/>
        <v>0</v>
      </c>
      <c r="J182" s="228">
        <f t="shared" si="298"/>
        <v>0</v>
      </c>
      <c r="K182" s="228">
        <f t="shared" si="298"/>
        <v>0</v>
      </c>
      <c r="L182" s="228">
        <f t="shared" si="298"/>
        <v>0</v>
      </c>
      <c r="M182" s="228">
        <f t="shared" si="298"/>
        <v>0</v>
      </c>
      <c r="N182" s="228">
        <f t="shared" si="298"/>
        <v>18269500</v>
      </c>
      <c r="O182" s="228">
        <f t="shared" si="298"/>
        <v>50674500</v>
      </c>
      <c r="P182" s="228">
        <f t="shared" si="298"/>
        <v>0</v>
      </c>
      <c r="Q182" s="228">
        <f t="shared" si="298"/>
        <v>19929200</v>
      </c>
      <c r="R182" s="228">
        <f t="shared" si="298"/>
        <v>0</v>
      </c>
      <c r="S182" s="228">
        <f t="shared" si="298"/>
        <v>0</v>
      </c>
      <c r="T182" s="228">
        <f t="shared" si="298"/>
        <v>19882500</v>
      </c>
      <c r="U182" s="228">
        <f t="shared" si="298"/>
        <v>25762820</v>
      </c>
      <c r="V182" s="228">
        <f t="shared" si="298"/>
        <v>0</v>
      </c>
      <c r="W182" s="228">
        <f t="shared" si="298"/>
        <v>0</v>
      </c>
      <c r="X182" s="228">
        <f t="shared" si="298"/>
        <v>2030000</v>
      </c>
      <c r="Y182" s="228">
        <f t="shared" si="298"/>
        <v>0</v>
      </c>
      <c r="Z182" s="228">
        <f t="shared" si="298"/>
        <v>0</v>
      </c>
      <c r="AA182" s="228">
        <f t="shared" si="298"/>
        <v>0</v>
      </c>
      <c r="AB182" s="228">
        <f t="shared" si="298"/>
        <v>0</v>
      </c>
      <c r="AC182" s="228">
        <f t="shared" si="298"/>
        <v>0</v>
      </c>
      <c r="AD182" s="228">
        <f t="shared" si="298"/>
        <v>0</v>
      </c>
      <c r="AE182" s="228">
        <f t="shared" si="298"/>
        <v>0</v>
      </c>
      <c r="AF182" s="228">
        <f t="shared" si="298"/>
        <v>0</v>
      </c>
      <c r="AG182" s="228">
        <f t="shared" si="298"/>
        <v>0</v>
      </c>
      <c r="AH182" s="228">
        <f t="shared" si="298"/>
        <v>0</v>
      </c>
      <c r="AI182" s="228">
        <f t="shared" si="298"/>
        <v>0</v>
      </c>
      <c r="AJ182" s="228">
        <f t="shared" si="298"/>
        <v>0</v>
      </c>
      <c r="AK182" s="228">
        <f t="shared" si="298"/>
        <v>0</v>
      </c>
      <c r="AL182" s="228">
        <f t="shared" si="298"/>
        <v>0</v>
      </c>
      <c r="AM182" s="228">
        <f t="shared" si="298"/>
        <v>0</v>
      </c>
      <c r="AN182" s="228">
        <f t="shared" si="298"/>
        <v>0</v>
      </c>
      <c r="AO182" s="228">
        <f t="shared" si="298"/>
        <v>0</v>
      </c>
      <c r="AP182" s="228">
        <f t="shared" si="298"/>
        <v>0</v>
      </c>
      <c r="AQ182" s="228">
        <f t="shared" si="256"/>
        <v>136548520</v>
      </c>
      <c r="AR182" s="229">
        <f t="shared" si="197"/>
        <v>4.7098689293598233E-3</v>
      </c>
      <c r="AS182" s="230">
        <f t="shared" si="255"/>
        <v>153371480</v>
      </c>
      <c r="AT182" s="229">
        <f t="shared" si="198"/>
        <v>52.901310706401759</v>
      </c>
      <c r="AU182" s="220" t="s">
        <v>576</v>
      </c>
      <c r="AV182" s="220" t="s">
        <v>546</v>
      </c>
      <c r="AW182" s="220" t="s">
        <v>4732</v>
      </c>
      <c r="AX182" s="228">
        <f t="shared" ref="AX182:BE182" si="299">AX183</f>
        <v>0</v>
      </c>
      <c r="AY182" s="228">
        <f t="shared" si="299"/>
        <v>50674500</v>
      </c>
      <c r="AZ182" s="228">
        <f t="shared" si="299"/>
        <v>18269500</v>
      </c>
      <c r="BA182" s="228">
        <f t="shared" si="299"/>
        <v>19929200</v>
      </c>
      <c r="BB182" s="228">
        <f t="shared" si="299"/>
        <v>10000000</v>
      </c>
      <c r="BC182" s="228">
        <f t="shared" si="299"/>
        <v>9882500</v>
      </c>
      <c r="BD182" s="228">
        <f t="shared" si="299"/>
        <v>25762820</v>
      </c>
      <c r="BE182" s="228">
        <f t="shared" si="299"/>
        <v>2030000</v>
      </c>
    </row>
    <row r="183" spans="2:57" x14ac:dyDescent="0.3">
      <c r="B183" s="226">
        <v>301</v>
      </c>
      <c r="C183" s="227" t="s">
        <v>3319</v>
      </c>
      <c r="D183" s="227"/>
      <c r="E183" s="227"/>
      <c r="F183" s="228">
        <f t="shared" ref="F183:AP183" si="300">F184+F187+F190+F193+F197+F200</f>
        <v>289920000</v>
      </c>
      <c r="G183" s="228">
        <f t="shared" si="300"/>
        <v>0</v>
      </c>
      <c r="H183" s="228">
        <f t="shared" si="300"/>
        <v>0</v>
      </c>
      <c r="I183" s="228">
        <f t="shared" si="300"/>
        <v>0</v>
      </c>
      <c r="J183" s="228">
        <f t="shared" si="300"/>
        <v>0</v>
      </c>
      <c r="K183" s="228">
        <f t="shared" si="300"/>
        <v>0</v>
      </c>
      <c r="L183" s="228">
        <f t="shared" si="300"/>
        <v>0</v>
      </c>
      <c r="M183" s="228">
        <f t="shared" si="300"/>
        <v>0</v>
      </c>
      <c r="N183" s="228">
        <f t="shared" si="300"/>
        <v>18269500</v>
      </c>
      <c r="O183" s="228">
        <f t="shared" si="300"/>
        <v>50674500</v>
      </c>
      <c r="P183" s="228">
        <f t="shared" si="300"/>
        <v>0</v>
      </c>
      <c r="Q183" s="228">
        <f t="shared" si="300"/>
        <v>19929200</v>
      </c>
      <c r="R183" s="228">
        <f t="shared" si="300"/>
        <v>0</v>
      </c>
      <c r="S183" s="228">
        <f t="shared" si="300"/>
        <v>0</v>
      </c>
      <c r="T183" s="228">
        <f t="shared" si="300"/>
        <v>19882500</v>
      </c>
      <c r="U183" s="228">
        <f t="shared" si="300"/>
        <v>25762820</v>
      </c>
      <c r="V183" s="228">
        <f t="shared" si="300"/>
        <v>0</v>
      </c>
      <c r="W183" s="228">
        <f t="shared" si="300"/>
        <v>0</v>
      </c>
      <c r="X183" s="228">
        <f t="shared" si="300"/>
        <v>2030000</v>
      </c>
      <c r="Y183" s="228">
        <f t="shared" si="300"/>
        <v>0</v>
      </c>
      <c r="Z183" s="228">
        <f t="shared" si="300"/>
        <v>0</v>
      </c>
      <c r="AA183" s="228">
        <f t="shared" si="300"/>
        <v>0</v>
      </c>
      <c r="AB183" s="228">
        <f t="shared" si="300"/>
        <v>0</v>
      </c>
      <c r="AC183" s="228">
        <f t="shared" si="300"/>
        <v>0</v>
      </c>
      <c r="AD183" s="228">
        <f t="shared" si="300"/>
        <v>0</v>
      </c>
      <c r="AE183" s="228">
        <f t="shared" si="300"/>
        <v>0</v>
      </c>
      <c r="AF183" s="228">
        <f t="shared" si="300"/>
        <v>0</v>
      </c>
      <c r="AG183" s="228">
        <f t="shared" si="300"/>
        <v>0</v>
      </c>
      <c r="AH183" s="228">
        <f t="shared" si="300"/>
        <v>0</v>
      </c>
      <c r="AI183" s="228">
        <f t="shared" si="300"/>
        <v>0</v>
      </c>
      <c r="AJ183" s="228">
        <f t="shared" si="300"/>
        <v>0</v>
      </c>
      <c r="AK183" s="228">
        <f t="shared" si="300"/>
        <v>0</v>
      </c>
      <c r="AL183" s="228">
        <f t="shared" si="300"/>
        <v>0</v>
      </c>
      <c r="AM183" s="228">
        <f t="shared" si="300"/>
        <v>0</v>
      </c>
      <c r="AN183" s="228">
        <f t="shared" si="300"/>
        <v>0</v>
      </c>
      <c r="AO183" s="228">
        <f t="shared" si="300"/>
        <v>0</v>
      </c>
      <c r="AP183" s="228">
        <f t="shared" si="300"/>
        <v>0</v>
      </c>
      <c r="AQ183" s="228">
        <f t="shared" si="256"/>
        <v>136548520</v>
      </c>
      <c r="AR183" s="229">
        <f t="shared" si="197"/>
        <v>4.7098689293598233E-3</v>
      </c>
      <c r="AS183" s="230">
        <f t="shared" si="255"/>
        <v>153371480</v>
      </c>
      <c r="AT183" s="229">
        <f t="shared" si="198"/>
        <v>52.901310706401759</v>
      </c>
      <c r="AU183" s="220" t="s">
        <v>576</v>
      </c>
      <c r="AV183" s="220" t="s">
        <v>546</v>
      </c>
      <c r="AW183" s="220" t="s">
        <v>4732</v>
      </c>
      <c r="AX183" s="228">
        <f>AX184+AX187+AX190+AX193+AX197+AX200</f>
        <v>0</v>
      </c>
      <c r="AY183" s="228">
        <f>AY184+AY187+AY190+AY193+AY197+AY200</f>
        <v>50674500</v>
      </c>
      <c r="AZ183" s="228">
        <f>AZ184+AZ187+AZ190+AZ193+AZ197+AZ200</f>
        <v>18269500</v>
      </c>
      <c r="BA183" s="228">
        <f t="shared" ref="BA183" si="301">BA184+BA187+BA190+BA193+BA197+BA200</f>
        <v>19929200</v>
      </c>
      <c r="BB183" s="228">
        <f t="shared" ref="BB183" si="302">BB184+BB187+BB190+BB193+BB197+BB200</f>
        <v>10000000</v>
      </c>
      <c r="BC183" s="228">
        <f t="shared" ref="BC183:BD183" si="303">BC184+BC187+BC190+BC193+BC197+BC200</f>
        <v>9882500</v>
      </c>
      <c r="BD183" s="228">
        <f t="shared" si="303"/>
        <v>25762820</v>
      </c>
      <c r="BE183" s="228">
        <f t="shared" ref="BE183" si="304">BE184+BE187+BE190+BE193+BE197+BE200</f>
        <v>2030000</v>
      </c>
    </row>
    <row r="184" spans="2:57" x14ac:dyDescent="0.3">
      <c r="B184" s="290" t="s">
        <v>8</v>
      </c>
      <c r="C184" s="222" t="s">
        <v>143</v>
      </c>
      <c r="D184" s="222"/>
      <c r="E184" s="222"/>
      <c r="F184" s="223">
        <f t="shared" ref="F184:AP184" si="305">SUM(F185:F186)</f>
        <v>38900000</v>
      </c>
      <c r="G184" s="223">
        <f t="shared" si="305"/>
        <v>0</v>
      </c>
      <c r="H184" s="223">
        <f t="shared" si="305"/>
        <v>0</v>
      </c>
      <c r="I184" s="223">
        <f t="shared" si="305"/>
        <v>0</v>
      </c>
      <c r="J184" s="223">
        <f t="shared" si="305"/>
        <v>0</v>
      </c>
      <c r="K184" s="223">
        <f t="shared" si="305"/>
        <v>0</v>
      </c>
      <c r="L184" s="223">
        <f t="shared" si="305"/>
        <v>0</v>
      </c>
      <c r="M184" s="223">
        <f t="shared" si="305"/>
        <v>0</v>
      </c>
      <c r="N184" s="223">
        <f t="shared" si="305"/>
        <v>2450000</v>
      </c>
      <c r="O184" s="223">
        <f t="shared" si="305"/>
        <v>3275000</v>
      </c>
      <c r="P184" s="223">
        <f t="shared" si="305"/>
        <v>0</v>
      </c>
      <c r="Q184" s="223">
        <f t="shared" si="305"/>
        <v>2446000</v>
      </c>
      <c r="R184" s="223">
        <f t="shared" si="305"/>
        <v>0</v>
      </c>
      <c r="S184" s="223">
        <f t="shared" si="305"/>
        <v>0</v>
      </c>
      <c r="T184" s="223">
        <f t="shared" si="305"/>
        <v>1810000</v>
      </c>
      <c r="U184" s="223">
        <f t="shared" si="305"/>
        <v>12551552</v>
      </c>
      <c r="V184" s="223">
        <f t="shared" si="305"/>
        <v>0</v>
      </c>
      <c r="W184" s="223">
        <f t="shared" si="305"/>
        <v>0</v>
      </c>
      <c r="X184" s="223">
        <f t="shared" si="305"/>
        <v>0</v>
      </c>
      <c r="Y184" s="223">
        <f t="shared" si="305"/>
        <v>0</v>
      </c>
      <c r="Z184" s="223">
        <f t="shared" si="305"/>
        <v>0</v>
      </c>
      <c r="AA184" s="223">
        <f t="shared" si="305"/>
        <v>0</v>
      </c>
      <c r="AB184" s="223">
        <f t="shared" si="305"/>
        <v>0</v>
      </c>
      <c r="AC184" s="223">
        <f t="shared" si="305"/>
        <v>0</v>
      </c>
      <c r="AD184" s="223">
        <f t="shared" si="305"/>
        <v>0</v>
      </c>
      <c r="AE184" s="223">
        <f t="shared" si="305"/>
        <v>0</v>
      </c>
      <c r="AF184" s="223">
        <f t="shared" si="305"/>
        <v>0</v>
      </c>
      <c r="AG184" s="223">
        <f t="shared" si="305"/>
        <v>0</v>
      </c>
      <c r="AH184" s="223">
        <f t="shared" si="305"/>
        <v>0</v>
      </c>
      <c r="AI184" s="223">
        <f t="shared" si="305"/>
        <v>0</v>
      </c>
      <c r="AJ184" s="223">
        <f t="shared" si="305"/>
        <v>0</v>
      </c>
      <c r="AK184" s="223">
        <f t="shared" si="305"/>
        <v>0</v>
      </c>
      <c r="AL184" s="223">
        <f t="shared" si="305"/>
        <v>0</v>
      </c>
      <c r="AM184" s="223">
        <f t="shared" si="305"/>
        <v>0</v>
      </c>
      <c r="AN184" s="223">
        <f t="shared" si="305"/>
        <v>0</v>
      </c>
      <c r="AO184" s="223">
        <f t="shared" si="305"/>
        <v>0</v>
      </c>
      <c r="AP184" s="223">
        <f t="shared" si="305"/>
        <v>0</v>
      </c>
      <c r="AQ184" s="223">
        <f t="shared" si="256"/>
        <v>22532552</v>
      </c>
      <c r="AR184" s="231">
        <f t="shared" si="197"/>
        <v>5.7924298200514139E-3</v>
      </c>
      <c r="AS184" s="232">
        <f t="shared" si="255"/>
        <v>16367448</v>
      </c>
      <c r="AT184" s="231">
        <f t="shared" si="198"/>
        <v>42.075701799485863</v>
      </c>
      <c r="AU184" s="220" t="s">
        <v>576</v>
      </c>
      <c r="AV184" s="220" t="s">
        <v>546</v>
      </c>
      <c r="AW184" s="220" t="s">
        <v>4732</v>
      </c>
      <c r="AX184" s="223">
        <f>SUM(AX185:AX186)</f>
        <v>0</v>
      </c>
      <c r="AY184" s="223">
        <f>SUM(AY185:AY186)</f>
        <v>3275000</v>
      </c>
      <c r="AZ184" s="223">
        <f>SUM(AZ185:AZ186)</f>
        <v>2450000</v>
      </c>
      <c r="BA184" s="223">
        <f t="shared" ref="BA184" si="306">SUM(BA185:BA186)</f>
        <v>2446000</v>
      </c>
      <c r="BB184" s="223">
        <f t="shared" ref="BB184" si="307">SUM(BB185:BB186)</f>
        <v>1810000</v>
      </c>
      <c r="BC184" s="223">
        <f t="shared" ref="BC184:BD184" si="308">SUM(BC185:BC186)</f>
        <v>0</v>
      </c>
      <c r="BD184" s="223">
        <f t="shared" si="308"/>
        <v>12551552</v>
      </c>
      <c r="BE184" s="223">
        <f t="shared" ref="BE184" si="309">SUM(BE185:BE186)</f>
        <v>0</v>
      </c>
    </row>
    <row r="185" spans="2:57" x14ac:dyDescent="0.3">
      <c r="B185" s="288">
        <v>521211</v>
      </c>
      <c r="C185" s="220" t="s">
        <v>7</v>
      </c>
      <c r="D185" s="220"/>
      <c r="E185" s="220"/>
      <c r="F185" s="221">
        <v>23900000</v>
      </c>
      <c r="G185" s="221"/>
      <c r="H185" s="221"/>
      <c r="I185" s="221"/>
      <c r="J185" s="221"/>
      <c r="K185" s="221"/>
      <c r="L185" s="221"/>
      <c r="M185" s="221"/>
      <c r="N185" s="302">
        <v>2450000</v>
      </c>
      <c r="O185" s="221">
        <v>3275000</v>
      </c>
      <c r="P185" s="221"/>
      <c r="Q185" s="221">
        <v>2446000</v>
      </c>
      <c r="R185" s="221"/>
      <c r="S185" s="221"/>
      <c r="T185" s="221">
        <f>1810000</f>
        <v>1810000</v>
      </c>
      <c r="U185" s="221">
        <v>3850000</v>
      </c>
      <c r="V185" s="221"/>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f t="shared" si="256"/>
        <v>13831000</v>
      </c>
      <c r="AR185" s="224">
        <f t="shared" si="197"/>
        <v>5.7870292887029287E-3</v>
      </c>
      <c r="AS185" s="225">
        <f t="shared" si="255"/>
        <v>10069000</v>
      </c>
      <c r="AT185" s="224">
        <f t="shared" si="198"/>
        <v>42.129707112970713</v>
      </c>
      <c r="AU185" s="220" t="s">
        <v>576</v>
      </c>
      <c r="AV185" s="220" t="s">
        <v>546</v>
      </c>
      <c r="AW185" s="220" t="s">
        <v>4732</v>
      </c>
      <c r="AX185" s="221"/>
      <c r="AY185" s="221">
        <v>3275000</v>
      </c>
      <c r="AZ185" s="302">
        <v>2450000</v>
      </c>
      <c r="BA185" s="221">
        <v>2446000</v>
      </c>
      <c r="BB185" s="221">
        <v>1810000</v>
      </c>
      <c r="BC185" s="221"/>
      <c r="BD185" s="221">
        <v>3850000</v>
      </c>
      <c r="BE185" s="221"/>
    </row>
    <row r="186" spans="2:57" x14ac:dyDescent="0.3">
      <c r="B186" s="288">
        <v>524111</v>
      </c>
      <c r="C186" s="220" t="s">
        <v>19</v>
      </c>
      <c r="D186" s="220"/>
      <c r="E186" s="220"/>
      <c r="F186" s="221">
        <v>15000000</v>
      </c>
      <c r="G186" s="221"/>
      <c r="H186" s="221"/>
      <c r="I186" s="221"/>
      <c r="J186" s="221"/>
      <c r="K186" s="221"/>
      <c r="L186" s="221"/>
      <c r="M186" s="221"/>
      <c r="N186" s="221"/>
      <c r="O186" s="221"/>
      <c r="P186" s="221"/>
      <c r="Q186" s="221"/>
      <c r="R186" s="221"/>
      <c r="S186" s="221"/>
      <c r="T186" s="221"/>
      <c r="U186" s="221">
        <v>8701552</v>
      </c>
      <c r="V186" s="221"/>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f t="shared" si="256"/>
        <v>8701552</v>
      </c>
      <c r="AR186" s="224">
        <f t="shared" si="197"/>
        <v>5.8010346666666664E-3</v>
      </c>
      <c r="AS186" s="225">
        <f t="shared" si="255"/>
        <v>6298448</v>
      </c>
      <c r="AT186" s="224">
        <f t="shared" si="198"/>
        <v>41.989653333333329</v>
      </c>
      <c r="AU186" s="220" t="s">
        <v>576</v>
      </c>
      <c r="AV186" s="220" t="s">
        <v>546</v>
      </c>
      <c r="AW186" s="220" t="s">
        <v>4732</v>
      </c>
      <c r="AX186" s="221"/>
      <c r="AY186" s="221"/>
      <c r="AZ186" s="302"/>
      <c r="BA186" s="221"/>
      <c r="BB186" s="221"/>
      <c r="BC186" s="221"/>
      <c r="BD186" s="221">
        <v>8701552</v>
      </c>
      <c r="BE186" s="221"/>
    </row>
    <row r="187" spans="2:57" x14ac:dyDescent="0.3">
      <c r="B187" s="290" t="s">
        <v>511</v>
      </c>
      <c r="C187" s="222" t="s">
        <v>144</v>
      </c>
      <c r="D187" s="222"/>
      <c r="E187" s="222"/>
      <c r="F187" s="223">
        <f t="shared" ref="F187:AP187" si="310">SUM(F188:F189)</f>
        <v>29400000</v>
      </c>
      <c r="G187" s="223">
        <f t="shared" si="310"/>
        <v>0</v>
      </c>
      <c r="H187" s="223">
        <f t="shared" si="310"/>
        <v>0</v>
      </c>
      <c r="I187" s="223">
        <f t="shared" si="310"/>
        <v>0</v>
      </c>
      <c r="J187" s="223">
        <f t="shared" si="310"/>
        <v>0</v>
      </c>
      <c r="K187" s="223">
        <f t="shared" si="310"/>
        <v>0</v>
      </c>
      <c r="L187" s="223">
        <f t="shared" si="310"/>
        <v>0</v>
      </c>
      <c r="M187" s="223">
        <f t="shared" si="310"/>
        <v>0</v>
      </c>
      <c r="N187" s="223">
        <f t="shared" si="310"/>
        <v>0</v>
      </c>
      <c r="O187" s="223">
        <f t="shared" si="310"/>
        <v>5350000</v>
      </c>
      <c r="P187" s="223">
        <f t="shared" si="310"/>
        <v>0</v>
      </c>
      <c r="Q187" s="223">
        <f t="shared" si="310"/>
        <v>0</v>
      </c>
      <c r="R187" s="223">
        <f t="shared" si="310"/>
        <v>0</v>
      </c>
      <c r="S187" s="223">
        <f t="shared" si="310"/>
        <v>0</v>
      </c>
      <c r="T187" s="223">
        <f t="shared" si="310"/>
        <v>2444000</v>
      </c>
      <c r="U187" s="223">
        <f t="shared" si="310"/>
        <v>0</v>
      </c>
      <c r="V187" s="223">
        <f t="shared" si="310"/>
        <v>0</v>
      </c>
      <c r="W187" s="223">
        <f t="shared" si="310"/>
        <v>0</v>
      </c>
      <c r="X187" s="223">
        <f t="shared" si="310"/>
        <v>0</v>
      </c>
      <c r="Y187" s="223">
        <f t="shared" si="310"/>
        <v>0</v>
      </c>
      <c r="Z187" s="223">
        <f t="shared" si="310"/>
        <v>0</v>
      </c>
      <c r="AA187" s="223">
        <f t="shared" si="310"/>
        <v>0</v>
      </c>
      <c r="AB187" s="223">
        <f t="shared" si="310"/>
        <v>0</v>
      </c>
      <c r="AC187" s="223">
        <f t="shared" si="310"/>
        <v>0</v>
      </c>
      <c r="AD187" s="223">
        <f t="shared" si="310"/>
        <v>0</v>
      </c>
      <c r="AE187" s="223">
        <f t="shared" si="310"/>
        <v>0</v>
      </c>
      <c r="AF187" s="223">
        <f t="shared" si="310"/>
        <v>0</v>
      </c>
      <c r="AG187" s="223">
        <f t="shared" si="310"/>
        <v>0</v>
      </c>
      <c r="AH187" s="223">
        <f t="shared" si="310"/>
        <v>0</v>
      </c>
      <c r="AI187" s="223">
        <f t="shared" si="310"/>
        <v>0</v>
      </c>
      <c r="AJ187" s="223">
        <f t="shared" si="310"/>
        <v>0</v>
      </c>
      <c r="AK187" s="223">
        <f t="shared" si="310"/>
        <v>0</v>
      </c>
      <c r="AL187" s="223">
        <f t="shared" si="310"/>
        <v>0</v>
      </c>
      <c r="AM187" s="223">
        <f t="shared" si="310"/>
        <v>0</v>
      </c>
      <c r="AN187" s="223">
        <f t="shared" si="310"/>
        <v>0</v>
      </c>
      <c r="AO187" s="223">
        <f t="shared" si="310"/>
        <v>0</v>
      </c>
      <c r="AP187" s="223">
        <f t="shared" si="310"/>
        <v>0</v>
      </c>
      <c r="AQ187" s="223">
        <f t="shared" si="256"/>
        <v>7794000</v>
      </c>
      <c r="AR187" s="231">
        <f t="shared" si="197"/>
        <v>2.6510204081632654E-3</v>
      </c>
      <c r="AS187" s="232">
        <f t="shared" si="255"/>
        <v>21606000</v>
      </c>
      <c r="AT187" s="231">
        <f t="shared" si="198"/>
        <v>73.489795918367349</v>
      </c>
      <c r="AU187" s="220" t="s">
        <v>576</v>
      </c>
      <c r="AV187" s="220" t="s">
        <v>546</v>
      </c>
      <c r="AW187" s="220" t="s">
        <v>4732</v>
      </c>
      <c r="AX187" s="223">
        <f>SUM(AX188:AX189)</f>
        <v>0</v>
      </c>
      <c r="AY187" s="223">
        <f>SUM(AY188:AY189)</f>
        <v>5350000</v>
      </c>
      <c r="AZ187" s="223">
        <f>SUM(AZ188:AZ189)</f>
        <v>0</v>
      </c>
      <c r="BA187" s="223">
        <f t="shared" ref="BA187" si="311">SUM(BA188:BA189)</f>
        <v>0</v>
      </c>
      <c r="BB187" s="223">
        <f t="shared" ref="BB187" si="312">SUM(BB188:BB189)</f>
        <v>0</v>
      </c>
      <c r="BC187" s="223">
        <f t="shared" ref="BC187:BD187" si="313">SUM(BC188:BC189)</f>
        <v>2444000</v>
      </c>
      <c r="BD187" s="223">
        <f t="shared" si="313"/>
        <v>0</v>
      </c>
      <c r="BE187" s="223">
        <f t="shared" ref="BE187" si="314">SUM(BE188:BE189)</f>
        <v>0</v>
      </c>
    </row>
    <row r="188" spans="2:57" x14ac:dyDescent="0.3">
      <c r="B188" s="288">
        <v>521211</v>
      </c>
      <c r="C188" s="220" t="s">
        <v>7</v>
      </c>
      <c r="D188" s="220"/>
      <c r="E188" s="220"/>
      <c r="F188" s="221">
        <v>11400000</v>
      </c>
      <c r="G188" s="221"/>
      <c r="H188" s="221"/>
      <c r="I188" s="221"/>
      <c r="J188" s="221"/>
      <c r="K188" s="221"/>
      <c r="L188" s="221"/>
      <c r="M188" s="221"/>
      <c r="N188" s="221"/>
      <c r="O188" s="221">
        <v>2500000</v>
      </c>
      <c r="P188" s="221"/>
      <c r="Q188" s="221"/>
      <c r="R188" s="221"/>
      <c r="S188" s="221"/>
      <c r="T188" s="221">
        <v>2444000</v>
      </c>
      <c r="U188" s="221"/>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f t="shared" si="256"/>
        <v>4944000</v>
      </c>
      <c r="AR188" s="224">
        <f t="shared" si="197"/>
        <v>4.336842105263158E-3</v>
      </c>
      <c r="AS188" s="225">
        <f t="shared" si="255"/>
        <v>6456000</v>
      </c>
      <c r="AT188" s="224">
        <f t="shared" si="198"/>
        <v>56.631578947368425</v>
      </c>
      <c r="AU188" s="220" t="s">
        <v>576</v>
      </c>
      <c r="AV188" s="220" t="s">
        <v>546</v>
      </c>
      <c r="AW188" s="220" t="s">
        <v>4732</v>
      </c>
      <c r="AX188" s="221"/>
      <c r="AY188" s="221">
        <v>2500000</v>
      </c>
      <c r="AZ188" s="302"/>
      <c r="BA188" s="221"/>
      <c r="BB188" s="221"/>
      <c r="BC188" s="221">
        <v>2444000</v>
      </c>
      <c r="BD188" s="221"/>
      <c r="BE188" s="221"/>
    </row>
    <row r="189" spans="2:57" x14ac:dyDescent="0.3">
      <c r="B189" s="288">
        <v>524111</v>
      </c>
      <c r="C189" s="220" t="s">
        <v>19</v>
      </c>
      <c r="D189" s="220"/>
      <c r="E189" s="220"/>
      <c r="F189" s="221">
        <v>18000000</v>
      </c>
      <c r="G189" s="221"/>
      <c r="H189" s="221"/>
      <c r="I189" s="221"/>
      <c r="J189" s="221"/>
      <c r="K189" s="221"/>
      <c r="L189" s="221"/>
      <c r="M189" s="221"/>
      <c r="N189" s="221"/>
      <c r="O189" s="221">
        <v>2850000</v>
      </c>
      <c r="P189" s="221"/>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f t="shared" si="256"/>
        <v>2850000</v>
      </c>
      <c r="AR189" s="224">
        <f t="shared" si="197"/>
        <v>1.5833333333333333E-3</v>
      </c>
      <c r="AS189" s="225">
        <f t="shared" si="255"/>
        <v>15150000</v>
      </c>
      <c r="AT189" s="224">
        <f t="shared" si="198"/>
        <v>84.166666666666671</v>
      </c>
      <c r="AU189" s="220" t="s">
        <v>576</v>
      </c>
      <c r="AV189" s="220" t="s">
        <v>546</v>
      </c>
      <c r="AW189" s="220" t="s">
        <v>4732</v>
      </c>
      <c r="AX189" s="221"/>
      <c r="AY189" s="221">
        <v>2850000</v>
      </c>
      <c r="AZ189" s="302"/>
      <c r="BA189" s="221"/>
      <c r="BB189" s="221"/>
      <c r="BC189" s="221"/>
      <c r="BD189" s="221"/>
      <c r="BE189" s="221"/>
    </row>
    <row r="190" spans="2:57" x14ac:dyDescent="0.3">
      <c r="B190" s="290" t="s">
        <v>512</v>
      </c>
      <c r="C190" s="222" t="s">
        <v>145</v>
      </c>
      <c r="D190" s="222"/>
      <c r="E190" s="222"/>
      <c r="F190" s="223">
        <f t="shared" ref="F190:AP190" si="315">SUM(F191:F192)</f>
        <v>25000000</v>
      </c>
      <c r="G190" s="223">
        <f t="shared" si="315"/>
        <v>0</v>
      </c>
      <c r="H190" s="223">
        <f t="shared" si="315"/>
        <v>0</v>
      </c>
      <c r="I190" s="223">
        <f t="shared" si="315"/>
        <v>0</v>
      </c>
      <c r="J190" s="223">
        <f t="shared" si="315"/>
        <v>0</v>
      </c>
      <c r="K190" s="223">
        <f t="shared" si="315"/>
        <v>0</v>
      </c>
      <c r="L190" s="223">
        <f t="shared" si="315"/>
        <v>0</v>
      </c>
      <c r="M190" s="223">
        <f t="shared" si="315"/>
        <v>0</v>
      </c>
      <c r="N190" s="223">
        <f t="shared" si="315"/>
        <v>2469500</v>
      </c>
      <c r="O190" s="223">
        <f t="shared" si="315"/>
        <v>0</v>
      </c>
      <c r="P190" s="223">
        <f t="shared" si="315"/>
        <v>0</v>
      </c>
      <c r="Q190" s="223">
        <f t="shared" si="315"/>
        <v>0</v>
      </c>
      <c r="R190" s="223">
        <f t="shared" si="315"/>
        <v>0</v>
      </c>
      <c r="S190" s="223">
        <f t="shared" si="315"/>
        <v>0</v>
      </c>
      <c r="T190" s="223">
        <f t="shared" si="315"/>
        <v>2499000</v>
      </c>
      <c r="U190" s="223">
        <f t="shared" si="315"/>
        <v>0</v>
      </c>
      <c r="V190" s="223">
        <f t="shared" si="315"/>
        <v>0</v>
      </c>
      <c r="W190" s="223">
        <f t="shared" si="315"/>
        <v>0</v>
      </c>
      <c r="X190" s="223">
        <f t="shared" si="315"/>
        <v>0</v>
      </c>
      <c r="Y190" s="223">
        <f t="shared" si="315"/>
        <v>0</v>
      </c>
      <c r="Z190" s="223">
        <f t="shared" si="315"/>
        <v>0</v>
      </c>
      <c r="AA190" s="223">
        <f t="shared" si="315"/>
        <v>0</v>
      </c>
      <c r="AB190" s="223">
        <f t="shared" si="315"/>
        <v>0</v>
      </c>
      <c r="AC190" s="223">
        <f t="shared" si="315"/>
        <v>0</v>
      </c>
      <c r="AD190" s="223">
        <f t="shared" si="315"/>
        <v>0</v>
      </c>
      <c r="AE190" s="223">
        <f t="shared" si="315"/>
        <v>0</v>
      </c>
      <c r="AF190" s="223">
        <f t="shared" si="315"/>
        <v>0</v>
      </c>
      <c r="AG190" s="223">
        <f t="shared" si="315"/>
        <v>0</v>
      </c>
      <c r="AH190" s="223">
        <f t="shared" si="315"/>
        <v>0</v>
      </c>
      <c r="AI190" s="223">
        <f t="shared" si="315"/>
        <v>0</v>
      </c>
      <c r="AJ190" s="223">
        <f t="shared" si="315"/>
        <v>0</v>
      </c>
      <c r="AK190" s="223">
        <f t="shared" si="315"/>
        <v>0</v>
      </c>
      <c r="AL190" s="223">
        <f t="shared" si="315"/>
        <v>0</v>
      </c>
      <c r="AM190" s="223">
        <f t="shared" si="315"/>
        <v>0</v>
      </c>
      <c r="AN190" s="223">
        <f t="shared" si="315"/>
        <v>0</v>
      </c>
      <c r="AO190" s="223">
        <f t="shared" si="315"/>
        <v>0</v>
      </c>
      <c r="AP190" s="223">
        <f t="shared" si="315"/>
        <v>0</v>
      </c>
      <c r="AQ190" s="223">
        <f t="shared" ref="AQ190:AQ230" si="316">SUM(G190:AP190)</f>
        <v>4968500</v>
      </c>
      <c r="AR190" s="231">
        <f t="shared" ref="AR190:AR231" si="317">AQ190/F190/100</f>
        <v>1.9873999999999998E-3</v>
      </c>
      <c r="AS190" s="232">
        <f t="shared" ref="AS190:AS231" si="318">F190-AQ190</f>
        <v>20031500</v>
      </c>
      <c r="AT190" s="231">
        <f t="shared" ref="AT190:AT231" si="319">AS190/F190*100</f>
        <v>80.125999999999991</v>
      </c>
      <c r="AU190" s="220" t="s">
        <v>576</v>
      </c>
      <c r="AV190" s="220" t="s">
        <v>546</v>
      </c>
      <c r="AW190" s="220" t="s">
        <v>4732</v>
      </c>
      <c r="AX190" s="223">
        <f>SUM(AX191:AX192)</f>
        <v>0</v>
      </c>
      <c r="AY190" s="223">
        <f>SUM(AY191:AY192)</f>
        <v>0</v>
      </c>
      <c r="AZ190" s="223">
        <f>SUM(AZ191:AZ192)</f>
        <v>2469500</v>
      </c>
      <c r="BA190" s="223">
        <f t="shared" ref="BA190" si="320">SUM(BA191:BA192)</f>
        <v>0</v>
      </c>
      <c r="BB190" s="223">
        <f t="shared" ref="BB190" si="321">SUM(BB191:BB192)</f>
        <v>0</v>
      </c>
      <c r="BC190" s="223">
        <f t="shared" ref="BC190:BD190" si="322">SUM(BC191:BC192)</f>
        <v>2499000</v>
      </c>
      <c r="BD190" s="223">
        <f t="shared" si="322"/>
        <v>0</v>
      </c>
      <c r="BE190" s="223">
        <f t="shared" ref="BE190" si="323">SUM(BE191:BE192)</f>
        <v>0</v>
      </c>
    </row>
    <row r="191" spans="2:57" x14ac:dyDescent="0.3">
      <c r="B191" s="288">
        <v>521211</v>
      </c>
      <c r="C191" s="220" t="s">
        <v>7</v>
      </c>
      <c r="D191" s="220"/>
      <c r="E191" s="220"/>
      <c r="F191" s="221">
        <v>10000000</v>
      </c>
      <c r="G191" s="221"/>
      <c r="H191" s="221"/>
      <c r="I191" s="221"/>
      <c r="J191" s="221"/>
      <c r="K191" s="221"/>
      <c r="L191" s="221"/>
      <c r="M191" s="221"/>
      <c r="N191" s="302">
        <v>2469500</v>
      </c>
      <c r="O191" s="221"/>
      <c r="P191" s="221"/>
      <c r="Q191" s="221"/>
      <c r="R191" s="221"/>
      <c r="S191" s="221"/>
      <c r="T191" s="221">
        <v>2499000</v>
      </c>
      <c r="U191" s="221"/>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f t="shared" si="316"/>
        <v>4968500</v>
      </c>
      <c r="AR191" s="224">
        <f t="shared" si="317"/>
        <v>4.9684999999999998E-3</v>
      </c>
      <c r="AS191" s="225">
        <f t="shared" si="318"/>
        <v>5031500</v>
      </c>
      <c r="AT191" s="224">
        <f t="shared" si="319"/>
        <v>50.314999999999998</v>
      </c>
      <c r="AU191" s="220" t="s">
        <v>576</v>
      </c>
      <c r="AV191" s="220" t="s">
        <v>546</v>
      </c>
      <c r="AW191" s="220" t="s">
        <v>4732</v>
      </c>
      <c r="AX191" s="221"/>
      <c r="AY191" s="221"/>
      <c r="AZ191" s="302">
        <v>2469500</v>
      </c>
      <c r="BA191" s="221"/>
      <c r="BB191" s="221"/>
      <c r="BC191" s="221">
        <v>2499000</v>
      </c>
      <c r="BD191" s="221"/>
      <c r="BE191" s="221"/>
    </row>
    <row r="192" spans="2:57" x14ac:dyDescent="0.3">
      <c r="B192" s="288">
        <v>524111</v>
      </c>
      <c r="C192" s="220" t="s">
        <v>19</v>
      </c>
      <c r="D192" s="220"/>
      <c r="E192" s="220"/>
      <c r="F192" s="221">
        <v>15000000</v>
      </c>
      <c r="G192" s="221"/>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f t="shared" si="316"/>
        <v>0</v>
      </c>
      <c r="AR192" s="224">
        <f t="shared" si="317"/>
        <v>0</v>
      </c>
      <c r="AS192" s="225">
        <f t="shared" si="318"/>
        <v>15000000</v>
      </c>
      <c r="AT192" s="224">
        <f t="shared" si="319"/>
        <v>100</v>
      </c>
      <c r="AU192" s="220" t="s">
        <v>576</v>
      </c>
      <c r="AV192" s="220" t="s">
        <v>546</v>
      </c>
      <c r="AW192" s="220" t="s">
        <v>4732</v>
      </c>
      <c r="AX192" s="221"/>
      <c r="AY192" s="221"/>
      <c r="AZ192" s="302"/>
      <c r="BA192" s="221"/>
      <c r="BB192" s="221"/>
      <c r="BC192" s="221"/>
      <c r="BD192" s="221"/>
      <c r="BE192" s="221"/>
    </row>
    <row r="193" spans="2:61" x14ac:dyDescent="0.3">
      <c r="B193" s="290" t="s">
        <v>514</v>
      </c>
      <c r="C193" s="222" t="s">
        <v>3350</v>
      </c>
      <c r="D193" s="222"/>
      <c r="E193" s="222"/>
      <c r="F193" s="223">
        <f t="shared" ref="F193:AP193" si="324">SUM(F194:F196)</f>
        <v>80940000</v>
      </c>
      <c r="G193" s="223">
        <f t="shared" si="324"/>
        <v>0</v>
      </c>
      <c r="H193" s="223">
        <f t="shared" si="324"/>
        <v>0</v>
      </c>
      <c r="I193" s="223">
        <f t="shared" si="324"/>
        <v>0</v>
      </c>
      <c r="J193" s="223">
        <f t="shared" si="324"/>
        <v>0</v>
      </c>
      <c r="K193" s="223">
        <f t="shared" si="324"/>
        <v>0</v>
      </c>
      <c r="L193" s="223">
        <f t="shared" si="324"/>
        <v>0</v>
      </c>
      <c r="M193" s="223">
        <f t="shared" si="324"/>
        <v>0</v>
      </c>
      <c r="N193" s="223">
        <f t="shared" si="324"/>
        <v>0</v>
      </c>
      <c r="O193" s="223">
        <f t="shared" si="324"/>
        <v>2500000</v>
      </c>
      <c r="P193" s="223">
        <f t="shared" si="324"/>
        <v>0</v>
      </c>
      <c r="Q193" s="223">
        <f t="shared" si="324"/>
        <v>14993200</v>
      </c>
      <c r="R193" s="223">
        <f t="shared" si="324"/>
        <v>0</v>
      </c>
      <c r="S193" s="223">
        <f t="shared" si="324"/>
        <v>0</v>
      </c>
      <c r="T193" s="223">
        <f t="shared" si="324"/>
        <v>5085000</v>
      </c>
      <c r="U193" s="223">
        <f t="shared" si="324"/>
        <v>9041268</v>
      </c>
      <c r="V193" s="223">
        <f t="shared" si="324"/>
        <v>0</v>
      </c>
      <c r="W193" s="223">
        <f t="shared" si="324"/>
        <v>0</v>
      </c>
      <c r="X193" s="223">
        <f t="shared" si="324"/>
        <v>0</v>
      </c>
      <c r="Y193" s="223">
        <f t="shared" si="324"/>
        <v>0</v>
      </c>
      <c r="Z193" s="223">
        <f t="shared" si="324"/>
        <v>0</v>
      </c>
      <c r="AA193" s="223">
        <f t="shared" si="324"/>
        <v>0</v>
      </c>
      <c r="AB193" s="223">
        <f t="shared" si="324"/>
        <v>0</v>
      </c>
      <c r="AC193" s="223">
        <f t="shared" si="324"/>
        <v>0</v>
      </c>
      <c r="AD193" s="223">
        <f t="shared" si="324"/>
        <v>0</v>
      </c>
      <c r="AE193" s="223">
        <f t="shared" si="324"/>
        <v>0</v>
      </c>
      <c r="AF193" s="223">
        <f t="shared" si="324"/>
        <v>0</v>
      </c>
      <c r="AG193" s="223">
        <f t="shared" si="324"/>
        <v>0</v>
      </c>
      <c r="AH193" s="223">
        <f t="shared" si="324"/>
        <v>0</v>
      </c>
      <c r="AI193" s="223">
        <f t="shared" si="324"/>
        <v>0</v>
      </c>
      <c r="AJ193" s="223">
        <f t="shared" si="324"/>
        <v>0</v>
      </c>
      <c r="AK193" s="223">
        <f t="shared" si="324"/>
        <v>0</v>
      </c>
      <c r="AL193" s="223">
        <f t="shared" si="324"/>
        <v>0</v>
      </c>
      <c r="AM193" s="223">
        <f t="shared" si="324"/>
        <v>0</v>
      </c>
      <c r="AN193" s="223">
        <f t="shared" si="324"/>
        <v>0</v>
      </c>
      <c r="AO193" s="223">
        <f t="shared" si="324"/>
        <v>0</v>
      </c>
      <c r="AP193" s="223">
        <f t="shared" si="324"/>
        <v>0</v>
      </c>
      <c r="AQ193" s="223">
        <f t="shared" si="316"/>
        <v>31619468</v>
      </c>
      <c r="AR193" s="231">
        <f t="shared" si="317"/>
        <v>3.9065317519149986E-3</v>
      </c>
      <c r="AS193" s="232">
        <f t="shared" si="318"/>
        <v>49320532</v>
      </c>
      <c r="AT193" s="231">
        <f t="shared" si="319"/>
        <v>60.934682480850014</v>
      </c>
      <c r="AU193" s="220" t="s">
        <v>576</v>
      </c>
      <c r="AV193" s="220" t="s">
        <v>546</v>
      </c>
      <c r="AW193" s="220" t="s">
        <v>4732</v>
      </c>
      <c r="AX193" s="223">
        <f>SUM(AX194:AX196)</f>
        <v>0</v>
      </c>
      <c r="AY193" s="223">
        <f>SUM(AY194:AY196)</f>
        <v>2500000</v>
      </c>
      <c r="AZ193" s="223">
        <f>SUM(AZ194:AZ196)</f>
        <v>0</v>
      </c>
      <c r="BA193" s="223">
        <f t="shared" ref="BA193" si="325">SUM(BA194:BA196)</f>
        <v>14993200</v>
      </c>
      <c r="BB193" s="223">
        <f t="shared" ref="BB193" si="326">SUM(BB194:BB196)</f>
        <v>2590000</v>
      </c>
      <c r="BC193" s="223">
        <f t="shared" ref="BC193:BD193" si="327">SUM(BC194:BC196)</f>
        <v>2495000</v>
      </c>
      <c r="BD193" s="223">
        <f t="shared" si="327"/>
        <v>9041268</v>
      </c>
      <c r="BE193" s="223">
        <f t="shared" ref="BE193" si="328">SUM(BE194:BE196)</f>
        <v>0</v>
      </c>
    </row>
    <row r="194" spans="2:61" x14ac:dyDescent="0.3">
      <c r="B194" s="288">
        <v>521211</v>
      </c>
      <c r="C194" s="220" t="s">
        <v>7</v>
      </c>
      <c r="D194" s="220"/>
      <c r="E194" s="220"/>
      <c r="F194" s="221">
        <v>35340000</v>
      </c>
      <c r="G194" s="221"/>
      <c r="H194" s="221"/>
      <c r="I194" s="221"/>
      <c r="J194" s="221"/>
      <c r="K194" s="221"/>
      <c r="L194" s="221"/>
      <c r="M194" s="221"/>
      <c r="N194" s="221"/>
      <c r="O194" s="221">
        <v>2500000</v>
      </c>
      <c r="P194" s="221"/>
      <c r="Q194" s="221">
        <v>3400000</v>
      </c>
      <c r="R194" s="221"/>
      <c r="S194" s="221"/>
      <c r="T194" s="221">
        <f>2590000+2495000</f>
        <v>5085000</v>
      </c>
      <c r="U194" s="221"/>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f t="shared" si="316"/>
        <v>10985000</v>
      </c>
      <c r="AR194" s="224">
        <f t="shared" si="317"/>
        <v>3.1083757781550652E-3</v>
      </c>
      <c r="AS194" s="225">
        <f t="shared" si="318"/>
        <v>24355000</v>
      </c>
      <c r="AT194" s="224">
        <f t="shared" si="319"/>
        <v>68.916242218449355</v>
      </c>
      <c r="AU194" s="220" t="s">
        <v>576</v>
      </c>
      <c r="AV194" s="220" t="s">
        <v>546</v>
      </c>
      <c r="AW194" s="220" t="s">
        <v>4732</v>
      </c>
      <c r="AX194" s="221"/>
      <c r="AY194" s="221">
        <v>2500000</v>
      </c>
      <c r="AZ194" s="302"/>
      <c r="BA194" s="221">
        <v>3400000</v>
      </c>
      <c r="BB194" s="221">
        <v>2590000</v>
      </c>
      <c r="BC194" s="221">
        <v>2495000</v>
      </c>
      <c r="BD194" s="221"/>
      <c r="BE194" s="221"/>
    </row>
    <row r="195" spans="2:61" x14ac:dyDescent="0.3">
      <c r="B195" s="288">
        <v>522151</v>
      </c>
      <c r="C195" s="220" t="s">
        <v>11</v>
      </c>
      <c r="D195" s="220"/>
      <c r="E195" s="220"/>
      <c r="F195" s="221">
        <v>3600000</v>
      </c>
      <c r="G195" s="221"/>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f t="shared" si="316"/>
        <v>0</v>
      </c>
      <c r="AR195" s="224">
        <f t="shared" si="317"/>
        <v>0</v>
      </c>
      <c r="AS195" s="225">
        <f t="shared" si="318"/>
        <v>3600000</v>
      </c>
      <c r="AT195" s="224">
        <f t="shared" si="319"/>
        <v>100</v>
      </c>
      <c r="AU195" s="220" t="s">
        <v>576</v>
      </c>
      <c r="AV195" s="220" t="s">
        <v>546</v>
      </c>
      <c r="AW195" s="220" t="s">
        <v>4732</v>
      </c>
      <c r="AX195" s="221"/>
      <c r="AY195" s="221"/>
      <c r="AZ195" s="302"/>
      <c r="BA195" s="221"/>
      <c r="BB195" s="221"/>
      <c r="BC195" s="221"/>
      <c r="BD195" s="221"/>
      <c r="BE195" s="221"/>
    </row>
    <row r="196" spans="2:61" x14ac:dyDescent="0.3">
      <c r="B196" s="288">
        <v>524111</v>
      </c>
      <c r="C196" s="220" t="s">
        <v>19</v>
      </c>
      <c r="D196" s="220"/>
      <c r="E196" s="220"/>
      <c r="F196" s="221">
        <v>42000000</v>
      </c>
      <c r="G196" s="221"/>
      <c r="H196" s="221"/>
      <c r="I196" s="221"/>
      <c r="J196" s="221"/>
      <c r="K196" s="221"/>
      <c r="L196" s="221"/>
      <c r="M196" s="221"/>
      <c r="N196" s="221"/>
      <c r="O196" s="221"/>
      <c r="P196" s="221"/>
      <c r="Q196" s="221">
        <v>11593200</v>
      </c>
      <c r="R196" s="221"/>
      <c r="S196" s="221"/>
      <c r="T196" s="221"/>
      <c r="U196" s="221">
        <v>9041268</v>
      </c>
      <c r="V196" s="221"/>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f t="shared" si="316"/>
        <v>20634468</v>
      </c>
      <c r="AR196" s="224">
        <f t="shared" si="317"/>
        <v>4.9129685714285713E-3</v>
      </c>
      <c r="AS196" s="225">
        <f t="shared" si="318"/>
        <v>21365532</v>
      </c>
      <c r="AT196" s="224">
        <f t="shared" si="319"/>
        <v>50.870314285714294</v>
      </c>
      <c r="AU196" s="220" t="s">
        <v>576</v>
      </c>
      <c r="AV196" s="220" t="s">
        <v>546</v>
      </c>
      <c r="AW196" s="220" t="s">
        <v>4732</v>
      </c>
      <c r="AX196" s="221"/>
      <c r="AY196" s="221"/>
      <c r="AZ196" s="302"/>
      <c r="BA196" s="221">
        <v>11593200</v>
      </c>
      <c r="BB196" s="221"/>
      <c r="BC196" s="221"/>
      <c r="BD196" s="221">
        <v>9041268</v>
      </c>
      <c r="BE196" s="221"/>
    </row>
    <row r="197" spans="2:61" x14ac:dyDescent="0.3">
      <c r="B197" s="290" t="s">
        <v>519</v>
      </c>
      <c r="C197" s="222" t="s">
        <v>146</v>
      </c>
      <c r="D197" s="222"/>
      <c r="E197" s="222"/>
      <c r="F197" s="223">
        <f t="shared" ref="F197:AP197" si="329">SUM(F198:F199)</f>
        <v>27000000</v>
      </c>
      <c r="G197" s="223">
        <f t="shared" si="329"/>
        <v>0</v>
      </c>
      <c r="H197" s="223">
        <f t="shared" si="329"/>
        <v>0</v>
      </c>
      <c r="I197" s="223">
        <f t="shared" si="329"/>
        <v>0</v>
      </c>
      <c r="J197" s="223">
        <f t="shared" si="329"/>
        <v>0</v>
      </c>
      <c r="K197" s="223">
        <f t="shared" si="329"/>
        <v>0</v>
      </c>
      <c r="L197" s="223">
        <f t="shared" si="329"/>
        <v>0</v>
      </c>
      <c r="M197" s="223">
        <f t="shared" si="329"/>
        <v>0</v>
      </c>
      <c r="N197" s="223">
        <f t="shared" si="329"/>
        <v>0</v>
      </c>
      <c r="O197" s="223">
        <f t="shared" si="329"/>
        <v>2499500</v>
      </c>
      <c r="P197" s="223">
        <f t="shared" si="329"/>
        <v>0</v>
      </c>
      <c r="Q197" s="223">
        <f t="shared" si="329"/>
        <v>0</v>
      </c>
      <c r="R197" s="223">
        <f t="shared" si="329"/>
        <v>0</v>
      </c>
      <c r="S197" s="223">
        <f t="shared" si="329"/>
        <v>0</v>
      </c>
      <c r="T197" s="223">
        <f t="shared" si="329"/>
        <v>2444500</v>
      </c>
      <c r="U197" s="223">
        <f t="shared" si="329"/>
        <v>0</v>
      </c>
      <c r="V197" s="223">
        <f t="shared" si="329"/>
        <v>0</v>
      </c>
      <c r="W197" s="223">
        <f t="shared" si="329"/>
        <v>0</v>
      </c>
      <c r="X197" s="223">
        <f t="shared" si="329"/>
        <v>0</v>
      </c>
      <c r="Y197" s="223">
        <f t="shared" si="329"/>
        <v>0</v>
      </c>
      <c r="Z197" s="223">
        <f t="shared" si="329"/>
        <v>0</v>
      </c>
      <c r="AA197" s="223">
        <f t="shared" si="329"/>
        <v>0</v>
      </c>
      <c r="AB197" s="223">
        <f t="shared" si="329"/>
        <v>0</v>
      </c>
      <c r="AC197" s="223">
        <f t="shared" si="329"/>
        <v>0</v>
      </c>
      <c r="AD197" s="223">
        <f t="shared" si="329"/>
        <v>0</v>
      </c>
      <c r="AE197" s="223">
        <f t="shared" si="329"/>
        <v>0</v>
      </c>
      <c r="AF197" s="223">
        <f t="shared" si="329"/>
        <v>0</v>
      </c>
      <c r="AG197" s="223">
        <f t="shared" si="329"/>
        <v>0</v>
      </c>
      <c r="AH197" s="223">
        <f t="shared" si="329"/>
        <v>0</v>
      </c>
      <c r="AI197" s="223">
        <f t="shared" si="329"/>
        <v>0</v>
      </c>
      <c r="AJ197" s="223">
        <f t="shared" si="329"/>
        <v>0</v>
      </c>
      <c r="AK197" s="223">
        <f t="shared" si="329"/>
        <v>0</v>
      </c>
      <c r="AL197" s="223">
        <f t="shared" si="329"/>
        <v>0</v>
      </c>
      <c r="AM197" s="223">
        <f t="shared" si="329"/>
        <v>0</v>
      </c>
      <c r="AN197" s="223">
        <f t="shared" si="329"/>
        <v>0</v>
      </c>
      <c r="AO197" s="223">
        <f t="shared" si="329"/>
        <v>0</v>
      </c>
      <c r="AP197" s="223">
        <f t="shared" si="329"/>
        <v>0</v>
      </c>
      <c r="AQ197" s="223">
        <f t="shared" si="316"/>
        <v>4944000</v>
      </c>
      <c r="AR197" s="231">
        <f t="shared" si="317"/>
        <v>1.831111111111111E-3</v>
      </c>
      <c r="AS197" s="232">
        <f t="shared" si="318"/>
        <v>22056000</v>
      </c>
      <c r="AT197" s="231">
        <f t="shared" si="319"/>
        <v>81.688888888888883</v>
      </c>
      <c r="AU197" s="220" t="s">
        <v>576</v>
      </c>
      <c r="AV197" s="220" t="s">
        <v>546</v>
      </c>
      <c r="AW197" s="220" t="s">
        <v>4732</v>
      </c>
      <c r="AX197" s="223">
        <f>SUM(AX198:AX199)</f>
        <v>0</v>
      </c>
      <c r="AY197" s="223">
        <f>SUM(AY198:AY199)</f>
        <v>2499500</v>
      </c>
      <c r="AZ197" s="223">
        <f>SUM(AZ198:AZ199)</f>
        <v>0</v>
      </c>
      <c r="BA197" s="223">
        <f t="shared" ref="BA197" si="330">SUM(BA198:BA199)</f>
        <v>0</v>
      </c>
      <c r="BB197" s="223">
        <f t="shared" ref="BB197" si="331">SUM(BB198:BB199)</f>
        <v>0</v>
      </c>
      <c r="BC197" s="223">
        <f t="shared" ref="BC197:BD197" si="332">SUM(BC198:BC199)</f>
        <v>2444500</v>
      </c>
      <c r="BD197" s="223">
        <f t="shared" si="332"/>
        <v>0</v>
      </c>
      <c r="BE197" s="223">
        <f t="shared" ref="BE197" si="333">SUM(BE198:BE199)</f>
        <v>0</v>
      </c>
    </row>
    <row r="198" spans="2:61" x14ac:dyDescent="0.3">
      <c r="B198" s="288">
        <v>521211</v>
      </c>
      <c r="C198" s="220" t="s">
        <v>7</v>
      </c>
      <c r="D198" s="220"/>
      <c r="E198" s="220"/>
      <c r="F198" s="221">
        <v>15000000</v>
      </c>
      <c r="G198" s="221"/>
      <c r="H198" s="221"/>
      <c r="I198" s="221"/>
      <c r="J198" s="221"/>
      <c r="K198" s="221"/>
      <c r="L198" s="221"/>
      <c r="M198" s="221"/>
      <c r="N198" s="221"/>
      <c r="O198" s="221">
        <v>2499500</v>
      </c>
      <c r="P198" s="221"/>
      <c r="Q198" s="221"/>
      <c r="R198" s="221"/>
      <c r="S198" s="221"/>
      <c r="T198" s="221">
        <v>2444500</v>
      </c>
      <c r="U198" s="221"/>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f t="shared" si="316"/>
        <v>4944000</v>
      </c>
      <c r="AR198" s="224">
        <f t="shared" si="317"/>
        <v>3.2959999999999999E-3</v>
      </c>
      <c r="AS198" s="225">
        <f t="shared" si="318"/>
        <v>10056000</v>
      </c>
      <c r="AT198" s="224">
        <f t="shared" si="319"/>
        <v>67.040000000000006</v>
      </c>
      <c r="AU198" s="220" t="s">
        <v>576</v>
      </c>
      <c r="AV198" s="220" t="s">
        <v>546</v>
      </c>
      <c r="AW198" s="220" t="s">
        <v>4732</v>
      </c>
      <c r="AX198" s="221"/>
      <c r="AY198" s="221">
        <v>2499500</v>
      </c>
      <c r="AZ198" s="302"/>
      <c r="BA198" s="221"/>
      <c r="BB198" s="221"/>
      <c r="BC198" s="221">
        <v>2444500</v>
      </c>
      <c r="BD198" s="221"/>
      <c r="BE198" s="221"/>
    </row>
    <row r="199" spans="2:61" x14ac:dyDescent="0.3">
      <c r="B199" s="288">
        <v>524111</v>
      </c>
      <c r="C199" s="220" t="s">
        <v>19</v>
      </c>
      <c r="D199" s="220"/>
      <c r="E199" s="220"/>
      <c r="F199" s="221">
        <v>12000000</v>
      </c>
      <c r="G199" s="221"/>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f t="shared" si="316"/>
        <v>0</v>
      </c>
      <c r="AR199" s="224">
        <f t="shared" si="317"/>
        <v>0</v>
      </c>
      <c r="AS199" s="225">
        <f t="shared" si="318"/>
        <v>12000000</v>
      </c>
      <c r="AT199" s="224">
        <f t="shared" si="319"/>
        <v>100</v>
      </c>
      <c r="AU199" s="220" t="s">
        <v>576</v>
      </c>
      <c r="AV199" s="220" t="s">
        <v>546</v>
      </c>
      <c r="AW199" s="220" t="s">
        <v>4732</v>
      </c>
      <c r="AX199" s="221"/>
      <c r="AY199" s="221"/>
      <c r="AZ199" s="302"/>
      <c r="BA199" s="221"/>
      <c r="BB199" s="221"/>
      <c r="BC199" s="221"/>
      <c r="BD199" s="221"/>
      <c r="BE199" s="221"/>
    </row>
    <row r="200" spans="2:61" x14ac:dyDescent="0.3">
      <c r="B200" s="290" t="s">
        <v>578</v>
      </c>
      <c r="C200" s="222" t="s">
        <v>147</v>
      </c>
      <c r="D200" s="222"/>
      <c r="E200" s="222"/>
      <c r="F200" s="223">
        <f t="shared" ref="F200:AP200" si="334">SUM(F201:F203)</f>
        <v>88680000</v>
      </c>
      <c r="G200" s="223">
        <f t="shared" si="334"/>
        <v>0</v>
      </c>
      <c r="H200" s="223">
        <f t="shared" si="334"/>
        <v>0</v>
      </c>
      <c r="I200" s="223">
        <f t="shared" si="334"/>
        <v>0</v>
      </c>
      <c r="J200" s="223">
        <f t="shared" si="334"/>
        <v>0</v>
      </c>
      <c r="K200" s="223">
        <f t="shared" si="334"/>
        <v>0</v>
      </c>
      <c r="L200" s="223">
        <f t="shared" si="334"/>
        <v>0</v>
      </c>
      <c r="M200" s="223">
        <f t="shared" si="334"/>
        <v>0</v>
      </c>
      <c r="N200" s="223">
        <f t="shared" si="334"/>
        <v>13350000</v>
      </c>
      <c r="O200" s="223">
        <f t="shared" si="334"/>
        <v>37050000</v>
      </c>
      <c r="P200" s="223">
        <f t="shared" si="334"/>
        <v>0</v>
      </c>
      <c r="Q200" s="223">
        <f t="shared" si="334"/>
        <v>2490000</v>
      </c>
      <c r="R200" s="223">
        <f t="shared" si="334"/>
        <v>0</v>
      </c>
      <c r="S200" s="223">
        <f t="shared" si="334"/>
        <v>0</v>
      </c>
      <c r="T200" s="223">
        <f t="shared" si="334"/>
        <v>5600000</v>
      </c>
      <c r="U200" s="223">
        <f t="shared" si="334"/>
        <v>4170000</v>
      </c>
      <c r="V200" s="223">
        <f t="shared" si="334"/>
        <v>0</v>
      </c>
      <c r="W200" s="223">
        <f t="shared" si="334"/>
        <v>0</v>
      </c>
      <c r="X200" s="223">
        <f t="shared" si="334"/>
        <v>2030000</v>
      </c>
      <c r="Y200" s="223">
        <f t="shared" si="334"/>
        <v>0</v>
      </c>
      <c r="Z200" s="223">
        <f t="shared" si="334"/>
        <v>0</v>
      </c>
      <c r="AA200" s="223">
        <f t="shared" si="334"/>
        <v>0</v>
      </c>
      <c r="AB200" s="223">
        <f t="shared" si="334"/>
        <v>0</v>
      </c>
      <c r="AC200" s="223">
        <f t="shared" si="334"/>
        <v>0</v>
      </c>
      <c r="AD200" s="223">
        <f t="shared" si="334"/>
        <v>0</v>
      </c>
      <c r="AE200" s="223">
        <f t="shared" si="334"/>
        <v>0</v>
      </c>
      <c r="AF200" s="223">
        <f t="shared" si="334"/>
        <v>0</v>
      </c>
      <c r="AG200" s="223">
        <f t="shared" si="334"/>
        <v>0</v>
      </c>
      <c r="AH200" s="223">
        <f t="shared" si="334"/>
        <v>0</v>
      </c>
      <c r="AI200" s="223">
        <f t="shared" si="334"/>
        <v>0</v>
      </c>
      <c r="AJ200" s="223">
        <f t="shared" si="334"/>
        <v>0</v>
      </c>
      <c r="AK200" s="223">
        <f t="shared" si="334"/>
        <v>0</v>
      </c>
      <c r="AL200" s="223">
        <f t="shared" si="334"/>
        <v>0</v>
      </c>
      <c r="AM200" s="223">
        <f t="shared" si="334"/>
        <v>0</v>
      </c>
      <c r="AN200" s="223">
        <f t="shared" si="334"/>
        <v>0</v>
      </c>
      <c r="AO200" s="223">
        <f t="shared" si="334"/>
        <v>0</v>
      </c>
      <c r="AP200" s="223">
        <f t="shared" si="334"/>
        <v>0</v>
      </c>
      <c r="AQ200" s="223">
        <f t="shared" si="316"/>
        <v>64690000</v>
      </c>
      <c r="AR200" s="231">
        <f t="shared" si="317"/>
        <v>7.2947677041046459E-3</v>
      </c>
      <c r="AS200" s="232">
        <f t="shared" si="318"/>
        <v>23990000</v>
      </c>
      <c r="AT200" s="231">
        <f t="shared" si="319"/>
        <v>27.052322958953539</v>
      </c>
      <c r="AU200" s="220" t="s">
        <v>576</v>
      </c>
      <c r="AV200" s="220" t="s">
        <v>546</v>
      </c>
      <c r="AW200" s="220" t="s">
        <v>4732</v>
      </c>
      <c r="AX200" s="223">
        <f>SUM(AX201:AX203)</f>
        <v>0</v>
      </c>
      <c r="AY200" s="223">
        <f>SUM(AY201:AY203)</f>
        <v>37050000</v>
      </c>
      <c r="AZ200" s="223">
        <f>SUM(AZ201:AZ203)</f>
        <v>13350000</v>
      </c>
      <c r="BA200" s="223">
        <f t="shared" ref="BA200" si="335">SUM(BA201:BA203)</f>
        <v>2490000</v>
      </c>
      <c r="BB200" s="223">
        <f t="shared" ref="BB200" si="336">SUM(BB201:BB203)</f>
        <v>5600000</v>
      </c>
      <c r="BC200" s="223">
        <f t="shared" ref="BC200:BD200" si="337">SUM(BC201:BC203)</f>
        <v>0</v>
      </c>
      <c r="BD200" s="223">
        <f t="shared" si="337"/>
        <v>4170000</v>
      </c>
      <c r="BE200" s="223">
        <f t="shared" ref="BE200" si="338">SUM(BE201:BE203)</f>
        <v>2030000</v>
      </c>
    </row>
    <row r="201" spans="2:61" x14ac:dyDescent="0.3">
      <c r="B201" s="288">
        <v>521211</v>
      </c>
      <c r="C201" s="220" t="s">
        <v>7</v>
      </c>
      <c r="D201" s="220"/>
      <c r="E201" s="220"/>
      <c r="F201" s="221">
        <v>4800000</v>
      </c>
      <c r="G201" s="221"/>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f t="shared" si="316"/>
        <v>0</v>
      </c>
      <c r="AR201" s="224">
        <f t="shared" si="317"/>
        <v>0</v>
      </c>
      <c r="AS201" s="225">
        <f t="shared" si="318"/>
        <v>4800000</v>
      </c>
      <c r="AT201" s="224">
        <f t="shared" si="319"/>
        <v>100</v>
      </c>
      <c r="AU201" s="220" t="s">
        <v>576</v>
      </c>
      <c r="AV201" s="220" t="s">
        <v>546</v>
      </c>
      <c r="AW201" s="220" t="s">
        <v>4732</v>
      </c>
      <c r="AX201" s="221"/>
      <c r="AY201" s="221"/>
      <c r="AZ201" s="302"/>
      <c r="BA201" s="221"/>
      <c r="BB201" s="221"/>
      <c r="BC201" s="221"/>
      <c r="BD201" s="221"/>
      <c r="BE201" s="221"/>
    </row>
    <row r="202" spans="2:61" x14ac:dyDescent="0.3">
      <c r="B202" s="288">
        <v>521811</v>
      </c>
      <c r="C202" s="220" t="s">
        <v>64</v>
      </c>
      <c r="D202" s="220"/>
      <c r="E202" s="220"/>
      <c r="F202" s="221">
        <v>27500000</v>
      </c>
      <c r="G202" s="221"/>
      <c r="H202" s="221"/>
      <c r="I202" s="221"/>
      <c r="J202" s="221"/>
      <c r="K202" s="221"/>
      <c r="L202" s="221"/>
      <c r="M202" s="221"/>
      <c r="N202" s="302">
        <v>2490000</v>
      </c>
      <c r="O202" s="221">
        <v>2490000</v>
      </c>
      <c r="P202" s="221"/>
      <c r="Q202" s="221">
        <v>2490000</v>
      </c>
      <c r="R202" s="221"/>
      <c r="S202" s="221"/>
      <c r="T202" s="221"/>
      <c r="U202" s="221">
        <v>2490000</v>
      </c>
      <c r="V202" s="221"/>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f t="shared" si="316"/>
        <v>9960000</v>
      </c>
      <c r="AR202" s="224">
        <f t="shared" si="317"/>
        <v>3.6218181818181818E-3</v>
      </c>
      <c r="AS202" s="225">
        <f t="shared" si="318"/>
        <v>17540000</v>
      </c>
      <c r="AT202" s="224">
        <f t="shared" si="319"/>
        <v>63.781818181818181</v>
      </c>
      <c r="AU202" s="220" t="s">
        <v>576</v>
      </c>
      <c r="AV202" s="220" t="s">
        <v>546</v>
      </c>
      <c r="AW202" s="220" t="s">
        <v>4732</v>
      </c>
      <c r="AX202" s="221"/>
      <c r="AY202" s="221">
        <v>2490000</v>
      </c>
      <c r="AZ202" s="302">
        <v>2490000</v>
      </c>
      <c r="BA202" s="221">
        <v>2490000</v>
      </c>
      <c r="BB202" s="221"/>
      <c r="BC202" s="221"/>
      <c r="BD202" s="221">
        <v>2490000</v>
      </c>
      <c r="BE202" s="221"/>
    </row>
    <row r="203" spans="2:61" x14ac:dyDescent="0.3">
      <c r="B203" s="288">
        <v>524111</v>
      </c>
      <c r="C203" s="220" t="s">
        <v>19</v>
      </c>
      <c r="D203" s="220"/>
      <c r="E203" s="220"/>
      <c r="F203" s="221">
        <v>56380000</v>
      </c>
      <c r="G203" s="221"/>
      <c r="H203" s="221"/>
      <c r="I203" s="221"/>
      <c r="J203" s="221"/>
      <c r="K203" s="221"/>
      <c r="L203" s="221"/>
      <c r="M203" s="221"/>
      <c r="N203" s="302">
        <v>10860000</v>
      </c>
      <c r="O203" s="221">
        <v>34560000</v>
      </c>
      <c r="P203" s="221"/>
      <c r="Q203" s="221"/>
      <c r="R203" s="221"/>
      <c r="S203" s="221"/>
      <c r="T203" s="221">
        <v>5600000</v>
      </c>
      <c r="U203" s="221">
        <v>1680000</v>
      </c>
      <c r="V203" s="221"/>
      <c r="W203" s="221"/>
      <c r="X203" s="221">
        <v>2030000</v>
      </c>
      <c r="Y203" s="221"/>
      <c r="Z203" s="221"/>
      <c r="AA203" s="221"/>
      <c r="AB203" s="221"/>
      <c r="AC203" s="221"/>
      <c r="AD203" s="221"/>
      <c r="AE203" s="221"/>
      <c r="AF203" s="221"/>
      <c r="AG203" s="221"/>
      <c r="AH203" s="221"/>
      <c r="AI203" s="221"/>
      <c r="AJ203" s="221"/>
      <c r="AK203" s="221"/>
      <c r="AL203" s="221"/>
      <c r="AM203" s="221"/>
      <c r="AN203" s="221"/>
      <c r="AO203" s="221"/>
      <c r="AP203" s="221"/>
      <c r="AQ203" s="221">
        <f t="shared" si="316"/>
        <v>54730000</v>
      </c>
      <c r="AR203" s="224">
        <f t="shared" si="317"/>
        <v>9.7073430294430645E-3</v>
      </c>
      <c r="AS203" s="225">
        <f t="shared" si="318"/>
        <v>1650000</v>
      </c>
      <c r="AT203" s="224">
        <f t="shared" si="319"/>
        <v>2.9265697055693507</v>
      </c>
      <c r="AU203" s="220" t="s">
        <v>576</v>
      </c>
      <c r="AV203" s="220" t="s">
        <v>546</v>
      </c>
      <c r="AW203" s="220" t="s">
        <v>4732</v>
      </c>
      <c r="AX203" s="221"/>
      <c r="AY203" s="221">
        <v>34560000</v>
      </c>
      <c r="AZ203" s="302">
        <v>10860000</v>
      </c>
      <c r="BA203" s="221"/>
      <c r="BB203" s="221">
        <v>5600000</v>
      </c>
      <c r="BC203" s="221"/>
      <c r="BD203" s="221">
        <v>1680000</v>
      </c>
      <c r="BE203" s="221">
        <v>2030000</v>
      </c>
    </row>
    <row r="204" spans="2:61" x14ac:dyDescent="0.3">
      <c r="B204" s="226">
        <v>4345</v>
      </c>
      <c r="C204" s="227" t="s">
        <v>188</v>
      </c>
      <c r="D204" s="227"/>
      <c r="E204" s="227"/>
      <c r="F204" s="228">
        <f t="shared" ref="F204:U205" si="339">F205</f>
        <v>8582500000</v>
      </c>
      <c r="G204" s="228">
        <f t="shared" si="339"/>
        <v>0</v>
      </c>
      <c r="H204" s="228">
        <f t="shared" si="339"/>
        <v>0</v>
      </c>
      <c r="I204" s="228">
        <f t="shared" si="339"/>
        <v>0</v>
      </c>
      <c r="J204" s="228">
        <f t="shared" si="339"/>
        <v>0</v>
      </c>
      <c r="K204" s="228">
        <f t="shared" si="339"/>
        <v>0</v>
      </c>
      <c r="L204" s="228">
        <f t="shared" si="339"/>
        <v>0</v>
      </c>
      <c r="M204" s="228">
        <f t="shared" si="339"/>
        <v>0</v>
      </c>
      <c r="N204" s="228">
        <f t="shared" si="339"/>
        <v>0</v>
      </c>
      <c r="O204" s="228">
        <f t="shared" si="339"/>
        <v>0</v>
      </c>
      <c r="P204" s="228">
        <f t="shared" si="339"/>
        <v>1555695356</v>
      </c>
      <c r="Q204" s="228">
        <f t="shared" si="339"/>
        <v>0</v>
      </c>
      <c r="R204" s="228">
        <f t="shared" si="339"/>
        <v>0</v>
      </c>
      <c r="S204" s="228">
        <f t="shared" si="339"/>
        <v>0</v>
      </c>
      <c r="T204" s="228">
        <f t="shared" si="339"/>
        <v>0</v>
      </c>
      <c r="U204" s="228">
        <f t="shared" si="339"/>
        <v>37892633</v>
      </c>
      <c r="V204" s="228">
        <f t="shared" ref="G204:AP205" si="340">V205</f>
        <v>1880236423</v>
      </c>
      <c r="W204" s="228">
        <f t="shared" si="340"/>
        <v>0</v>
      </c>
      <c r="X204" s="228">
        <f t="shared" si="340"/>
        <v>2889500</v>
      </c>
      <c r="Y204" s="228">
        <f t="shared" si="340"/>
        <v>0</v>
      </c>
      <c r="Z204" s="228">
        <f t="shared" si="340"/>
        <v>0</v>
      </c>
      <c r="AA204" s="228">
        <f t="shared" si="340"/>
        <v>0</v>
      </c>
      <c r="AB204" s="228">
        <f t="shared" si="340"/>
        <v>0</v>
      </c>
      <c r="AC204" s="228">
        <f t="shared" si="340"/>
        <v>0</v>
      </c>
      <c r="AD204" s="228">
        <f t="shared" si="340"/>
        <v>0</v>
      </c>
      <c r="AE204" s="228">
        <f t="shared" si="340"/>
        <v>0</v>
      </c>
      <c r="AF204" s="228">
        <f t="shared" si="340"/>
        <v>0</v>
      </c>
      <c r="AG204" s="228">
        <f t="shared" si="340"/>
        <v>0</v>
      </c>
      <c r="AH204" s="228">
        <f t="shared" si="340"/>
        <v>0</v>
      </c>
      <c r="AI204" s="228">
        <f t="shared" si="340"/>
        <v>0</v>
      </c>
      <c r="AJ204" s="228">
        <f t="shared" si="340"/>
        <v>0</v>
      </c>
      <c r="AK204" s="228">
        <f t="shared" si="340"/>
        <v>0</v>
      </c>
      <c r="AL204" s="228">
        <f t="shared" si="340"/>
        <v>0</v>
      </c>
      <c r="AM204" s="228">
        <f t="shared" si="340"/>
        <v>0</v>
      </c>
      <c r="AN204" s="228">
        <f t="shared" si="340"/>
        <v>0</v>
      </c>
      <c r="AO204" s="228">
        <f t="shared" si="340"/>
        <v>0</v>
      </c>
      <c r="AP204" s="228">
        <f t="shared" si="340"/>
        <v>0</v>
      </c>
      <c r="AQ204" s="228">
        <f t="shared" si="316"/>
        <v>3476713912</v>
      </c>
      <c r="AR204" s="229">
        <f t="shared" si="317"/>
        <v>4.0509337745412181E-3</v>
      </c>
      <c r="AS204" s="230">
        <f t="shared" si="318"/>
        <v>5105786088</v>
      </c>
      <c r="AT204" s="229">
        <f t="shared" si="319"/>
        <v>59.490662254587825</v>
      </c>
      <c r="AU204" s="220" t="s">
        <v>542</v>
      </c>
      <c r="AV204" s="220" t="s">
        <v>543</v>
      </c>
      <c r="AW204" s="220" t="s">
        <v>4732</v>
      </c>
      <c r="AX204" s="228">
        <f t="shared" ref="AX204:BE205" si="341">AX205</f>
        <v>0</v>
      </c>
      <c r="AY204" s="228">
        <f t="shared" si="341"/>
        <v>0</v>
      </c>
      <c r="AZ204" s="228">
        <f t="shared" si="341"/>
        <v>0</v>
      </c>
      <c r="BA204" s="228">
        <f t="shared" si="341"/>
        <v>0</v>
      </c>
      <c r="BB204" s="228">
        <f t="shared" si="341"/>
        <v>0</v>
      </c>
      <c r="BC204" s="228">
        <f>BC205</f>
        <v>0</v>
      </c>
      <c r="BD204" s="228">
        <f t="shared" si="341"/>
        <v>37892633</v>
      </c>
      <c r="BE204" s="228">
        <f t="shared" si="341"/>
        <v>2889500</v>
      </c>
      <c r="BI204" t="s">
        <v>4644</v>
      </c>
    </row>
    <row r="205" spans="2:61" x14ac:dyDescent="0.3">
      <c r="B205" s="226" t="s">
        <v>3474</v>
      </c>
      <c r="C205" s="227" t="s">
        <v>2312</v>
      </c>
      <c r="D205" s="227">
        <v>4725</v>
      </c>
      <c r="E205" s="227" t="s">
        <v>155</v>
      </c>
      <c r="F205" s="228">
        <f t="shared" si="339"/>
        <v>8582500000</v>
      </c>
      <c r="G205" s="228">
        <f t="shared" si="340"/>
        <v>0</v>
      </c>
      <c r="H205" s="228">
        <f t="shared" si="340"/>
        <v>0</v>
      </c>
      <c r="I205" s="228">
        <f t="shared" si="340"/>
        <v>0</v>
      </c>
      <c r="J205" s="228">
        <f t="shared" si="340"/>
        <v>0</v>
      </c>
      <c r="K205" s="228">
        <f t="shared" si="340"/>
        <v>0</v>
      </c>
      <c r="L205" s="228">
        <f t="shared" si="340"/>
        <v>0</v>
      </c>
      <c r="M205" s="228">
        <f t="shared" si="340"/>
        <v>0</v>
      </c>
      <c r="N205" s="228">
        <f t="shared" si="340"/>
        <v>0</v>
      </c>
      <c r="O205" s="228">
        <f t="shared" si="340"/>
        <v>0</v>
      </c>
      <c r="P205" s="228">
        <f t="shared" si="340"/>
        <v>1555695356</v>
      </c>
      <c r="Q205" s="228">
        <f t="shared" si="340"/>
        <v>0</v>
      </c>
      <c r="R205" s="228">
        <f t="shared" si="340"/>
        <v>0</v>
      </c>
      <c r="S205" s="228">
        <f t="shared" si="340"/>
        <v>0</v>
      </c>
      <c r="T205" s="228">
        <f t="shared" si="340"/>
        <v>0</v>
      </c>
      <c r="U205" s="228">
        <f t="shared" si="340"/>
        <v>37892633</v>
      </c>
      <c r="V205" s="228">
        <f t="shared" si="340"/>
        <v>1880236423</v>
      </c>
      <c r="W205" s="228">
        <f t="shared" si="340"/>
        <v>0</v>
      </c>
      <c r="X205" s="228">
        <f t="shared" si="340"/>
        <v>2889500</v>
      </c>
      <c r="Y205" s="228">
        <f t="shared" si="340"/>
        <v>0</v>
      </c>
      <c r="Z205" s="228">
        <f t="shared" si="340"/>
        <v>0</v>
      </c>
      <c r="AA205" s="228">
        <f t="shared" si="340"/>
        <v>0</v>
      </c>
      <c r="AB205" s="228">
        <f t="shared" si="340"/>
        <v>0</v>
      </c>
      <c r="AC205" s="228">
        <f t="shared" si="340"/>
        <v>0</v>
      </c>
      <c r="AD205" s="228">
        <f t="shared" si="340"/>
        <v>0</v>
      </c>
      <c r="AE205" s="228">
        <f t="shared" si="340"/>
        <v>0</v>
      </c>
      <c r="AF205" s="228">
        <f t="shared" si="340"/>
        <v>0</v>
      </c>
      <c r="AG205" s="228">
        <f t="shared" si="340"/>
        <v>0</v>
      </c>
      <c r="AH205" s="228">
        <f t="shared" si="340"/>
        <v>0</v>
      </c>
      <c r="AI205" s="228">
        <f t="shared" si="340"/>
        <v>0</v>
      </c>
      <c r="AJ205" s="228">
        <f t="shared" si="340"/>
        <v>0</v>
      </c>
      <c r="AK205" s="228">
        <f t="shared" si="340"/>
        <v>0</v>
      </c>
      <c r="AL205" s="228">
        <f t="shared" si="340"/>
        <v>0</v>
      </c>
      <c r="AM205" s="228">
        <f t="shared" si="340"/>
        <v>0</v>
      </c>
      <c r="AN205" s="228">
        <f t="shared" si="340"/>
        <v>0</v>
      </c>
      <c r="AO205" s="228">
        <f t="shared" si="340"/>
        <v>0</v>
      </c>
      <c r="AP205" s="228">
        <f t="shared" si="340"/>
        <v>0</v>
      </c>
      <c r="AQ205" s="228">
        <f t="shared" si="316"/>
        <v>3476713912</v>
      </c>
      <c r="AR205" s="229">
        <f t="shared" si="317"/>
        <v>4.0509337745412181E-3</v>
      </c>
      <c r="AS205" s="230">
        <f t="shared" si="318"/>
        <v>5105786088</v>
      </c>
      <c r="AT205" s="229">
        <f t="shared" si="319"/>
        <v>59.490662254587825</v>
      </c>
      <c r="AU205" s="220" t="s">
        <v>542</v>
      </c>
      <c r="AV205" s="220" t="s">
        <v>543</v>
      </c>
      <c r="AW205" s="220" t="s">
        <v>4732</v>
      </c>
      <c r="AX205" s="228">
        <f t="shared" si="341"/>
        <v>0</v>
      </c>
      <c r="AY205" s="228">
        <f t="shared" si="341"/>
        <v>0</v>
      </c>
      <c r="AZ205" s="228">
        <f t="shared" si="341"/>
        <v>0</v>
      </c>
      <c r="BA205" s="228">
        <f t="shared" si="341"/>
        <v>0</v>
      </c>
      <c r="BB205" s="228">
        <f t="shared" si="341"/>
        <v>0</v>
      </c>
      <c r="BC205" s="228">
        <f t="shared" si="341"/>
        <v>0</v>
      </c>
      <c r="BD205" s="228">
        <f t="shared" si="341"/>
        <v>37892633</v>
      </c>
      <c r="BE205" s="228">
        <f t="shared" si="341"/>
        <v>2889500</v>
      </c>
    </row>
    <row r="206" spans="2:61" x14ac:dyDescent="0.3">
      <c r="B206" s="226" t="s">
        <v>4611</v>
      </c>
      <c r="C206" s="227" t="s">
        <v>3477</v>
      </c>
      <c r="D206" s="227">
        <v>4725</v>
      </c>
      <c r="E206" s="227" t="s">
        <v>155</v>
      </c>
      <c r="F206" s="228">
        <f>F207+F227</f>
        <v>8582500000</v>
      </c>
      <c r="G206" s="228">
        <f t="shared" ref="G206:AP206" si="342">G207+G227</f>
        <v>0</v>
      </c>
      <c r="H206" s="228">
        <f t="shared" si="342"/>
        <v>0</v>
      </c>
      <c r="I206" s="228">
        <f t="shared" si="342"/>
        <v>0</v>
      </c>
      <c r="J206" s="228">
        <f t="shared" si="342"/>
        <v>0</v>
      </c>
      <c r="K206" s="228">
        <f t="shared" si="342"/>
        <v>0</v>
      </c>
      <c r="L206" s="228">
        <f t="shared" si="342"/>
        <v>0</v>
      </c>
      <c r="M206" s="228">
        <f t="shared" si="342"/>
        <v>0</v>
      </c>
      <c r="N206" s="228">
        <f t="shared" si="342"/>
        <v>0</v>
      </c>
      <c r="O206" s="228">
        <f t="shared" si="342"/>
        <v>0</v>
      </c>
      <c r="P206" s="228">
        <f t="shared" si="342"/>
        <v>1555695356</v>
      </c>
      <c r="Q206" s="228">
        <f t="shared" si="342"/>
        <v>0</v>
      </c>
      <c r="R206" s="228">
        <f t="shared" si="342"/>
        <v>0</v>
      </c>
      <c r="S206" s="228">
        <f t="shared" si="342"/>
        <v>0</v>
      </c>
      <c r="T206" s="228">
        <f t="shared" si="342"/>
        <v>0</v>
      </c>
      <c r="U206" s="228">
        <f t="shared" si="342"/>
        <v>37892633</v>
      </c>
      <c r="V206" s="228">
        <f t="shared" si="342"/>
        <v>1880236423</v>
      </c>
      <c r="W206" s="228">
        <f t="shared" si="342"/>
        <v>0</v>
      </c>
      <c r="X206" s="228">
        <f t="shared" si="342"/>
        <v>2889500</v>
      </c>
      <c r="Y206" s="228">
        <f t="shared" si="342"/>
        <v>0</v>
      </c>
      <c r="Z206" s="228">
        <f t="shared" si="342"/>
        <v>0</v>
      </c>
      <c r="AA206" s="228">
        <f t="shared" si="342"/>
        <v>0</v>
      </c>
      <c r="AB206" s="228">
        <f t="shared" si="342"/>
        <v>0</v>
      </c>
      <c r="AC206" s="228">
        <f t="shared" si="342"/>
        <v>0</v>
      </c>
      <c r="AD206" s="228">
        <f t="shared" si="342"/>
        <v>0</v>
      </c>
      <c r="AE206" s="228">
        <f t="shared" si="342"/>
        <v>0</v>
      </c>
      <c r="AF206" s="228">
        <f t="shared" si="342"/>
        <v>0</v>
      </c>
      <c r="AG206" s="228">
        <f t="shared" si="342"/>
        <v>0</v>
      </c>
      <c r="AH206" s="228">
        <f t="shared" si="342"/>
        <v>0</v>
      </c>
      <c r="AI206" s="228">
        <f t="shared" si="342"/>
        <v>0</v>
      </c>
      <c r="AJ206" s="228">
        <f t="shared" si="342"/>
        <v>0</v>
      </c>
      <c r="AK206" s="228">
        <f t="shared" si="342"/>
        <v>0</v>
      </c>
      <c r="AL206" s="228">
        <f t="shared" si="342"/>
        <v>0</v>
      </c>
      <c r="AM206" s="228">
        <f t="shared" si="342"/>
        <v>0</v>
      </c>
      <c r="AN206" s="228">
        <f t="shared" si="342"/>
        <v>0</v>
      </c>
      <c r="AO206" s="228">
        <f t="shared" si="342"/>
        <v>0</v>
      </c>
      <c r="AP206" s="228">
        <f t="shared" si="342"/>
        <v>0</v>
      </c>
      <c r="AQ206" s="228">
        <f t="shared" si="316"/>
        <v>3476713912</v>
      </c>
      <c r="AR206" s="229">
        <f t="shared" si="317"/>
        <v>4.0509337745412181E-3</v>
      </c>
      <c r="AS206" s="230">
        <f t="shared" si="318"/>
        <v>5105786088</v>
      </c>
      <c r="AT206" s="229">
        <f t="shared" si="319"/>
        <v>59.490662254587825</v>
      </c>
      <c r="AU206" s="220" t="s">
        <v>542</v>
      </c>
      <c r="AV206" s="220" t="s">
        <v>543</v>
      </c>
      <c r="AW206" s="220" t="s">
        <v>4732</v>
      </c>
      <c r="AX206" s="228">
        <f t="shared" ref="AX206:AZ206" si="343">AX207+AX227</f>
        <v>0</v>
      </c>
      <c r="AY206" s="228">
        <f t="shared" si="343"/>
        <v>0</v>
      </c>
      <c r="AZ206" s="228">
        <f t="shared" si="343"/>
        <v>0</v>
      </c>
      <c r="BA206" s="228">
        <f t="shared" ref="BA206" si="344">BA207+BA227</f>
        <v>0</v>
      </c>
      <c r="BB206" s="228">
        <f t="shared" ref="BB206" si="345">BB207+BB227</f>
        <v>0</v>
      </c>
      <c r="BC206" s="228">
        <f t="shared" ref="BC206:BD206" si="346">BC207+BC227</f>
        <v>0</v>
      </c>
      <c r="BD206" s="228">
        <f t="shared" si="346"/>
        <v>37892633</v>
      </c>
      <c r="BE206" s="228">
        <f t="shared" ref="BE206" si="347">BE207+BE227</f>
        <v>2889500</v>
      </c>
    </row>
    <row r="207" spans="2:61" x14ac:dyDescent="0.3">
      <c r="B207" s="226">
        <v>301</v>
      </c>
      <c r="C207" s="227" t="s">
        <v>189</v>
      </c>
      <c r="D207" s="227"/>
      <c r="E207" s="227"/>
      <c r="F207" s="228">
        <f>F208+F215+F221+F225</f>
        <v>8473300000</v>
      </c>
      <c r="G207" s="228">
        <f t="shared" ref="G207:AP207" si="348">G208+G215+G221+G225</f>
        <v>0</v>
      </c>
      <c r="H207" s="228">
        <f t="shared" si="348"/>
        <v>0</v>
      </c>
      <c r="I207" s="228">
        <f t="shared" si="348"/>
        <v>0</v>
      </c>
      <c r="J207" s="228">
        <f t="shared" si="348"/>
        <v>0</v>
      </c>
      <c r="K207" s="228">
        <f t="shared" si="348"/>
        <v>0</v>
      </c>
      <c r="L207" s="228">
        <f t="shared" si="348"/>
        <v>0</v>
      </c>
      <c r="M207" s="228">
        <f t="shared" si="348"/>
        <v>0</v>
      </c>
      <c r="N207" s="228">
        <f t="shared" si="348"/>
        <v>0</v>
      </c>
      <c r="O207" s="228">
        <f t="shared" si="348"/>
        <v>0</v>
      </c>
      <c r="P207" s="228">
        <f t="shared" si="348"/>
        <v>1555695356</v>
      </c>
      <c r="Q207" s="228">
        <f t="shared" si="348"/>
        <v>0</v>
      </c>
      <c r="R207" s="228">
        <f t="shared" si="348"/>
        <v>0</v>
      </c>
      <c r="S207" s="228">
        <f t="shared" si="348"/>
        <v>0</v>
      </c>
      <c r="T207" s="228">
        <f t="shared" si="348"/>
        <v>0</v>
      </c>
      <c r="U207" s="228">
        <f t="shared" si="348"/>
        <v>30086633</v>
      </c>
      <c r="V207" s="228">
        <f t="shared" si="348"/>
        <v>1880236423</v>
      </c>
      <c r="W207" s="228">
        <f t="shared" si="348"/>
        <v>0</v>
      </c>
      <c r="X207" s="228">
        <f t="shared" si="348"/>
        <v>2889500</v>
      </c>
      <c r="Y207" s="228">
        <f t="shared" si="348"/>
        <v>0</v>
      </c>
      <c r="Z207" s="228">
        <f t="shared" si="348"/>
        <v>0</v>
      </c>
      <c r="AA207" s="228">
        <f t="shared" si="348"/>
        <v>0</v>
      </c>
      <c r="AB207" s="228">
        <f t="shared" si="348"/>
        <v>0</v>
      </c>
      <c r="AC207" s="228">
        <f t="shared" si="348"/>
        <v>0</v>
      </c>
      <c r="AD207" s="228">
        <f t="shared" si="348"/>
        <v>0</v>
      </c>
      <c r="AE207" s="228">
        <f t="shared" si="348"/>
        <v>0</v>
      </c>
      <c r="AF207" s="228">
        <f t="shared" si="348"/>
        <v>0</v>
      </c>
      <c r="AG207" s="228">
        <f t="shared" si="348"/>
        <v>0</v>
      </c>
      <c r="AH207" s="228">
        <f t="shared" si="348"/>
        <v>0</v>
      </c>
      <c r="AI207" s="228">
        <f t="shared" si="348"/>
        <v>0</v>
      </c>
      <c r="AJ207" s="228">
        <f t="shared" si="348"/>
        <v>0</v>
      </c>
      <c r="AK207" s="228">
        <f t="shared" si="348"/>
        <v>0</v>
      </c>
      <c r="AL207" s="228">
        <f t="shared" si="348"/>
        <v>0</v>
      </c>
      <c r="AM207" s="228">
        <f t="shared" si="348"/>
        <v>0</v>
      </c>
      <c r="AN207" s="228">
        <f t="shared" si="348"/>
        <v>0</v>
      </c>
      <c r="AO207" s="228">
        <f t="shared" si="348"/>
        <v>0</v>
      </c>
      <c r="AP207" s="228">
        <f t="shared" si="348"/>
        <v>0</v>
      </c>
      <c r="AQ207" s="228">
        <f t="shared" si="316"/>
        <v>3468907912</v>
      </c>
      <c r="AR207" s="229">
        <f t="shared" si="317"/>
        <v>4.0939278816989836E-3</v>
      </c>
      <c r="AS207" s="230">
        <f t="shared" si="318"/>
        <v>5004392088</v>
      </c>
      <c r="AT207" s="229">
        <f t="shared" si="319"/>
        <v>59.060721183010159</v>
      </c>
      <c r="AU207" s="220" t="s">
        <v>542</v>
      </c>
      <c r="AV207" s="220" t="s">
        <v>543</v>
      </c>
      <c r="AW207" s="220" t="s">
        <v>4732</v>
      </c>
      <c r="AX207" s="228">
        <f t="shared" ref="AX207:AZ207" si="349">AX208+AX215+AX221+AX225</f>
        <v>0</v>
      </c>
      <c r="AY207" s="228">
        <f t="shared" si="349"/>
        <v>0</v>
      </c>
      <c r="AZ207" s="228">
        <f t="shared" si="349"/>
        <v>0</v>
      </c>
      <c r="BA207" s="228">
        <f t="shared" ref="BA207" si="350">BA208+BA215+BA221+BA225</f>
        <v>0</v>
      </c>
      <c r="BB207" s="228">
        <f t="shared" ref="BB207" si="351">BB208+BB215+BB221+BB225</f>
        <v>0</v>
      </c>
      <c r="BC207" s="228">
        <f t="shared" ref="BC207:BD207" si="352">BC208+BC215+BC221+BC225</f>
        <v>0</v>
      </c>
      <c r="BD207" s="228">
        <f t="shared" si="352"/>
        <v>30086633</v>
      </c>
      <c r="BE207" s="228">
        <f t="shared" ref="BE207" si="353">BE208+BE215+BE221+BE225</f>
        <v>2889500</v>
      </c>
    </row>
    <row r="208" spans="2:61" x14ac:dyDescent="0.3">
      <c r="B208" s="290" t="s">
        <v>8</v>
      </c>
      <c r="C208" s="222" t="s">
        <v>190</v>
      </c>
      <c r="D208" s="222"/>
      <c r="E208" s="222"/>
      <c r="F208" s="223">
        <f>SUM(F209:F214)</f>
        <v>1713564000</v>
      </c>
      <c r="G208" s="223">
        <f t="shared" ref="G208:AP208" si="354">SUM(G209:G214)</f>
        <v>0</v>
      </c>
      <c r="H208" s="223">
        <f t="shared" si="354"/>
        <v>0</v>
      </c>
      <c r="I208" s="223">
        <f t="shared" si="354"/>
        <v>0</v>
      </c>
      <c r="J208" s="223">
        <f t="shared" si="354"/>
        <v>0</v>
      </c>
      <c r="K208" s="223">
        <f t="shared" si="354"/>
        <v>0</v>
      </c>
      <c r="L208" s="223">
        <f t="shared" si="354"/>
        <v>0</v>
      </c>
      <c r="M208" s="223">
        <f t="shared" si="354"/>
        <v>0</v>
      </c>
      <c r="N208" s="223">
        <f t="shared" si="354"/>
        <v>0</v>
      </c>
      <c r="O208" s="223">
        <f t="shared" si="354"/>
        <v>0</v>
      </c>
      <c r="P208" s="223">
        <f t="shared" si="354"/>
        <v>5900000</v>
      </c>
      <c r="Q208" s="223">
        <f t="shared" si="354"/>
        <v>0</v>
      </c>
      <c r="R208" s="223">
        <f t="shared" si="354"/>
        <v>0</v>
      </c>
      <c r="S208" s="223">
        <f t="shared" si="354"/>
        <v>0</v>
      </c>
      <c r="T208" s="223">
        <f t="shared" si="354"/>
        <v>0</v>
      </c>
      <c r="U208" s="223">
        <f t="shared" si="354"/>
        <v>4855000</v>
      </c>
      <c r="V208" s="223">
        <f t="shared" si="354"/>
        <v>14635000</v>
      </c>
      <c r="W208" s="223">
        <f t="shared" si="354"/>
        <v>0</v>
      </c>
      <c r="X208" s="223">
        <f t="shared" si="354"/>
        <v>0</v>
      </c>
      <c r="Y208" s="223">
        <f t="shared" si="354"/>
        <v>0</v>
      </c>
      <c r="Z208" s="223">
        <f t="shared" si="354"/>
        <v>0</v>
      </c>
      <c r="AA208" s="223">
        <f t="shared" si="354"/>
        <v>0</v>
      </c>
      <c r="AB208" s="223">
        <f t="shared" si="354"/>
        <v>0</v>
      </c>
      <c r="AC208" s="223">
        <f t="shared" si="354"/>
        <v>0</v>
      </c>
      <c r="AD208" s="223">
        <f t="shared" si="354"/>
        <v>0</v>
      </c>
      <c r="AE208" s="223">
        <f t="shared" si="354"/>
        <v>0</v>
      </c>
      <c r="AF208" s="223">
        <f t="shared" si="354"/>
        <v>0</v>
      </c>
      <c r="AG208" s="223">
        <f t="shared" si="354"/>
        <v>0</v>
      </c>
      <c r="AH208" s="223">
        <f t="shared" si="354"/>
        <v>0</v>
      </c>
      <c r="AI208" s="223">
        <f t="shared" si="354"/>
        <v>0</v>
      </c>
      <c r="AJ208" s="223">
        <f t="shared" si="354"/>
        <v>0</v>
      </c>
      <c r="AK208" s="223">
        <f t="shared" si="354"/>
        <v>0</v>
      </c>
      <c r="AL208" s="223">
        <f t="shared" si="354"/>
        <v>0</v>
      </c>
      <c r="AM208" s="223">
        <f t="shared" si="354"/>
        <v>0</v>
      </c>
      <c r="AN208" s="223">
        <f t="shared" si="354"/>
        <v>0</v>
      </c>
      <c r="AO208" s="223">
        <f t="shared" si="354"/>
        <v>0</v>
      </c>
      <c r="AP208" s="223">
        <f t="shared" si="354"/>
        <v>0</v>
      </c>
      <c r="AQ208" s="223">
        <f t="shared" si="316"/>
        <v>25390000</v>
      </c>
      <c r="AR208" s="231">
        <f t="shared" si="317"/>
        <v>1.4817071320359204E-4</v>
      </c>
      <c r="AS208" s="232">
        <f t="shared" si="318"/>
        <v>1688174000</v>
      </c>
      <c r="AT208" s="231">
        <f t="shared" si="319"/>
        <v>98.518292867964078</v>
      </c>
      <c r="AU208" s="220" t="s">
        <v>542</v>
      </c>
      <c r="AV208" s="220" t="s">
        <v>543</v>
      </c>
      <c r="AW208" s="220" t="s">
        <v>4732</v>
      </c>
      <c r="AX208" s="223">
        <f t="shared" ref="AX208:AZ208" si="355">SUM(AX209:AX214)</f>
        <v>0</v>
      </c>
      <c r="AY208" s="223">
        <f t="shared" si="355"/>
        <v>0</v>
      </c>
      <c r="AZ208" s="223">
        <f t="shared" si="355"/>
        <v>0</v>
      </c>
      <c r="BA208" s="223">
        <f t="shared" ref="BA208" si="356">SUM(BA209:BA214)</f>
        <v>0</v>
      </c>
      <c r="BB208" s="223">
        <f t="shared" ref="BB208" si="357">SUM(BB209:BB214)</f>
        <v>0</v>
      </c>
      <c r="BC208" s="223">
        <f t="shared" ref="BC208:BD208" si="358">SUM(BC209:BC214)</f>
        <v>0</v>
      </c>
      <c r="BD208" s="223">
        <f t="shared" si="358"/>
        <v>4855000</v>
      </c>
      <c r="BE208" s="223">
        <f t="shared" ref="BE208" si="359">SUM(BE209:BE214)</f>
        <v>0</v>
      </c>
    </row>
    <row r="209" spans="2:57" x14ac:dyDescent="0.3">
      <c r="B209" s="288">
        <v>521211</v>
      </c>
      <c r="C209" s="220" t="s">
        <v>7</v>
      </c>
      <c r="D209" s="220"/>
      <c r="E209" s="220"/>
      <c r="F209" s="221">
        <v>99100000</v>
      </c>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f t="shared" si="316"/>
        <v>0</v>
      </c>
      <c r="AR209" s="224">
        <f t="shared" si="317"/>
        <v>0</v>
      </c>
      <c r="AS209" s="225">
        <f t="shared" si="318"/>
        <v>99100000</v>
      </c>
      <c r="AT209" s="224">
        <f t="shared" si="319"/>
        <v>100</v>
      </c>
      <c r="AU209" s="220" t="s">
        <v>542</v>
      </c>
      <c r="AV209" s="220" t="s">
        <v>543</v>
      </c>
      <c r="AW209" s="220" t="s">
        <v>4732</v>
      </c>
      <c r="AX209" s="221"/>
      <c r="AY209" s="221"/>
      <c r="AZ209" s="221"/>
      <c r="BA209" s="221"/>
      <c r="BB209" s="221"/>
      <c r="BC209" s="221"/>
      <c r="BD209" s="221"/>
      <c r="BE209" s="221"/>
    </row>
    <row r="210" spans="2:57" x14ac:dyDescent="0.3">
      <c r="B210" s="288">
        <v>521219</v>
      </c>
      <c r="C210" s="220" t="s">
        <v>53</v>
      </c>
      <c r="D210" s="220"/>
      <c r="E210" s="220"/>
      <c r="F210" s="221">
        <v>1333864000</v>
      </c>
      <c r="G210" s="221"/>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f t="shared" si="316"/>
        <v>0</v>
      </c>
      <c r="AR210" s="224">
        <f t="shared" si="317"/>
        <v>0</v>
      </c>
      <c r="AS210" s="225">
        <f t="shared" si="318"/>
        <v>1333864000</v>
      </c>
      <c r="AT210" s="224">
        <f t="shared" si="319"/>
        <v>100</v>
      </c>
      <c r="AU210" s="220" t="s">
        <v>542</v>
      </c>
      <c r="AV210" s="220" t="s">
        <v>543</v>
      </c>
      <c r="AW210" s="391" t="s">
        <v>4732</v>
      </c>
      <c r="AX210" s="221"/>
      <c r="AY210" s="221"/>
      <c r="AZ210" s="221"/>
      <c r="BA210" s="221"/>
      <c r="BB210" s="221"/>
      <c r="BC210" s="221"/>
      <c r="BD210" s="221"/>
      <c r="BE210" s="221"/>
    </row>
    <row r="211" spans="2:57" x14ac:dyDescent="0.3">
      <c r="B211" s="288">
        <v>521811</v>
      </c>
      <c r="C211" s="220" t="s">
        <v>64</v>
      </c>
      <c r="D211" s="220"/>
      <c r="E211" s="220"/>
      <c r="F211" s="221">
        <v>25000000</v>
      </c>
      <c r="G211" s="221"/>
      <c r="H211" s="221"/>
      <c r="I211" s="221"/>
      <c r="J211" s="221"/>
      <c r="K211" s="221"/>
      <c r="L211" s="221"/>
      <c r="M211" s="221"/>
      <c r="N211" s="221"/>
      <c r="O211" s="221"/>
      <c r="P211" s="221"/>
      <c r="Q211" s="221"/>
      <c r="R211" s="221"/>
      <c r="S211" s="221"/>
      <c r="T211" s="221"/>
      <c r="U211" s="221">
        <v>4855000</v>
      </c>
      <c r="V211" s="221"/>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f t="shared" si="316"/>
        <v>4855000</v>
      </c>
      <c r="AR211" s="224">
        <f t="shared" si="317"/>
        <v>1.9420000000000001E-3</v>
      </c>
      <c r="AS211" s="225">
        <f t="shared" si="318"/>
        <v>20145000</v>
      </c>
      <c r="AT211" s="224">
        <f t="shared" si="319"/>
        <v>80.58</v>
      </c>
      <c r="AU211" s="220" t="s">
        <v>542</v>
      </c>
      <c r="AV211" s="220" t="s">
        <v>543</v>
      </c>
      <c r="AW211" s="220" t="s">
        <v>4732</v>
      </c>
      <c r="AX211" s="221"/>
      <c r="AY211" s="221"/>
      <c r="AZ211" s="221"/>
      <c r="BA211" s="221"/>
      <c r="BB211" s="221"/>
      <c r="BC211" s="221"/>
      <c r="BD211" s="221">
        <v>4855000</v>
      </c>
      <c r="BE211" s="221"/>
    </row>
    <row r="212" spans="2:57" x14ac:dyDescent="0.3">
      <c r="B212" s="288">
        <v>522151</v>
      </c>
      <c r="C212" s="220" t="s">
        <v>11</v>
      </c>
      <c r="D212" s="220"/>
      <c r="E212" s="220"/>
      <c r="F212" s="221">
        <v>15000000</v>
      </c>
      <c r="G212" s="221"/>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f t="shared" si="316"/>
        <v>0</v>
      </c>
      <c r="AR212" s="224">
        <f t="shared" si="317"/>
        <v>0</v>
      </c>
      <c r="AS212" s="225">
        <f t="shared" si="318"/>
        <v>15000000</v>
      </c>
      <c r="AT212" s="224">
        <f t="shared" si="319"/>
        <v>100</v>
      </c>
      <c r="AU212" s="220" t="s">
        <v>542</v>
      </c>
      <c r="AV212" s="220" t="s">
        <v>543</v>
      </c>
      <c r="AW212" s="220" t="s">
        <v>4732</v>
      </c>
      <c r="AX212" s="221"/>
      <c r="AY212" s="221"/>
      <c r="AZ212" s="221"/>
      <c r="BA212" s="221"/>
      <c r="BB212" s="221"/>
      <c r="BC212" s="221"/>
      <c r="BD212" s="221"/>
      <c r="BE212" s="221"/>
    </row>
    <row r="213" spans="2:57" x14ac:dyDescent="0.3">
      <c r="B213" s="288">
        <v>522191</v>
      </c>
      <c r="C213" s="220" t="s">
        <v>22</v>
      </c>
      <c r="D213" s="220"/>
      <c r="E213" s="220"/>
      <c r="F213" s="221">
        <v>102600000</v>
      </c>
      <c r="G213" s="221"/>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f t="shared" si="316"/>
        <v>0</v>
      </c>
      <c r="AR213" s="224">
        <f t="shared" si="317"/>
        <v>0</v>
      </c>
      <c r="AS213" s="225">
        <f t="shared" si="318"/>
        <v>102600000</v>
      </c>
      <c r="AT213" s="224">
        <f t="shared" si="319"/>
        <v>100</v>
      </c>
      <c r="AU213" s="220" t="s">
        <v>542</v>
      </c>
      <c r="AV213" s="220" t="s">
        <v>543</v>
      </c>
      <c r="AW213" s="220" t="s">
        <v>4732</v>
      </c>
      <c r="AX213" s="221"/>
      <c r="AY213" s="221"/>
      <c r="AZ213" s="221"/>
      <c r="BA213" s="221"/>
      <c r="BB213" s="221"/>
      <c r="BC213" s="221"/>
      <c r="BD213" s="221"/>
      <c r="BE213" s="221"/>
    </row>
    <row r="214" spans="2:57" x14ac:dyDescent="0.3">
      <c r="B214" s="288">
        <v>524111</v>
      </c>
      <c r="C214" s="220" t="s">
        <v>19</v>
      </c>
      <c r="D214" s="220"/>
      <c r="E214" s="220"/>
      <c r="F214" s="221">
        <v>138000000</v>
      </c>
      <c r="G214" s="221"/>
      <c r="H214" s="221"/>
      <c r="I214" s="221"/>
      <c r="J214" s="221"/>
      <c r="K214" s="221"/>
      <c r="L214" s="221"/>
      <c r="M214" s="221"/>
      <c r="N214" s="221"/>
      <c r="O214" s="221"/>
      <c r="P214" s="221">
        <v>5900000</v>
      </c>
      <c r="Q214" s="221"/>
      <c r="R214" s="221"/>
      <c r="S214" s="221"/>
      <c r="T214" s="221"/>
      <c r="U214" s="221"/>
      <c r="V214" s="221">
        <v>14635000</v>
      </c>
      <c r="W214" s="221"/>
      <c r="X214" s="221"/>
      <c r="Y214" s="221"/>
      <c r="Z214" s="221"/>
      <c r="AA214" s="221"/>
      <c r="AB214" s="221"/>
      <c r="AC214" s="221"/>
      <c r="AD214" s="221"/>
      <c r="AE214" s="221"/>
      <c r="AF214" s="221"/>
      <c r="AG214" s="221"/>
      <c r="AH214" s="221"/>
      <c r="AI214" s="221"/>
      <c r="AJ214" s="221"/>
      <c r="AK214" s="221"/>
      <c r="AL214" s="221"/>
      <c r="AM214" s="221"/>
      <c r="AN214" s="221"/>
      <c r="AO214" s="221"/>
      <c r="AP214" s="221"/>
      <c r="AQ214" s="221">
        <f t="shared" si="316"/>
        <v>20535000</v>
      </c>
      <c r="AR214" s="224">
        <f t="shared" si="317"/>
        <v>1.4880434782608696E-3</v>
      </c>
      <c r="AS214" s="225">
        <f t="shared" si="318"/>
        <v>117465000</v>
      </c>
      <c r="AT214" s="224">
        <f t="shared" si="319"/>
        <v>85.119565217391298</v>
      </c>
      <c r="AU214" s="220" t="s">
        <v>542</v>
      </c>
      <c r="AV214" s="220" t="s">
        <v>543</v>
      </c>
      <c r="AW214" s="220" t="s">
        <v>4732</v>
      </c>
      <c r="AX214" s="221"/>
      <c r="AY214" s="221"/>
      <c r="AZ214" s="221"/>
      <c r="BA214" s="221"/>
      <c r="BB214" s="221"/>
      <c r="BC214" s="221"/>
      <c r="BD214" s="221"/>
      <c r="BE214" s="221"/>
    </row>
    <row r="215" spans="2:57" x14ac:dyDescent="0.3">
      <c r="B215" s="290" t="s">
        <v>511</v>
      </c>
      <c r="C215" s="222" t="s">
        <v>191</v>
      </c>
      <c r="D215" s="222"/>
      <c r="E215" s="222"/>
      <c r="F215" s="223">
        <f t="shared" ref="F215:AP215" si="360">SUM(F216:F220)</f>
        <v>6555695000</v>
      </c>
      <c r="G215" s="223">
        <f t="shared" si="360"/>
        <v>0</v>
      </c>
      <c r="H215" s="223">
        <f t="shared" si="360"/>
        <v>0</v>
      </c>
      <c r="I215" s="223">
        <f t="shared" si="360"/>
        <v>0</v>
      </c>
      <c r="J215" s="223">
        <f t="shared" si="360"/>
        <v>0</v>
      </c>
      <c r="K215" s="223">
        <f t="shared" si="360"/>
        <v>0</v>
      </c>
      <c r="L215" s="223">
        <f t="shared" si="360"/>
        <v>0</v>
      </c>
      <c r="M215" s="223">
        <f t="shared" si="360"/>
        <v>0</v>
      </c>
      <c r="N215" s="223">
        <f t="shared" si="360"/>
        <v>0</v>
      </c>
      <c r="O215" s="223">
        <f t="shared" si="360"/>
        <v>0</v>
      </c>
      <c r="P215" s="223">
        <f t="shared" si="360"/>
        <v>1549795356</v>
      </c>
      <c r="Q215" s="223">
        <f t="shared" si="360"/>
        <v>0</v>
      </c>
      <c r="R215" s="223">
        <f t="shared" si="360"/>
        <v>0</v>
      </c>
      <c r="S215" s="223">
        <f t="shared" si="360"/>
        <v>0</v>
      </c>
      <c r="T215" s="223">
        <f t="shared" si="360"/>
        <v>0</v>
      </c>
      <c r="U215" s="223">
        <f t="shared" si="360"/>
        <v>25231633</v>
      </c>
      <c r="V215" s="223">
        <f t="shared" si="360"/>
        <v>1865601423</v>
      </c>
      <c r="W215" s="223">
        <f t="shared" si="360"/>
        <v>0</v>
      </c>
      <c r="X215" s="223">
        <f t="shared" si="360"/>
        <v>2889500</v>
      </c>
      <c r="Y215" s="223">
        <f t="shared" si="360"/>
        <v>0</v>
      </c>
      <c r="Z215" s="223">
        <f t="shared" si="360"/>
        <v>0</v>
      </c>
      <c r="AA215" s="223">
        <f t="shared" si="360"/>
        <v>0</v>
      </c>
      <c r="AB215" s="223">
        <f t="shared" si="360"/>
        <v>0</v>
      </c>
      <c r="AC215" s="223">
        <f t="shared" si="360"/>
        <v>0</v>
      </c>
      <c r="AD215" s="223">
        <f t="shared" si="360"/>
        <v>0</v>
      </c>
      <c r="AE215" s="223">
        <f t="shared" si="360"/>
        <v>0</v>
      </c>
      <c r="AF215" s="223">
        <f t="shared" si="360"/>
        <v>0</v>
      </c>
      <c r="AG215" s="223">
        <f t="shared" si="360"/>
        <v>0</v>
      </c>
      <c r="AH215" s="223">
        <f t="shared" si="360"/>
        <v>0</v>
      </c>
      <c r="AI215" s="223">
        <f t="shared" si="360"/>
        <v>0</v>
      </c>
      <c r="AJ215" s="223">
        <f t="shared" si="360"/>
        <v>0</v>
      </c>
      <c r="AK215" s="223">
        <f t="shared" si="360"/>
        <v>0</v>
      </c>
      <c r="AL215" s="223">
        <f t="shared" si="360"/>
        <v>0</v>
      </c>
      <c r="AM215" s="223">
        <f t="shared" si="360"/>
        <v>0</v>
      </c>
      <c r="AN215" s="223">
        <f t="shared" si="360"/>
        <v>0</v>
      </c>
      <c r="AO215" s="223">
        <f t="shared" si="360"/>
        <v>0</v>
      </c>
      <c r="AP215" s="223">
        <f t="shared" si="360"/>
        <v>0</v>
      </c>
      <c r="AQ215" s="223">
        <f t="shared" si="316"/>
        <v>3443517912</v>
      </c>
      <c r="AR215" s="231">
        <f t="shared" si="317"/>
        <v>5.2527122021387507E-3</v>
      </c>
      <c r="AS215" s="232">
        <f t="shared" si="318"/>
        <v>3112177088</v>
      </c>
      <c r="AT215" s="231">
        <f t="shared" si="319"/>
        <v>47.472877978612487</v>
      </c>
      <c r="AU215" s="220" t="s">
        <v>542</v>
      </c>
      <c r="AV215" s="220" t="s">
        <v>543</v>
      </c>
      <c r="AW215" s="220" t="s">
        <v>4732</v>
      </c>
      <c r="AX215" s="223">
        <f t="shared" ref="AX215:BA215" si="361">SUM(AX216:AX220)</f>
        <v>0</v>
      </c>
      <c r="AY215" s="223">
        <f t="shared" si="361"/>
        <v>0</v>
      </c>
      <c r="AZ215" s="223">
        <f t="shared" si="361"/>
        <v>0</v>
      </c>
      <c r="BA215" s="223">
        <f t="shared" si="361"/>
        <v>0</v>
      </c>
      <c r="BB215" s="223">
        <f t="shared" ref="BB215" si="362">SUM(BB216:BB220)</f>
        <v>0</v>
      </c>
      <c r="BC215" s="223">
        <f t="shared" ref="BC215:BD215" si="363">SUM(BC216:BC220)</f>
        <v>0</v>
      </c>
      <c r="BD215" s="223">
        <f t="shared" si="363"/>
        <v>25231633</v>
      </c>
      <c r="BE215" s="223">
        <f t="shared" ref="BE215" si="364">SUM(BE216:BE220)</f>
        <v>2889500</v>
      </c>
    </row>
    <row r="216" spans="2:57" x14ac:dyDescent="0.3">
      <c r="B216" s="288">
        <v>521211</v>
      </c>
      <c r="C216" s="220" t="s">
        <v>7</v>
      </c>
      <c r="D216" s="220"/>
      <c r="E216" s="220"/>
      <c r="F216" s="221">
        <v>25000000</v>
      </c>
      <c r="G216" s="221"/>
      <c r="H216" s="221"/>
      <c r="I216" s="221"/>
      <c r="J216" s="221"/>
      <c r="K216" s="221"/>
      <c r="L216" s="221"/>
      <c r="M216" s="221"/>
      <c r="N216" s="221"/>
      <c r="O216" s="221"/>
      <c r="P216" s="221"/>
      <c r="Q216" s="221"/>
      <c r="R216" s="221"/>
      <c r="S216" s="221"/>
      <c r="T216" s="221"/>
      <c r="U216" s="221">
        <v>1475000</v>
      </c>
      <c r="V216" s="221"/>
      <c r="W216" s="221"/>
      <c r="X216" s="221">
        <v>1442500</v>
      </c>
      <c r="Y216" s="221"/>
      <c r="Z216" s="221"/>
      <c r="AA216" s="221"/>
      <c r="AB216" s="221"/>
      <c r="AC216" s="221"/>
      <c r="AD216" s="221"/>
      <c r="AE216" s="221"/>
      <c r="AF216" s="221"/>
      <c r="AG216" s="221"/>
      <c r="AH216" s="221"/>
      <c r="AI216" s="221"/>
      <c r="AJ216" s="221"/>
      <c r="AK216" s="221"/>
      <c r="AL216" s="221"/>
      <c r="AM216" s="221"/>
      <c r="AN216" s="221"/>
      <c r="AO216" s="221"/>
      <c r="AP216" s="221"/>
      <c r="AQ216" s="221">
        <f t="shared" si="316"/>
        <v>2917500</v>
      </c>
      <c r="AR216" s="224">
        <f t="shared" si="317"/>
        <v>1.1670000000000001E-3</v>
      </c>
      <c r="AS216" s="225">
        <f t="shared" si="318"/>
        <v>22082500</v>
      </c>
      <c r="AT216" s="224">
        <f t="shared" si="319"/>
        <v>88.33</v>
      </c>
      <c r="AU216" s="220" t="s">
        <v>542</v>
      </c>
      <c r="AV216" s="220" t="s">
        <v>543</v>
      </c>
      <c r="AW216" s="220" t="s">
        <v>4732</v>
      </c>
      <c r="AX216" s="221"/>
      <c r="AY216" s="221"/>
      <c r="AZ216" s="221"/>
      <c r="BA216" s="221"/>
      <c r="BB216" s="221"/>
      <c r="BC216" s="221"/>
      <c r="BD216" s="221">
        <v>1475000</v>
      </c>
      <c r="BE216" s="221">
        <v>1442500</v>
      </c>
    </row>
    <row r="217" spans="2:57" x14ac:dyDescent="0.3">
      <c r="B217" s="288">
        <v>521219</v>
      </c>
      <c r="C217" s="220" t="s">
        <v>53</v>
      </c>
      <c r="D217" s="220"/>
      <c r="E217" s="220"/>
      <c r="F217" s="221">
        <v>6308695000</v>
      </c>
      <c r="G217" s="221"/>
      <c r="H217" s="221"/>
      <c r="I217" s="221"/>
      <c r="J217" s="221"/>
      <c r="K217" s="221"/>
      <c r="L217" s="221"/>
      <c r="M217" s="221"/>
      <c r="N217" s="221"/>
      <c r="O217" s="221"/>
      <c r="P217" s="221">
        <f>830060208+5925000+5925000+577980144+112130004+11850000+5925000</f>
        <v>1549795356</v>
      </c>
      <c r="Q217" s="221"/>
      <c r="R217" s="221"/>
      <c r="S217" s="221"/>
      <c r="T217" s="221"/>
      <c r="U217" s="221"/>
      <c r="V217" s="221">
        <f>430825000+180000000+30000000+784200000+253750000+154545850+9950000</f>
        <v>1843270850</v>
      </c>
      <c r="W217" s="221"/>
      <c r="X217" s="221"/>
      <c r="Y217" s="221"/>
      <c r="Z217" s="221"/>
      <c r="AA217" s="221"/>
      <c r="AB217" s="221"/>
      <c r="AC217" s="221"/>
      <c r="AD217" s="221"/>
      <c r="AE217" s="221"/>
      <c r="AF217" s="221"/>
      <c r="AG217" s="221"/>
      <c r="AH217" s="221"/>
      <c r="AI217" s="221"/>
      <c r="AJ217" s="221"/>
      <c r="AK217" s="221"/>
      <c r="AL217" s="221"/>
      <c r="AM217" s="221"/>
      <c r="AN217" s="221"/>
      <c r="AO217" s="221"/>
      <c r="AP217" s="221"/>
      <c r="AQ217" s="221">
        <f t="shared" si="316"/>
        <v>3393066206</v>
      </c>
      <c r="AR217" s="224">
        <f t="shared" si="317"/>
        <v>5.3783963339486219E-3</v>
      </c>
      <c r="AS217" s="225">
        <f t="shared" si="318"/>
        <v>2915628794</v>
      </c>
      <c r="AT217" s="224">
        <f t="shared" si="319"/>
        <v>46.21603666051378</v>
      </c>
      <c r="AU217" s="220" t="s">
        <v>542</v>
      </c>
      <c r="AV217" s="220" t="s">
        <v>543</v>
      </c>
      <c r="AW217" s="220" t="s">
        <v>4732</v>
      </c>
      <c r="AX217" s="221"/>
      <c r="AY217" s="221"/>
      <c r="AZ217" s="221"/>
      <c r="BA217" s="221"/>
      <c r="BB217" s="221"/>
      <c r="BC217" s="221"/>
      <c r="BD217" s="221"/>
      <c r="BE217" s="221"/>
    </row>
    <row r="218" spans="2:57" x14ac:dyDescent="0.3">
      <c r="B218" s="288">
        <v>521811</v>
      </c>
      <c r="C218" s="220" t="s">
        <v>64</v>
      </c>
      <c r="D218" s="220"/>
      <c r="E218" s="220"/>
      <c r="F218" s="221">
        <v>30000000</v>
      </c>
      <c r="G218" s="221"/>
      <c r="H218" s="221"/>
      <c r="I218" s="221"/>
      <c r="J218" s="221"/>
      <c r="K218" s="221"/>
      <c r="L218" s="221"/>
      <c r="M218" s="221"/>
      <c r="N218" s="221"/>
      <c r="O218" s="221"/>
      <c r="P218" s="221"/>
      <c r="Q218" s="221"/>
      <c r="R218" s="221"/>
      <c r="S218" s="221"/>
      <c r="T218" s="221"/>
      <c r="U218" s="221">
        <v>3364000</v>
      </c>
      <c r="V218" s="221"/>
      <c r="W218" s="221"/>
      <c r="X218" s="221">
        <v>1447000</v>
      </c>
      <c r="Y218" s="221"/>
      <c r="Z218" s="221"/>
      <c r="AA218" s="221"/>
      <c r="AB218" s="221"/>
      <c r="AC218" s="221"/>
      <c r="AD218" s="221"/>
      <c r="AE218" s="221"/>
      <c r="AF218" s="221"/>
      <c r="AG218" s="221"/>
      <c r="AH218" s="221"/>
      <c r="AI218" s="221"/>
      <c r="AJ218" s="221"/>
      <c r="AK218" s="221"/>
      <c r="AL218" s="221"/>
      <c r="AM218" s="221"/>
      <c r="AN218" s="221"/>
      <c r="AO218" s="221"/>
      <c r="AP218" s="221"/>
      <c r="AQ218" s="221">
        <f t="shared" si="316"/>
        <v>4811000</v>
      </c>
      <c r="AR218" s="224">
        <f t="shared" si="317"/>
        <v>1.6036666666666667E-3</v>
      </c>
      <c r="AS218" s="225">
        <f t="shared" si="318"/>
        <v>25189000</v>
      </c>
      <c r="AT218" s="224">
        <f t="shared" si="319"/>
        <v>83.963333333333338</v>
      </c>
      <c r="AU218" s="220" t="s">
        <v>542</v>
      </c>
      <c r="AV218" s="220" t="s">
        <v>543</v>
      </c>
      <c r="AW218" s="220" t="s">
        <v>4732</v>
      </c>
      <c r="AX218" s="221"/>
      <c r="AY218" s="221"/>
      <c r="AZ218" s="221"/>
      <c r="BA218" s="221"/>
      <c r="BB218" s="221"/>
      <c r="BC218" s="221"/>
      <c r="BD218" s="221">
        <v>3364000</v>
      </c>
      <c r="BE218" s="221">
        <v>1447000</v>
      </c>
    </row>
    <row r="219" spans="2:57" x14ac:dyDescent="0.3">
      <c r="B219" s="288">
        <v>522151</v>
      </c>
      <c r="C219" s="220" t="s">
        <v>11</v>
      </c>
      <c r="D219" s="220"/>
      <c r="E219" s="220"/>
      <c r="F219" s="221">
        <v>6000000</v>
      </c>
      <c r="G219" s="221"/>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f t="shared" si="316"/>
        <v>0</v>
      </c>
      <c r="AR219" s="224">
        <f t="shared" si="317"/>
        <v>0</v>
      </c>
      <c r="AS219" s="225">
        <f t="shared" si="318"/>
        <v>6000000</v>
      </c>
      <c r="AT219" s="224">
        <f t="shared" si="319"/>
        <v>100</v>
      </c>
      <c r="AU219" s="220" t="s">
        <v>542</v>
      </c>
      <c r="AV219" s="220" t="s">
        <v>543</v>
      </c>
      <c r="AW219" s="220" t="s">
        <v>4732</v>
      </c>
      <c r="AX219" s="221"/>
      <c r="AY219" s="221"/>
      <c r="AZ219" s="221"/>
      <c r="BA219" s="221"/>
      <c r="BB219" s="221"/>
      <c r="BC219" s="221"/>
      <c r="BD219" s="221"/>
      <c r="BE219" s="221"/>
    </row>
    <row r="220" spans="2:57" x14ac:dyDescent="0.3">
      <c r="B220" s="288">
        <v>524111</v>
      </c>
      <c r="C220" s="220" t="s">
        <v>19</v>
      </c>
      <c r="D220" s="220"/>
      <c r="E220" s="220"/>
      <c r="F220" s="221">
        <v>186000000</v>
      </c>
      <c r="G220" s="221"/>
      <c r="H220" s="221"/>
      <c r="I220" s="221"/>
      <c r="J220" s="221"/>
      <c r="K220" s="221"/>
      <c r="L220" s="221"/>
      <c r="M220" s="221"/>
      <c r="N220" s="221"/>
      <c r="O220" s="221"/>
      <c r="P220" s="221"/>
      <c r="Q220" s="221"/>
      <c r="R220" s="221"/>
      <c r="S220" s="221"/>
      <c r="T220" s="221"/>
      <c r="U220" s="221">
        <v>20392633</v>
      </c>
      <c r="V220" s="221">
        <f>6450000+15880573</f>
        <v>22330573</v>
      </c>
      <c r="W220" s="221"/>
      <c r="X220" s="221"/>
      <c r="Y220" s="221"/>
      <c r="Z220" s="221"/>
      <c r="AA220" s="221"/>
      <c r="AB220" s="221"/>
      <c r="AC220" s="221"/>
      <c r="AD220" s="221"/>
      <c r="AE220" s="221"/>
      <c r="AF220" s="221"/>
      <c r="AG220" s="221"/>
      <c r="AH220" s="221"/>
      <c r="AI220" s="221"/>
      <c r="AJ220" s="221"/>
      <c r="AK220" s="221"/>
      <c r="AL220" s="221"/>
      <c r="AM220" s="221"/>
      <c r="AN220" s="221"/>
      <c r="AO220" s="221"/>
      <c r="AP220" s="221"/>
      <c r="AQ220" s="221">
        <f t="shared" si="316"/>
        <v>42723206</v>
      </c>
      <c r="AR220" s="224">
        <f t="shared" si="317"/>
        <v>2.2969465591397851E-3</v>
      </c>
      <c r="AS220" s="225">
        <f t="shared" si="318"/>
        <v>143276794</v>
      </c>
      <c r="AT220" s="224">
        <f t="shared" si="319"/>
        <v>77.030534408602151</v>
      </c>
      <c r="AU220" s="220" t="s">
        <v>542</v>
      </c>
      <c r="AV220" s="220" t="s">
        <v>543</v>
      </c>
      <c r="AW220" s="220" t="s">
        <v>4732</v>
      </c>
      <c r="AX220" s="221"/>
      <c r="AY220" s="221"/>
      <c r="AZ220" s="221"/>
      <c r="BA220" s="221"/>
      <c r="BB220" s="221"/>
      <c r="BC220" s="221"/>
      <c r="BD220" s="221">
        <v>20392633</v>
      </c>
      <c r="BE220" s="221"/>
    </row>
    <row r="221" spans="2:57" x14ac:dyDescent="0.3">
      <c r="B221" s="290" t="s">
        <v>512</v>
      </c>
      <c r="C221" s="222" t="s">
        <v>192</v>
      </c>
      <c r="D221" s="222"/>
      <c r="E221" s="222"/>
      <c r="F221" s="223">
        <f t="shared" ref="F221:AP221" si="365">SUM(F222:F224)</f>
        <v>174041000</v>
      </c>
      <c r="G221" s="223">
        <f t="shared" si="365"/>
        <v>0</v>
      </c>
      <c r="H221" s="223">
        <f t="shared" si="365"/>
        <v>0</v>
      </c>
      <c r="I221" s="223">
        <f t="shared" si="365"/>
        <v>0</v>
      </c>
      <c r="J221" s="223">
        <f t="shared" si="365"/>
        <v>0</v>
      </c>
      <c r="K221" s="223">
        <f t="shared" si="365"/>
        <v>0</v>
      </c>
      <c r="L221" s="223">
        <f t="shared" si="365"/>
        <v>0</v>
      </c>
      <c r="M221" s="223">
        <f t="shared" si="365"/>
        <v>0</v>
      </c>
      <c r="N221" s="223">
        <f t="shared" si="365"/>
        <v>0</v>
      </c>
      <c r="O221" s="223">
        <f t="shared" si="365"/>
        <v>0</v>
      </c>
      <c r="P221" s="223">
        <f t="shared" si="365"/>
        <v>0</v>
      </c>
      <c r="Q221" s="223">
        <f t="shared" si="365"/>
        <v>0</v>
      </c>
      <c r="R221" s="223">
        <f t="shared" si="365"/>
        <v>0</v>
      </c>
      <c r="S221" s="223">
        <f t="shared" si="365"/>
        <v>0</v>
      </c>
      <c r="T221" s="223">
        <f t="shared" si="365"/>
        <v>0</v>
      </c>
      <c r="U221" s="223">
        <f t="shared" si="365"/>
        <v>0</v>
      </c>
      <c r="V221" s="223">
        <f t="shared" si="365"/>
        <v>0</v>
      </c>
      <c r="W221" s="223">
        <f t="shared" si="365"/>
        <v>0</v>
      </c>
      <c r="X221" s="223">
        <f t="shared" si="365"/>
        <v>0</v>
      </c>
      <c r="Y221" s="223">
        <f t="shared" si="365"/>
        <v>0</v>
      </c>
      <c r="Z221" s="223">
        <f t="shared" si="365"/>
        <v>0</v>
      </c>
      <c r="AA221" s="223">
        <f t="shared" si="365"/>
        <v>0</v>
      </c>
      <c r="AB221" s="223">
        <f t="shared" si="365"/>
        <v>0</v>
      </c>
      <c r="AC221" s="223">
        <f t="shared" si="365"/>
        <v>0</v>
      </c>
      <c r="AD221" s="223">
        <f t="shared" si="365"/>
        <v>0</v>
      </c>
      <c r="AE221" s="223">
        <f t="shared" si="365"/>
        <v>0</v>
      </c>
      <c r="AF221" s="223">
        <f t="shared" si="365"/>
        <v>0</v>
      </c>
      <c r="AG221" s="223">
        <f t="shared" si="365"/>
        <v>0</v>
      </c>
      <c r="AH221" s="223">
        <f t="shared" si="365"/>
        <v>0</v>
      </c>
      <c r="AI221" s="223">
        <f t="shared" si="365"/>
        <v>0</v>
      </c>
      <c r="AJ221" s="223">
        <f t="shared" si="365"/>
        <v>0</v>
      </c>
      <c r="AK221" s="223">
        <f t="shared" si="365"/>
        <v>0</v>
      </c>
      <c r="AL221" s="223">
        <f t="shared" si="365"/>
        <v>0</v>
      </c>
      <c r="AM221" s="223">
        <f t="shared" si="365"/>
        <v>0</v>
      </c>
      <c r="AN221" s="223">
        <f t="shared" si="365"/>
        <v>0</v>
      </c>
      <c r="AO221" s="223">
        <f t="shared" si="365"/>
        <v>0</v>
      </c>
      <c r="AP221" s="223">
        <f t="shared" si="365"/>
        <v>0</v>
      </c>
      <c r="AQ221" s="223">
        <f t="shared" si="316"/>
        <v>0</v>
      </c>
      <c r="AR221" s="231">
        <f t="shared" si="317"/>
        <v>0</v>
      </c>
      <c r="AS221" s="232">
        <f t="shared" si="318"/>
        <v>174041000</v>
      </c>
      <c r="AT221" s="231">
        <f t="shared" si="319"/>
        <v>100</v>
      </c>
      <c r="AU221" s="220" t="s">
        <v>542</v>
      </c>
      <c r="AV221" s="220" t="s">
        <v>543</v>
      </c>
      <c r="AW221" s="220" t="s">
        <v>4732</v>
      </c>
      <c r="AX221" s="223">
        <f t="shared" ref="AX221:BA221" si="366">SUM(AX222:AX224)</f>
        <v>0</v>
      </c>
      <c r="AY221" s="223">
        <f t="shared" si="366"/>
        <v>0</v>
      </c>
      <c r="AZ221" s="223">
        <f t="shared" si="366"/>
        <v>0</v>
      </c>
      <c r="BA221" s="223">
        <f t="shared" si="366"/>
        <v>0</v>
      </c>
      <c r="BB221" s="223">
        <f t="shared" ref="BB221" si="367">SUM(BB222:BB224)</f>
        <v>0</v>
      </c>
      <c r="BC221" s="223">
        <f t="shared" ref="BC221:BD221" si="368">SUM(BC222:BC224)</f>
        <v>0</v>
      </c>
      <c r="BD221" s="223">
        <f t="shared" si="368"/>
        <v>0</v>
      </c>
      <c r="BE221" s="223">
        <f t="shared" ref="BE221" si="369">SUM(BE222:BE224)</f>
        <v>0</v>
      </c>
    </row>
    <row r="222" spans="2:57" x14ac:dyDescent="0.3">
      <c r="B222" s="288">
        <v>521211</v>
      </c>
      <c r="C222" s="220" t="s">
        <v>7</v>
      </c>
      <c r="D222" s="220"/>
      <c r="E222" s="220"/>
      <c r="F222" s="221">
        <v>12000000</v>
      </c>
      <c r="G222" s="221"/>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f t="shared" si="316"/>
        <v>0</v>
      </c>
      <c r="AR222" s="224">
        <f t="shared" si="317"/>
        <v>0</v>
      </c>
      <c r="AS222" s="225">
        <f t="shared" si="318"/>
        <v>12000000</v>
      </c>
      <c r="AT222" s="224">
        <f t="shared" si="319"/>
        <v>100</v>
      </c>
      <c r="AU222" s="220" t="s">
        <v>542</v>
      </c>
      <c r="AV222" s="220" t="s">
        <v>543</v>
      </c>
      <c r="AW222" s="220" t="s">
        <v>4732</v>
      </c>
      <c r="AX222" s="221"/>
      <c r="AY222" s="221"/>
      <c r="AZ222" s="221"/>
      <c r="BA222" s="221"/>
      <c r="BB222" s="221"/>
      <c r="BC222" s="221"/>
      <c r="BD222" s="221"/>
      <c r="BE222" s="221"/>
    </row>
    <row r="223" spans="2:57" x14ac:dyDescent="0.3">
      <c r="B223" s="288">
        <v>521219</v>
      </c>
      <c r="C223" s="220" t="s">
        <v>53</v>
      </c>
      <c r="D223" s="220"/>
      <c r="E223" s="220"/>
      <c r="F223" s="221">
        <v>20000000</v>
      </c>
      <c r="G223" s="221"/>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f t="shared" si="316"/>
        <v>0</v>
      </c>
      <c r="AR223" s="224">
        <f t="shared" si="317"/>
        <v>0</v>
      </c>
      <c r="AS223" s="225">
        <f t="shared" si="318"/>
        <v>20000000</v>
      </c>
      <c r="AT223" s="224">
        <f t="shared" si="319"/>
        <v>100</v>
      </c>
      <c r="AU223" s="220" t="s">
        <v>542</v>
      </c>
      <c r="AV223" s="220" t="s">
        <v>543</v>
      </c>
      <c r="AW223" s="220" t="s">
        <v>4732</v>
      </c>
      <c r="AX223" s="221"/>
      <c r="AY223" s="221"/>
      <c r="AZ223" s="221"/>
      <c r="BA223" s="221"/>
      <c r="BB223" s="221"/>
      <c r="BC223" s="221"/>
      <c r="BD223" s="221"/>
      <c r="BE223" s="221"/>
    </row>
    <row r="224" spans="2:57" x14ac:dyDescent="0.3">
      <c r="B224" s="288">
        <v>524211</v>
      </c>
      <c r="C224" s="220" t="s">
        <v>1151</v>
      </c>
      <c r="D224" s="220"/>
      <c r="E224" s="220"/>
      <c r="F224" s="221">
        <v>142041000</v>
      </c>
      <c r="G224" s="221"/>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f t="shared" si="316"/>
        <v>0</v>
      </c>
      <c r="AR224" s="224">
        <f t="shared" si="317"/>
        <v>0</v>
      </c>
      <c r="AS224" s="225">
        <f t="shared" si="318"/>
        <v>142041000</v>
      </c>
      <c r="AT224" s="224">
        <f t="shared" si="319"/>
        <v>100</v>
      </c>
      <c r="AU224" s="220" t="s">
        <v>542</v>
      </c>
      <c r="AV224" s="220" t="s">
        <v>543</v>
      </c>
      <c r="AW224" s="220" t="s">
        <v>4732</v>
      </c>
      <c r="AX224" s="221"/>
      <c r="AY224" s="221"/>
      <c r="AZ224" s="221"/>
      <c r="BA224" s="221"/>
      <c r="BB224" s="221"/>
      <c r="BC224" s="221"/>
      <c r="BD224" s="221"/>
      <c r="BE224" s="221"/>
    </row>
    <row r="225" spans="2:57" x14ac:dyDescent="0.3">
      <c r="B225" s="290" t="s">
        <v>514</v>
      </c>
      <c r="C225" s="222" t="s">
        <v>3534</v>
      </c>
      <c r="D225" s="222"/>
      <c r="E225" s="222"/>
      <c r="F225" s="223">
        <f t="shared" ref="F225:AP225" si="370">SUM(F226)</f>
        <v>30000000</v>
      </c>
      <c r="G225" s="223">
        <f t="shared" si="370"/>
        <v>0</v>
      </c>
      <c r="H225" s="223">
        <f t="shared" si="370"/>
        <v>0</v>
      </c>
      <c r="I225" s="223">
        <f t="shared" si="370"/>
        <v>0</v>
      </c>
      <c r="J225" s="223">
        <f t="shared" si="370"/>
        <v>0</v>
      </c>
      <c r="K225" s="223">
        <f t="shared" si="370"/>
        <v>0</v>
      </c>
      <c r="L225" s="223">
        <f t="shared" si="370"/>
        <v>0</v>
      </c>
      <c r="M225" s="223">
        <f t="shared" si="370"/>
        <v>0</v>
      </c>
      <c r="N225" s="223">
        <f t="shared" si="370"/>
        <v>0</v>
      </c>
      <c r="O225" s="223">
        <f t="shared" si="370"/>
        <v>0</v>
      </c>
      <c r="P225" s="223">
        <f t="shared" si="370"/>
        <v>0</v>
      </c>
      <c r="Q225" s="223">
        <f t="shared" si="370"/>
        <v>0</v>
      </c>
      <c r="R225" s="223">
        <f t="shared" si="370"/>
        <v>0</v>
      </c>
      <c r="S225" s="223">
        <f t="shared" si="370"/>
        <v>0</v>
      </c>
      <c r="T225" s="223">
        <f t="shared" si="370"/>
        <v>0</v>
      </c>
      <c r="U225" s="223">
        <f t="shared" si="370"/>
        <v>0</v>
      </c>
      <c r="V225" s="223">
        <f t="shared" si="370"/>
        <v>0</v>
      </c>
      <c r="W225" s="223">
        <f t="shared" si="370"/>
        <v>0</v>
      </c>
      <c r="X225" s="223">
        <f t="shared" si="370"/>
        <v>0</v>
      </c>
      <c r="Y225" s="223">
        <f t="shared" si="370"/>
        <v>0</v>
      </c>
      <c r="Z225" s="223">
        <f t="shared" si="370"/>
        <v>0</v>
      </c>
      <c r="AA225" s="223">
        <f t="shared" si="370"/>
        <v>0</v>
      </c>
      <c r="AB225" s="223">
        <f t="shared" si="370"/>
        <v>0</v>
      </c>
      <c r="AC225" s="223">
        <f t="shared" si="370"/>
        <v>0</v>
      </c>
      <c r="AD225" s="223">
        <f t="shared" si="370"/>
        <v>0</v>
      </c>
      <c r="AE225" s="223">
        <f t="shared" si="370"/>
        <v>0</v>
      </c>
      <c r="AF225" s="223">
        <f t="shared" si="370"/>
        <v>0</v>
      </c>
      <c r="AG225" s="223">
        <f t="shared" si="370"/>
        <v>0</v>
      </c>
      <c r="AH225" s="223">
        <f t="shared" si="370"/>
        <v>0</v>
      </c>
      <c r="AI225" s="223">
        <f t="shared" si="370"/>
        <v>0</v>
      </c>
      <c r="AJ225" s="223">
        <f t="shared" si="370"/>
        <v>0</v>
      </c>
      <c r="AK225" s="223">
        <f t="shared" si="370"/>
        <v>0</v>
      </c>
      <c r="AL225" s="223">
        <f t="shared" si="370"/>
        <v>0</v>
      </c>
      <c r="AM225" s="223">
        <f t="shared" si="370"/>
        <v>0</v>
      </c>
      <c r="AN225" s="223">
        <f t="shared" si="370"/>
        <v>0</v>
      </c>
      <c r="AO225" s="223">
        <f t="shared" si="370"/>
        <v>0</v>
      </c>
      <c r="AP225" s="223">
        <f t="shared" si="370"/>
        <v>0</v>
      </c>
      <c r="AQ225" s="223">
        <f t="shared" si="316"/>
        <v>0</v>
      </c>
      <c r="AR225" s="231">
        <f t="shared" si="317"/>
        <v>0</v>
      </c>
      <c r="AS225" s="232">
        <f t="shared" si="318"/>
        <v>30000000</v>
      </c>
      <c r="AT225" s="231">
        <f t="shared" si="319"/>
        <v>100</v>
      </c>
      <c r="AU225" s="220" t="s">
        <v>542</v>
      </c>
      <c r="AV225" s="220" t="s">
        <v>543</v>
      </c>
      <c r="AW225" s="220" t="s">
        <v>4732</v>
      </c>
      <c r="AX225" s="223">
        <f t="shared" ref="AX225:BE225" si="371">SUM(AX226)</f>
        <v>0</v>
      </c>
      <c r="AY225" s="223">
        <f t="shared" si="371"/>
        <v>0</v>
      </c>
      <c r="AZ225" s="223">
        <f t="shared" si="371"/>
        <v>0</v>
      </c>
      <c r="BA225" s="223">
        <f t="shared" si="371"/>
        <v>0</v>
      </c>
      <c r="BB225" s="223">
        <f t="shared" si="371"/>
        <v>0</v>
      </c>
      <c r="BC225" s="223">
        <f t="shared" si="371"/>
        <v>0</v>
      </c>
      <c r="BD225" s="223">
        <f t="shared" si="371"/>
        <v>0</v>
      </c>
      <c r="BE225" s="223">
        <f t="shared" si="371"/>
        <v>0</v>
      </c>
    </row>
    <row r="226" spans="2:57" x14ac:dyDescent="0.3">
      <c r="B226" s="288">
        <v>522192</v>
      </c>
      <c r="C226" s="220" t="s">
        <v>24</v>
      </c>
      <c r="D226" s="220"/>
      <c r="E226" s="220"/>
      <c r="F226" s="221">
        <v>30000000</v>
      </c>
      <c r="G226" s="221"/>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f t="shared" si="316"/>
        <v>0</v>
      </c>
      <c r="AR226" s="224">
        <f t="shared" si="317"/>
        <v>0</v>
      </c>
      <c r="AS226" s="225">
        <f t="shared" si="318"/>
        <v>30000000</v>
      </c>
      <c r="AT226" s="224">
        <f t="shared" si="319"/>
        <v>100</v>
      </c>
      <c r="AU226" s="220" t="s">
        <v>542</v>
      </c>
      <c r="AV226" s="220" t="s">
        <v>543</v>
      </c>
      <c r="AW226" s="220" t="s">
        <v>4732</v>
      </c>
      <c r="AX226" s="221"/>
      <c r="AY226" s="221"/>
      <c r="AZ226" s="221"/>
      <c r="BA226" s="221"/>
      <c r="BB226" s="221"/>
      <c r="BC226" s="221"/>
      <c r="BD226" s="221"/>
      <c r="BE226" s="221"/>
    </row>
    <row r="227" spans="2:57" x14ac:dyDescent="0.3">
      <c r="B227" s="226">
        <v>302</v>
      </c>
      <c r="C227" s="227" t="s">
        <v>193</v>
      </c>
      <c r="D227" s="227"/>
      <c r="E227" s="227"/>
      <c r="F227" s="228">
        <f>F228</f>
        <v>109200000</v>
      </c>
      <c r="G227" s="228">
        <f t="shared" ref="G227:AP227" si="372">G228</f>
        <v>0</v>
      </c>
      <c r="H227" s="228">
        <f t="shared" si="372"/>
        <v>0</v>
      </c>
      <c r="I227" s="228">
        <f t="shared" si="372"/>
        <v>0</v>
      </c>
      <c r="J227" s="228">
        <f t="shared" si="372"/>
        <v>0</v>
      </c>
      <c r="K227" s="228">
        <f t="shared" si="372"/>
        <v>0</v>
      </c>
      <c r="L227" s="228">
        <f t="shared" si="372"/>
        <v>0</v>
      </c>
      <c r="M227" s="228">
        <f t="shared" si="372"/>
        <v>0</v>
      </c>
      <c r="N227" s="228">
        <f t="shared" si="372"/>
        <v>0</v>
      </c>
      <c r="O227" s="228">
        <f t="shared" si="372"/>
        <v>0</v>
      </c>
      <c r="P227" s="228">
        <f t="shared" si="372"/>
        <v>0</v>
      </c>
      <c r="Q227" s="228">
        <f t="shared" si="372"/>
        <v>0</v>
      </c>
      <c r="R227" s="228">
        <f t="shared" si="372"/>
        <v>0</v>
      </c>
      <c r="S227" s="228">
        <f t="shared" si="372"/>
        <v>0</v>
      </c>
      <c r="T227" s="228">
        <f t="shared" si="372"/>
        <v>0</v>
      </c>
      <c r="U227" s="228">
        <f t="shared" si="372"/>
        <v>7806000</v>
      </c>
      <c r="V227" s="228">
        <f t="shared" si="372"/>
        <v>0</v>
      </c>
      <c r="W227" s="228">
        <f t="shared" si="372"/>
        <v>0</v>
      </c>
      <c r="X227" s="228">
        <f t="shared" si="372"/>
        <v>0</v>
      </c>
      <c r="Y227" s="228">
        <f t="shared" si="372"/>
        <v>0</v>
      </c>
      <c r="Z227" s="228">
        <f t="shared" si="372"/>
        <v>0</v>
      </c>
      <c r="AA227" s="228">
        <f t="shared" si="372"/>
        <v>0</v>
      </c>
      <c r="AB227" s="228">
        <f t="shared" si="372"/>
        <v>0</v>
      </c>
      <c r="AC227" s="228">
        <f t="shared" si="372"/>
        <v>0</v>
      </c>
      <c r="AD227" s="228">
        <f t="shared" si="372"/>
        <v>0</v>
      </c>
      <c r="AE227" s="228">
        <f t="shared" si="372"/>
        <v>0</v>
      </c>
      <c r="AF227" s="228">
        <f t="shared" si="372"/>
        <v>0</v>
      </c>
      <c r="AG227" s="228">
        <f t="shared" si="372"/>
        <v>0</v>
      </c>
      <c r="AH227" s="228">
        <f t="shared" si="372"/>
        <v>0</v>
      </c>
      <c r="AI227" s="228">
        <f t="shared" si="372"/>
        <v>0</v>
      </c>
      <c r="AJ227" s="228">
        <f t="shared" si="372"/>
        <v>0</v>
      </c>
      <c r="AK227" s="228">
        <f t="shared" si="372"/>
        <v>0</v>
      </c>
      <c r="AL227" s="228">
        <f t="shared" si="372"/>
        <v>0</v>
      </c>
      <c r="AM227" s="228">
        <f t="shared" si="372"/>
        <v>0</v>
      </c>
      <c r="AN227" s="228">
        <f t="shared" si="372"/>
        <v>0</v>
      </c>
      <c r="AO227" s="228">
        <f t="shared" si="372"/>
        <v>0</v>
      </c>
      <c r="AP227" s="228">
        <f t="shared" si="372"/>
        <v>0</v>
      </c>
      <c r="AQ227" s="228">
        <f t="shared" si="316"/>
        <v>7806000</v>
      </c>
      <c r="AR227" s="229">
        <f t="shared" si="317"/>
        <v>7.1483516483516487E-4</v>
      </c>
      <c r="AS227" s="230">
        <f t="shared" si="318"/>
        <v>101394000</v>
      </c>
      <c r="AT227" s="229">
        <f t="shared" si="319"/>
        <v>92.85164835164835</v>
      </c>
      <c r="AU227" s="220" t="s">
        <v>542</v>
      </c>
      <c r="AV227" s="220" t="s">
        <v>543</v>
      </c>
      <c r="AW227" s="220" t="s">
        <v>4732</v>
      </c>
      <c r="AX227" s="228">
        <f t="shared" ref="AX227:BE227" si="373">AX228</f>
        <v>0</v>
      </c>
      <c r="AY227" s="228">
        <f t="shared" si="373"/>
        <v>0</v>
      </c>
      <c r="AZ227" s="228">
        <f t="shared" si="373"/>
        <v>0</v>
      </c>
      <c r="BA227" s="228">
        <f t="shared" si="373"/>
        <v>0</v>
      </c>
      <c r="BB227" s="228">
        <f t="shared" si="373"/>
        <v>0</v>
      </c>
      <c r="BC227" s="228">
        <f t="shared" si="373"/>
        <v>0</v>
      </c>
      <c r="BD227" s="228">
        <f t="shared" si="373"/>
        <v>7806000</v>
      </c>
      <c r="BE227" s="228">
        <f t="shared" si="373"/>
        <v>0</v>
      </c>
    </row>
    <row r="228" spans="2:57" x14ac:dyDescent="0.3">
      <c r="B228" s="290" t="s">
        <v>8</v>
      </c>
      <c r="C228" s="222" t="s">
        <v>193</v>
      </c>
      <c r="D228" s="222"/>
      <c r="E228" s="222"/>
      <c r="F228" s="223">
        <f>SUM(F229:F231)</f>
        <v>109200000</v>
      </c>
      <c r="G228" s="223">
        <f t="shared" ref="G228:AP228" si="374">SUM(G229:G231)</f>
        <v>0</v>
      </c>
      <c r="H228" s="223">
        <f t="shared" si="374"/>
        <v>0</v>
      </c>
      <c r="I228" s="223">
        <f t="shared" si="374"/>
        <v>0</v>
      </c>
      <c r="J228" s="223">
        <f t="shared" si="374"/>
        <v>0</v>
      </c>
      <c r="K228" s="223">
        <f t="shared" si="374"/>
        <v>0</v>
      </c>
      <c r="L228" s="223">
        <f t="shared" si="374"/>
        <v>0</v>
      </c>
      <c r="M228" s="223">
        <f t="shared" si="374"/>
        <v>0</v>
      </c>
      <c r="N228" s="223">
        <f t="shared" si="374"/>
        <v>0</v>
      </c>
      <c r="O228" s="223">
        <f t="shared" si="374"/>
        <v>0</v>
      </c>
      <c r="P228" s="223">
        <f t="shared" si="374"/>
        <v>0</v>
      </c>
      <c r="Q228" s="223">
        <f t="shared" si="374"/>
        <v>0</v>
      </c>
      <c r="R228" s="223">
        <f t="shared" si="374"/>
        <v>0</v>
      </c>
      <c r="S228" s="223">
        <f t="shared" si="374"/>
        <v>0</v>
      </c>
      <c r="T228" s="223">
        <f t="shared" si="374"/>
        <v>0</v>
      </c>
      <c r="U228" s="223">
        <f t="shared" si="374"/>
        <v>7806000</v>
      </c>
      <c r="V228" s="223">
        <f t="shared" si="374"/>
        <v>0</v>
      </c>
      <c r="W228" s="223">
        <f t="shared" si="374"/>
        <v>0</v>
      </c>
      <c r="X228" s="223">
        <f t="shared" si="374"/>
        <v>0</v>
      </c>
      <c r="Y228" s="223">
        <f t="shared" si="374"/>
        <v>0</v>
      </c>
      <c r="Z228" s="223">
        <f t="shared" si="374"/>
        <v>0</v>
      </c>
      <c r="AA228" s="223">
        <f t="shared" si="374"/>
        <v>0</v>
      </c>
      <c r="AB228" s="223">
        <f t="shared" si="374"/>
        <v>0</v>
      </c>
      <c r="AC228" s="223">
        <f t="shared" si="374"/>
        <v>0</v>
      </c>
      <c r="AD228" s="223">
        <f t="shared" si="374"/>
        <v>0</v>
      </c>
      <c r="AE228" s="223">
        <f t="shared" si="374"/>
        <v>0</v>
      </c>
      <c r="AF228" s="223">
        <f t="shared" si="374"/>
        <v>0</v>
      </c>
      <c r="AG228" s="223">
        <f t="shared" si="374"/>
        <v>0</v>
      </c>
      <c r="AH228" s="223">
        <f t="shared" si="374"/>
        <v>0</v>
      </c>
      <c r="AI228" s="223">
        <f t="shared" si="374"/>
        <v>0</v>
      </c>
      <c r="AJ228" s="223">
        <f t="shared" si="374"/>
        <v>0</v>
      </c>
      <c r="AK228" s="223">
        <f t="shared" si="374"/>
        <v>0</v>
      </c>
      <c r="AL228" s="223">
        <f t="shared" si="374"/>
        <v>0</v>
      </c>
      <c r="AM228" s="223">
        <f t="shared" si="374"/>
        <v>0</v>
      </c>
      <c r="AN228" s="223">
        <f t="shared" si="374"/>
        <v>0</v>
      </c>
      <c r="AO228" s="223">
        <f t="shared" si="374"/>
        <v>0</v>
      </c>
      <c r="AP228" s="223">
        <f t="shared" si="374"/>
        <v>0</v>
      </c>
      <c r="AQ228" s="223">
        <f>SUM(G228:AP228)</f>
        <v>7806000</v>
      </c>
      <c r="AR228" s="231">
        <f t="shared" si="317"/>
        <v>7.1483516483516487E-4</v>
      </c>
      <c r="AS228" s="232">
        <f>F228-AQ228</f>
        <v>101394000</v>
      </c>
      <c r="AT228" s="231">
        <f t="shared" si="319"/>
        <v>92.85164835164835</v>
      </c>
      <c r="AU228" s="220" t="s">
        <v>542</v>
      </c>
      <c r="AV228" s="220" t="s">
        <v>543</v>
      </c>
      <c r="AW228" s="220" t="s">
        <v>4732</v>
      </c>
      <c r="AX228" s="223">
        <f t="shared" ref="AX228:AZ228" si="375">SUM(AX229:AX231)</f>
        <v>0</v>
      </c>
      <c r="AY228" s="223">
        <f t="shared" si="375"/>
        <v>0</v>
      </c>
      <c r="AZ228" s="223">
        <f t="shared" si="375"/>
        <v>0</v>
      </c>
      <c r="BA228" s="223">
        <f t="shared" ref="BA228" si="376">SUM(BA229:BA231)</f>
        <v>0</v>
      </c>
      <c r="BB228" s="223">
        <f t="shared" ref="BB228" si="377">SUM(BB229:BB231)</f>
        <v>0</v>
      </c>
      <c r="BC228" s="223">
        <f t="shared" ref="BC228:BD228" si="378">SUM(BC229:BC231)</f>
        <v>0</v>
      </c>
      <c r="BD228" s="223">
        <f t="shared" si="378"/>
        <v>7806000</v>
      </c>
      <c r="BE228" s="223">
        <f t="shared" ref="BE228" si="379">SUM(BE229:BE231)</f>
        <v>0</v>
      </c>
    </row>
    <row r="229" spans="2:57" x14ac:dyDescent="0.3">
      <c r="B229" s="288">
        <v>521211</v>
      </c>
      <c r="C229" s="220" t="s">
        <v>7</v>
      </c>
      <c r="D229" s="220"/>
      <c r="E229" s="220"/>
      <c r="F229" s="221">
        <v>25000000</v>
      </c>
      <c r="G229" s="221"/>
      <c r="H229" s="221"/>
      <c r="I229" s="221"/>
      <c r="J229" s="221"/>
      <c r="K229" s="221"/>
      <c r="L229" s="221"/>
      <c r="M229" s="221"/>
      <c r="N229" s="221"/>
      <c r="O229" s="221"/>
      <c r="P229" s="221"/>
      <c r="Q229" s="221"/>
      <c r="R229" s="221"/>
      <c r="S229" s="221"/>
      <c r="T229" s="221"/>
      <c r="U229" s="221">
        <v>2961000</v>
      </c>
      <c r="V229" s="221"/>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f t="shared" si="316"/>
        <v>2961000</v>
      </c>
      <c r="AR229" s="224">
        <f t="shared" si="317"/>
        <v>1.1843999999999999E-3</v>
      </c>
      <c r="AS229" s="225">
        <f t="shared" si="318"/>
        <v>22039000</v>
      </c>
      <c r="AT229" s="224">
        <f t="shared" si="319"/>
        <v>88.156000000000006</v>
      </c>
      <c r="AU229" s="220" t="s">
        <v>542</v>
      </c>
      <c r="AV229" s="220" t="s">
        <v>543</v>
      </c>
      <c r="AW229" s="220" t="s">
        <v>4732</v>
      </c>
      <c r="AX229" s="221"/>
      <c r="AY229" s="221"/>
      <c r="AZ229" s="221"/>
      <c r="BA229" s="221"/>
      <c r="BB229" s="221"/>
      <c r="BC229" s="221"/>
      <c r="BD229" s="221">
        <v>2961000</v>
      </c>
      <c r="BE229" s="221"/>
    </row>
    <row r="230" spans="2:57" x14ac:dyDescent="0.3">
      <c r="B230" s="288">
        <v>521811</v>
      </c>
      <c r="C230" s="220" t="s">
        <v>64</v>
      </c>
      <c r="D230" s="220"/>
      <c r="E230" s="220"/>
      <c r="F230" s="221">
        <v>30000000</v>
      </c>
      <c r="G230" s="221"/>
      <c r="H230" s="221"/>
      <c r="I230" s="221"/>
      <c r="J230" s="221"/>
      <c r="K230" s="221"/>
      <c r="L230" s="221"/>
      <c r="M230" s="221"/>
      <c r="N230" s="221"/>
      <c r="O230" s="221"/>
      <c r="P230" s="221"/>
      <c r="Q230" s="221"/>
      <c r="R230" s="221"/>
      <c r="S230" s="221"/>
      <c r="T230" s="221"/>
      <c r="U230" s="221">
        <v>4845000</v>
      </c>
      <c r="V230" s="221"/>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f t="shared" si="316"/>
        <v>4845000</v>
      </c>
      <c r="AR230" s="224">
        <f t="shared" si="317"/>
        <v>1.6150000000000001E-3</v>
      </c>
      <c r="AS230" s="225">
        <f t="shared" si="318"/>
        <v>25155000</v>
      </c>
      <c r="AT230" s="224">
        <f t="shared" si="319"/>
        <v>83.850000000000009</v>
      </c>
      <c r="AU230" s="220" t="s">
        <v>542</v>
      </c>
      <c r="AV230" s="220" t="s">
        <v>543</v>
      </c>
      <c r="AW230" s="220" t="s">
        <v>4732</v>
      </c>
      <c r="AX230" s="221"/>
      <c r="AY230" s="221"/>
      <c r="AZ230" s="221"/>
      <c r="BA230" s="221"/>
      <c r="BB230" s="221"/>
      <c r="BC230" s="221"/>
      <c r="BD230" s="221">
        <v>4845000</v>
      </c>
      <c r="BE230" s="221"/>
    </row>
    <row r="231" spans="2:57" x14ac:dyDescent="0.3">
      <c r="B231" s="288">
        <v>524111</v>
      </c>
      <c r="C231" s="220" t="s">
        <v>19</v>
      </c>
      <c r="D231" s="220"/>
      <c r="E231" s="220"/>
      <c r="F231" s="221">
        <v>54200000</v>
      </c>
      <c r="G231" s="221"/>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f>SUM(G231:AP231)</f>
        <v>0</v>
      </c>
      <c r="AR231" s="224">
        <f t="shared" si="317"/>
        <v>0</v>
      </c>
      <c r="AS231" s="225">
        <f t="shared" si="318"/>
        <v>54200000</v>
      </c>
      <c r="AT231" s="224">
        <f t="shared" si="319"/>
        <v>100</v>
      </c>
      <c r="AU231" s="220" t="s">
        <v>542</v>
      </c>
      <c r="AV231" s="220" t="s">
        <v>543</v>
      </c>
      <c r="AW231" s="220" t="s">
        <v>4732</v>
      </c>
      <c r="AX231" s="221"/>
      <c r="AY231" s="221"/>
      <c r="AZ231" s="221"/>
      <c r="BA231" s="221"/>
      <c r="BB231" s="221"/>
      <c r="BC231" s="221"/>
      <c r="BD231" s="221"/>
      <c r="BE231" s="221"/>
    </row>
    <row r="232" spans="2:57" x14ac:dyDescent="0.3">
      <c r="F232" s="287"/>
      <c r="AQ232" s="279"/>
    </row>
    <row r="233" spans="2:57" x14ac:dyDescent="0.3">
      <c r="AR233" t="s">
        <v>4644</v>
      </c>
    </row>
  </sheetData>
  <autoFilter ref="B12:BE231" xr:uid="{B070A0AF-EFE7-4050-AFDE-970D0A0520C8}">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autoFilter>
  <mergeCells count="16">
    <mergeCell ref="AT12:AT13"/>
    <mergeCell ref="AQ12:AQ13"/>
    <mergeCell ref="AR12:AR13"/>
    <mergeCell ref="AS12:AS13"/>
    <mergeCell ref="Y12:AA12"/>
    <mergeCell ref="AB12:AD12"/>
    <mergeCell ref="AE12:AG12"/>
    <mergeCell ref="AH12:AJ12"/>
    <mergeCell ref="AK12:AM12"/>
    <mergeCell ref="AN12:AP12"/>
    <mergeCell ref="V12:X12"/>
    <mergeCell ref="G12:I12"/>
    <mergeCell ref="J12:L12"/>
    <mergeCell ref="M12:O12"/>
    <mergeCell ref="P12:R12"/>
    <mergeCell ref="S12:U12"/>
  </mergeCells>
  <phoneticPr fontId="27" type="noConversion"/>
  <conditionalFormatting sqref="AQ21:AQ231">
    <cfRule type="expression" dxfId="0" priority="2">
      <formula>ROW()=CELL("ROW")</formula>
    </cfRule>
  </conditionalFormatting>
  <dataValidations count="3">
    <dataValidation type="list" allowBlank="1" showInputMessage="1" showErrorMessage="1" sqref="AW14:AW231" xr:uid="{1A5B5EA2-F992-45AC-8EBE-DBC26C7829DF}">
      <formula1>"Belanja Operasional , Belanja Barang Non Operasional, Gaji dan Tunjangan, Belanja Modal"</formula1>
    </dataValidation>
    <dataValidation type="list" allowBlank="1" showInputMessage="1" showErrorMessage="1" sqref="AU32:AU107 AU123:AU145 AU147:AU231" xr:uid="{04AA01C8-8303-488B-99E4-72766D54BA1E}">
      <formula1>"Perencanaan dan Evaluasi, Tata Usaha, Peserta Didik Sarana dan Prasarana dan Metode dan Kurikulum, Kelembagaan dan Ketenagaan"</formula1>
    </dataValidation>
    <dataValidation type="list" allowBlank="1" showInputMessage="1" showErrorMessage="1" sqref="AU19:AU31 AU108:AU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PERSUBBID!$B$17:$B$47</xm:f>
          </x14:formula1>
          <xm:sqref>AV14:AV59 AV62:AV145 AV147:AV231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I34" sqref="I34"/>
    </sheetView>
  </sheetViews>
  <sheetFormatPr defaultRowHeight="14.4" x14ac:dyDescent="0.3"/>
  <cols>
    <col min="1" max="1" width="16.5546875" customWidth="1"/>
    <col min="2" max="2" width="56.88671875" bestFit="1" customWidth="1"/>
    <col min="3" max="3" width="15.33203125" bestFit="1" customWidth="1"/>
    <col min="4" max="4" width="14.33203125" bestFit="1" customWidth="1"/>
    <col min="6" max="6" width="15.33203125" bestFit="1" customWidth="1"/>
    <col min="7" max="7" width="10.6640625" style="315" customWidth="1"/>
    <col min="9" max="9" width="29.44140625" style="274" customWidth="1"/>
    <col min="10" max="10" width="24.44140625" customWidth="1"/>
  </cols>
  <sheetData>
    <row r="1" spans="1:10" ht="15.6" x14ac:dyDescent="0.3">
      <c r="A1" s="451" t="s">
        <v>5178</v>
      </c>
      <c r="B1" s="451"/>
      <c r="C1" s="451"/>
      <c r="D1" s="451"/>
      <c r="E1" s="451"/>
      <c r="F1" s="451"/>
      <c r="G1" s="451"/>
    </row>
    <row r="2" spans="1:10" ht="15.6" x14ac:dyDescent="0.3">
      <c r="A2" s="451" t="str">
        <f>'PER BULAN'!B5</f>
        <v>Berdasarkan DIPA Revisi 1 POK 2 TA. 2022 (Tanggal 22 Maret 2022)</v>
      </c>
      <c r="B2" s="451"/>
      <c r="C2" s="451"/>
      <c r="D2" s="451"/>
      <c r="E2" s="451"/>
      <c r="F2" s="451"/>
      <c r="G2" s="451"/>
    </row>
    <row r="3" spans="1:10" ht="15.6" x14ac:dyDescent="0.3">
      <c r="A3" s="451" t="s">
        <v>5453</v>
      </c>
      <c r="B3" s="451"/>
      <c r="C3" s="451"/>
      <c r="D3" s="451"/>
      <c r="E3" s="451"/>
      <c r="F3" s="451"/>
      <c r="G3" s="451"/>
    </row>
    <row r="4" spans="1:10" x14ac:dyDescent="0.3">
      <c r="A4" s="259"/>
      <c r="B4" s="259"/>
      <c r="C4" s="259"/>
      <c r="D4" s="259"/>
      <c r="E4" s="259"/>
      <c r="F4" s="259"/>
      <c r="G4" s="316"/>
    </row>
    <row r="5" spans="1:10" x14ac:dyDescent="0.3">
      <c r="A5" s="260" t="s">
        <v>4817</v>
      </c>
    </row>
    <row r="6" spans="1:10" x14ac:dyDescent="0.3">
      <c r="A6" s="252" t="s">
        <v>592</v>
      </c>
      <c r="B6" s="252" t="s">
        <v>500</v>
      </c>
      <c r="C6" s="252" t="s">
        <v>4650</v>
      </c>
      <c r="D6" s="252" t="s">
        <v>4651</v>
      </c>
      <c r="E6" s="252" t="s">
        <v>4648</v>
      </c>
      <c r="F6" s="252" t="s">
        <v>4652</v>
      </c>
      <c r="G6" s="252" t="s">
        <v>4648</v>
      </c>
    </row>
    <row r="7" spans="1:10" x14ac:dyDescent="0.3">
      <c r="A7" s="452" t="s">
        <v>576</v>
      </c>
      <c r="B7" s="282" t="s">
        <v>560</v>
      </c>
      <c r="C7" s="225">
        <f>SUM('PER BULAN'!F78+'PER BULAN'!F82+'PER BULAN'!F86+'PER BULAN'!F91+'PER BULAN'!F95)</f>
        <v>1186502000</v>
      </c>
      <c r="D7" s="225">
        <f>SUM('PER BULAN'!AQ78+'PER BULAN'!AQ82+'PER BULAN'!AQ86+'PER BULAN'!AQ91+'PER BULAN'!AQ95)</f>
        <v>390447219</v>
      </c>
      <c r="E7" s="224">
        <f t="shared" ref="E7:E13" si="0">D7/C7*100</f>
        <v>32.907421900679481</v>
      </c>
      <c r="F7" s="225">
        <f t="shared" ref="F7:F13" si="1">C7-D7</f>
        <v>796054781</v>
      </c>
      <c r="G7" s="326">
        <f t="shared" ref="G7:G13" si="2">F7/C7*100</f>
        <v>67.092578099320519</v>
      </c>
    </row>
    <row r="8" spans="1:10" x14ac:dyDescent="0.3">
      <c r="A8" s="453"/>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3">
      <c r="A9" s="453"/>
      <c r="B9" s="251" t="s">
        <v>4660</v>
      </c>
      <c r="C9" s="225">
        <f>SUM('PER BULAN'!F137)</f>
        <v>100000000</v>
      </c>
      <c r="D9" s="225">
        <f>SUM('PER BULAN'!AQ137)</f>
        <v>0</v>
      </c>
      <c r="E9" s="224">
        <f t="shared" si="0"/>
        <v>0</v>
      </c>
      <c r="F9" s="225">
        <f t="shared" si="1"/>
        <v>100000000</v>
      </c>
      <c r="G9" s="326">
        <f t="shared" si="2"/>
        <v>100</v>
      </c>
    </row>
    <row r="10" spans="1:10" x14ac:dyDescent="0.3">
      <c r="A10" s="453"/>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x14ac:dyDescent="0.3">
      <c r="A11" s="453"/>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row>
    <row r="12" spans="1:10" x14ac:dyDescent="0.3">
      <c r="A12" s="454"/>
      <c r="B12" s="247" t="s">
        <v>4653</v>
      </c>
      <c r="C12" s="250">
        <f>SUM(C7:C11)</f>
        <v>4328014000</v>
      </c>
      <c r="D12" s="250">
        <f>SUM(D7:D11)</f>
        <v>1844517380</v>
      </c>
      <c r="E12" s="249">
        <f t="shared" si="0"/>
        <v>42.618101050504919</v>
      </c>
      <c r="F12" s="250">
        <f t="shared" si="1"/>
        <v>2483496620</v>
      </c>
      <c r="G12" s="327">
        <f t="shared" si="2"/>
        <v>57.381898949495081</v>
      </c>
      <c r="H12" s="245"/>
    </row>
    <row r="13" spans="1:10" ht="15" customHeight="1" x14ac:dyDescent="0.3">
      <c r="A13" s="452" t="s">
        <v>542</v>
      </c>
      <c r="B13" s="282" t="s">
        <v>543</v>
      </c>
      <c r="C13" s="225">
        <f>SUM('PER BULAN'!F70+'PER BULAN'!F149+'PER BULAN'!F154+'PER BULAN'!F160)</f>
        <v>768918000</v>
      </c>
      <c r="D13" s="225">
        <f>SUM('PER BULAN'!AQ70+'PER BULAN'!AQ149+'PER BULAN'!AQ154+'PER BULAN'!AQ160)</f>
        <v>130677295</v>
      </c>
      <c r="E13" s="224">
        <f t="shared" si="0"/>
        <v>16.994958500126149</v>
      </c>
      <c r="F13" s="225">
        <f t="shared" si="1"/>
        <v>638240705</v>
      </c>
      <c r="G13" s="326">
        <f t="shared" si="2"/>
        <v>83.00504149987384</v>
      </c>
    </row>
    <row r="14" spans="1:10" x14ac:dyDescent="0.3">
      <c r="A14" s="453"/>
      <c r="B14" s="251" t="s">
        <v>4729</v>
      </c>
      <c r="C14" s="225">
        <f>SUM('PER BULAN'!F208+'PER BULAN'!F215+'PER BULAN'!F221+'PER BULAN'!F225+'PER BULAN'!F228)</f>
        <v>8582500000</v>
      </c>
      <c r="D14" s="225">
        <f>SUM('PER BULAN'!AQ208+'PER BULAN'!AQ215+'PER BULAN'!AQ221+'PER BULAN'!AQ225+'PER BULAN'!AQ228)</f>
        <v>3476713912</v>
      </c>
      <c r="E14" s="224">
        <f>D14/C14*100</f>
        <v>40.509337745412175</v>
      </c>
      <c r="F14" s="225">
        <f>C14-D14</f>
        <v>5105786088</v>
      </c>
      <c r="G14" s="326">
        <f>F14/C14*100</f>
        <v>59.490662254587825</v>
      </c>
      <c r="J14" s="276"/>
    </row>
    <row r="15" spans="1:10" x14ac:dyDescent="0.3">
      <c r="A15" s="453"/>
      <c r="B15" s="282" t="s">
        <v>591</v>
      </c>
      <c r="C15" s="225">
        <f>SUM('PER BULAN'!F167+'PER BULAN'!F171+'PER BULAN'!F178)</f>
        <v>633732000</v>
      </c>
      <c r="D15" s="225">
        <f>SUM('PER BULAN'!AQ167+'PER BULAN'!AQ171+'PER BULAN'!AQ178)</f>
        <v>105796297</v>
      </c>
      <c r="E15" s="224">
        <f t="shared" ref="E15:E23" si="3">D15/C15*100</f>
        <v>16.694169933031628</v>
      </c>
      <c r="F15" s="225">
        <f t="shared" ref="F15:F23" si="4">C15-D15</f>
        <v>527935703</v>
      </c>
      <c r="G15" s="326">
        <f t="shared" ref="G15:G23" si="5">F15/C15*100</f>
        <v>83.305830066968369</v>
      </c>
    </row>
    <row r="16" spans="1:10" x14ac:dyDescent="0.3">
      <c r="A16" s="454"/>
      <c r="B16" s="247" t="s">
        <v>4657</v>
      </c>
      <c r="C16" s="250">
        <f>SUM(C13:C15)</f>
        <v>9985150000</v>
      </c>
      <c r="D16" s="250">
        <f>SUM(D13:D15)</f>
        <v>3713187504</v>
      </c>
      <c r="E16" s="249">
        <f t="shared" si="3"/>
        <v>37.187097880352319</v>
      </c>
      <c r="F16" s="250">
        <f t="shared" si="4"/>
        <v>6271962496</v>
      </c>
      <c r="G16" s="327">
        <f t="shared" si="5"/>
        <v>62.812902119647674</v>
      </c>
    </row>
    <row r="17" spans="1:10" ht="15" customHeight="1" x14ac:dyDescent="0.3">
      <c r="A17" s="452" t="s">
        <v>531</v>
      </c>
      <c r="B17" s="282" t="s">
        <v>532</v>
      </c>
      <c r="C17" s="225">
        <f>SUM('PER BULAN'!F20+'PER BULAN'!F24+'PER BULAN'!F108)</f>
        <v>474100000</v>
      </c>
      <c r="D17" s="225">
        <f>SUM('PER BULAN'!AQ20+'PER BULAN'!AQ24+'PER BULAN'!AQ108)</f>
        <v>133815590</v>
      </c>
      <c r="E17" s="224">
        <f t="shared" si="3"/>
        <v>28.225182450959714</v>
      </c>
      <c r="F17" s="225">
        <f t="shared" si="4"/>
        <v>340284410</v>
      </c>
      <c r="G17" s="326">
        <f t="shared" si="5"/>
        <v>71.774817549040279</v>
      </c>
    </row>
    <row r="18" spans="1:10" x14ac:dyDescent="0.3">
      <c r="A18" s="453"/>
      <c r="B18" s="282" t="s">
        <v>534</v>
      </c>
      <c r="C18" s="225">
        <f>SUM('PER BULAN'!F29+'PER BULAN'!F113+'PER BULAN'!F118)</f>
        <v>804500000</v>
      </c>
      <c r="D18" s="225">
        <f>SUM('PER BULAN'!AQ29+'PER BULAN'!AQ113+'PER BULAN'!AQ118)</f>
        <v>73365500</v>
      </c>
      <c r="E18" s="224">
        <f t="shared" si="3"/>
        <v>9.1193909260410191</v>
      </c>
      <c r="F18" s="225">
        <f t="shared" si="4"/>
        <v>731134500</v>
      </c>
      <c r="G18" s="326">
        <f t="shared" si="5"/>
        <v>90.880609073958979</v>
      </c>
      <c r="J18" s="276"/>
    </row>
    <row r="19" spans="1:10" x14ac:dyDescent="0.3">
      <c r="A19" s="454"/>
      <c r="B19" s="247" t="s">
        <v>4658</v>
      </c>
      <c r="C19" s="250">
        <f>SUM(C17:C18)</f>
        <v>1278600000</v>
      </c>
      <c r="D19" s="250">
        <f>SUM(D17:D18)</f>
        <v>207181090</v>
      </c>
      <c r="E19" s="249">
        <f t="shared" si="3"/>
        <v>16.203745502893792</v>
      </c>
      <c r="F19" s="250">
        <f t="shared" si="4"/>
        <v>1071418910</v>
      </c>
      <c r="G19" s="327">
        <f t="shared" si="5"/>
        <v>83.796254497106219</v>
      </c>
    </row>
    <row r="20" spans="1:10" ht="15" customHeight="1" x14ac:dyDescent="0.3">
      <c r="A20" s="452" t="s">
        <v>535</v>
      </c>
      <c r="B20" s="282" t="s">
        <v>536</v>
      </c>
      <c r="C20" s="225">
        <f>SUM('PER BULAN'!F33+'PER BULAN'!F41+'PER BULAN'!F48)</f>
        <v>686300000</v>
      </c>
      <c r="D20" s="225">
        <f>SUM('PER BULAN'!AQ33+'PER BULAN'!AQ41+'PER BULAN'!AQ48)</f>
        <v>214180240</v>
      </c>
      <c r="E20" s="224">
        <f t="shared" si="3"/>
        <v>31.207961532857354</v>
      </c>
      <c r="F20" s="225">
        <f t="shared" si="4"/>
        <v>472119760</v>
      </c>
      <c r="G20" s="326">
        <f t="shared" si="5"/>
        <v>68.792038467142646</v>
      </c>
    </row>
    <row r="21" spans="1:10" x14ac:dyDescent="0.3">
      <c r="A21" s="453"/>
      <c r="B21" s="282" t="s">
        <v>538</v>
      </c>
      <c r="C21" s="225">
        <f>SUM('PER BULAN'!F54+'PER BULAN'!F102)</f>
        <v>585100000</v>
      </c>
      <c r="D21" s="225">
        <f>SUM('PER BULAN'!AQ54+'PER BULAN'!AQ102)</f>
        <v>88256718</v>
      </c>
      <c r="E21" s="224">
        <f t="shared" si="3"/>
        <v>15.084039993163561</v>
      </c>
      <c r="F21" s="225">
        <f t="shared" si="4"/>
        <v>496843282</v>
      </c>
      <c r="G21" s="326">
        <f t="shared" si="5"/>
        <v>84.915960006836428</v>
      </c>
    </row>
    <row r="22" spans="1:10" x14ac:dyDescent="0.3">
      <c r="A22" s="454"/>
      <c r="B22" s="247" t="s">
        <v>4659</v>
      </c>
      <c r="C22" s="250">
        <f>SUM(C20:C21)</f>
        <v>1271400000</v>
      </c>
      <c r="D22" s="250">
        <f>SUM(D20:D21)</f>
        <v>302436958</v>
      </c>
      <c r="E22" s="249">
        <f t="shared" si="3"/>
        <v>23.787711027214094</v>
      </c>
      <c r="F22" s="250">
        <f t="shared" si="4"/>
        <v>968963042</v>
      </c>
      <c r="G22" s="327">
        <f t="shared" si="5"/>
        <v>76.212288972785899</v>
      </c>
    </row>
    <row r="23" spans="1:10" x14ac:dyDescent="0.3">
      <c r="A23" s="449" t="s">
        <v>4655</v>
      </c>
      <c r="B23" s="449"/>
      <c r="C23" s="232">
        <f>C12++C16+C19+C22</f>
        <v>16863164000</v>
      </c>
      <c r="D23" s="232">
        <f>D12++D16+D19+D22</f>
        <v>6067322932</v>
      </c>
      <c r="E23" s="231">
        <f t="shared" si="3"/>
        <v>35.97974218835801</v>
      </c>
      <c r="F23" s="232">
        <f t="shared" si="4"/>
        <v>10795841068</v>
      </c>
      <c r="G23" s="328">
        <f t="shared" si="5"/>
        <v>64.020257811641983</v>
      </c>
      <c r="J23" s="274"/>
    </row>
    <row r="24" spans="1:10" x14ac:dyDescent="0.3">
      <c r="A24" s="449" t="s">
        <v>4656</v>
      </c>
      <c r="B24" s="449"/>
      <c r="C24" s="449"/>
      <c r="D24" s="232">
        <f>D23</f>
        <v>6067322932</v>
      </c>
      <c r="E24" s="231">
        <f>D24/C23*100</f>
        <v>35.97974218835801</v>
      </c>
      <c r="F24" s="232">
        <f>C23-D24</f>
        <v>10795841068</v>
      </c>
      <c r="G24" s="328">
        <f>F24/C23*100</f>
        <v>64.020257811641983</v>
      </c>
      <c r="J24" s="276"/>
    </row>
    <row r="26" spans="1:10" x14ac:dyDescent="0.3">
      <c r="A26" s="260" t="s">
        <v>4840</v>
      </c>
    </row>
    <row r="27" spans="1:10" x14ac:dyDescent="0.3">
      <c r="A27" s="455" t="s">
        <v>4807</v>
      </c>
      <c r="B27" s="455" t="s">
        <v>4808</v>
      </c>
      <c r="C27" s="455" t="s">
        <v>4809</v>
      </c>
      <c r="D27" s="459" t="s">
        <v>4647</v>
      </c>
      <c r="E27" s="459"/>
      <c r="F27" s="459" t="s">
        <v>4810</v>
      </c>
      <c r="G27" s="459"/>
    </row>
    <row r="28" spans="1:10" x14ac:dyDescent="0.3">
      <c r="A28" s="456"/>
      <c r="B28" s="456"/>
      <c r="C28" s="456"/>
      <c r="D28" s="271" t="s">
        <v>4811</v>
      </c>
      <c r="E28" s="281" t="s">
        <v>4648</v>
      </c>
      <c r="F28" s="271" t="s">
        <v>4811</v>
      </c>
      <c r="G28" s="271" t="s">
        <v>4648</v>
      </c>
    </row>
    <row r="29" spans="1:10" x14ac:dyDescent="0.3">
      <c r="A29" s="261">
        <v>1</v>
      </c>
      <c r="B29" s="262" t="s">
        <v>4812</v>
      </c>
      <c r="C29" s="263">
        <f>SUM(C30:C32)</f>
        <v>16207230000</v>
      </c>
      <c r="D29" s="263">
        <f>SUM(D30:D32)</f>
        <v>5413122932</v>
      </c>
      <c r="E29" s="268">
        <f>D29/C29*100</f>
        <v>33.399433043154197</v>
      </c>
      <c r="F29" s="265">
        <f>C29-D29</f>
        <v>10794107068</v>
      </c>
      <c r="G29" s="264">
        <f>F29/C29*100</f>
        <v>66.60056695684581</v>
      </c>
    </row>
    <row r="30" spans="1:10" x14ac:dyDescent="0.3">
      <c r="A30" s="270"/>
      <c r="B30" s="266" t="s">
        <v>4813</v>
      </c>
      <c r="C30" s="267">
        <v>2095658000</v>
      </c>
      <c r="D30" s="267">
        <f>D8</f>
        <v>663321641</v>
      </c>
      <c r="E30" s="268">
        <f>D30/C30*100</f>
        <v>31.652189479390241</v>
      </c>
      <c r="F30" s="269">
        <f>C30-D30</f>
        <v>1432336359</v>
      </c>
      <c r="G30" s="268">
        <f>F30/C30*100</f>
        <v>68.347810520609755</v>
      </c>
    </row>
    <row r="31" spans="1:10" x14ac:dyDescent="0.3">
      <c r="A31" s="270"/>
      <c r="B31" s="266" t="s">
        <v>4818</v>
      </c>
      <c r="C31" s="267">
        <v>100000000</v>
      </c>
      <c r="D31" s="267">
        <f>D9</f>
        <v>0</v>
      </c>
      <c r="E31" s="268">
        <f>D31/C31*100</f>
        <v>0</v>
      </c>
      <c r="F31" s="269">
        <f>C31-D31</f>
        <v>100000000</v>
      </c>
      <c r="G31" s="268">
        <f>F31/C31*100</f>
        <v>100</v>
      </c>
    </row>
    <row r="32" spans="1:10" x14ac:dyDescent="0.3">
      <c r="A32" s="270"/>
      <c r="B32" s="266" t="s">
        <v>4819</v>
      </c>
      <c r="C32" s="267">
        <v>14011572000</v>
      </c>
      <c r="D32" s="267">
        <f>D11+D13+D14+D15+D17+D18+D20+D21+D7</f>
        <v>4749801291</v>
      </c>
      <c r="E32" s="268">
        <f>D32/C32*100</f>
        <v>33.899132024586535</v>
      </c>
      <c r="F32" s="269">
        <f>C32-D32</f>
        <v>9261770709</v>
      </c>
      <c r="G32" s="268">
        <f>F32/C32*100</f>
        <v>66.100867975413465</v>
      </c>
    </row>
    <row r="33" spans="1:7" x14ac:dyDescent="0.3">
      <c r="A33" s="261">
        <v>2</v>
      </c>
      <c r="B33" s="262" t="s">
        <v>4814</v>
      </c>
      <c r="C33" s="263">
        <v>655934000</v>
      </c>
      <c r="D33" s="263">
        <f>D10</f>
        <v>654200000</v>
      </c>
      <c r="E33" s="264">
        <f>IFERROR(D33/C33*100,0)</f>
        <v>99.735644134928208</v>
      </c>
      <c r="F33" s="265">
        <f>C33-D33</f>
        <v>1734000</v>
      </c>
      <c r="G33" s="264">
        <f>IFERROR(F33/C33*100,0)</f>
        <v>0.26435586507179076</v>
      </c>
    </row>
    <row r="34" spans="1:7" x14ac:dyDescent="0.3">
      <c r="A34" s="261"/>
      <c r="B34" s="262"/>
      <c r="C34" s="263"/>
      <c r="D34" s="263"/>
      <c r="E34" s="264"/>
      <c r="F34" s="265"/>
      <c r="G34" s="264"/>
    </row>
    <row r="35" spans="1:7" x14ac:dyDescent="0.3">
      <c r="A35" s="457" t="s">
        <v>611</v>
      </c>
      <c r="B35" s="458"/>
      <c r="C35" s="272">
        <f>SUM(C29,C33)</f>
        <v>16863164000</v>
      </c>
      <c r="D35" s="272">
        <f>SUM(D29,D33)</f>
        <v>6067322932</v>
      </c>
      <c r="E35" s="273">
        <f>D35/C35*100</f>
        <v>35.97974218835801</v>
      </c>
      <c r="F35" s="272">
        <f>SUM(F29,F33)</f>
        <v>10795841068</v>
      </c>
      <c r="G35" s="273">
        <f>F35/C35*100</f>
        <v>64.020257811641983</v>
      </c>
    </row>
    <row r="36" spans="1:7" x14ac:dyDescent="0.3">
      <c r="A36" s="457" t="s">
        <v>4815</v>
      </c>
      <c r="B36" s="458"/>
      <c r="C36" s="272"/>
      <c r="D36" s="272"/>
      <c r="E36" s="273"/>
      <c r="F36" s="272"/>
      <c r="G36" s="273"/>
    </row>
    <row r="37" spans="1:7" x14ac:dyDescent="0.3">
      <c r="A37" s="457" t="s">
        <v>4816</v>
      </c>
      <c r="B37" s="458"/>
      <c r="C37" s="272">
        <f>C35</f>
        <v>16863164000</v>
      </c>
      <c r="D37" s="272">
        <f>D35-D36</f>
        <v>6067322932</v>
      </c>
      <c r="E37" s="273">
        <f>D37/C37*100</f>
        <v>35.97974218835801</v>
      </c>
      <c r="F37" s="272">
        <f>C37-D37</f>
        <v>10795841068</v>
      </c>
      <c r="G37" s="273">
        <f>F37/C37*100</f>
        <v>64.020257811641983</v>
      </c>
    </row>
    <row r="39" spans="1:7" x14ac:dyDescent="0.3">
      <c r="A39" s="280" t="s">
        <v>4838</v>
      </c>
    </row>
    <row r="40" spans="1:7" x14ac:dyDescent="0.3">
      <c r="A40" s="252" t="s">
        <v>592</v>
      </c>
      <c r="B40" s="252" t="s">
        <v>500</v>
      </c>
      <c r="C40" s="252" t="s">
        <v>4650</v>
      </c>
      <c r="D40" s="252" t="s">
        <v>4651</v>
      </c>
      <c r="E40" s="252" t="s">
        <v>4648</v>
      </c>
      <c r="F40" s="252" t="s">
        <v>4652</v>
      </c>
      <c r="G40" s="252" t="s">
        <v>4648</v>
      </c>
    </row>
    <row r="41" spans="1:7" x14ac:dyDescent="0.3">
      <c r="A41" s="450" t="s">
        <v>576</v>
      </c>
      <c r="B41" s="220" t="s">
        <v>560</v>
      </c>
      <c r="C41" s="225">
        <f>SUM('PER BULAN'!F84+'PER BULAN'!F97+'PER BULAN'!F99)</f>
        <v>297880000</v>
      </c>
      <c r="D41" s="225">
        <f>SUM('PER BULAN'!AQ84+'PER BULAN'!AQ97+'PER BULAN'!AQ99)</f>
        <v>73441280</v>
      </c>
      <c r="E41" s="283">
        <f>D41/C41*100</f>
        <v>24.654652880354504</v>
      </c>
      <c r="F41" s="225">
        <f t="shared" ref="F41:F46" si="6">C41-D41</f>
        <v>224438720</v>
      </c>
      <c r="G41" s="326">
        <f>F41/C41*100</f>
        <v>75.345347119645496</v>
      </c>
    </row>
    <row r="42" spans="1:7" x14ac:dyDescent="0.3">
      <c r="A42" s="450"/>
      <c r="B42" s="220" t="s">
        <v>546</v>
      </c>
      <c r="C42" s="225">
        <v>0</v>
      </c>
      <c r="D42" s="225">
        <v>0</v>
      </c>
      <c r="E42" s="283">
        <f>IFERROR(D42/C42*100,0)</f>
        <v>0</v>
      </c>
      <c r="F42" s="225">
        <f t="shared" si="6"/>
        <v>0</v>
      </c>
      <c r="G42" s="329">
        <v>0</v>
      </c>
    </row>
    <row r="43" spans="1:7" x14ac:dyDescent="0.3">
      <c r="A43" s="450"/>
      <c r="B43" s="247" t="s">
        <v>4653</v>
      </c>
      <c r="C43" s="250">
        <f>SUM(C41:C42)</f>
        <v>297880000</v>
      </c>
      <c r="D43" s="250">
        <f>SUM(D41:D42)</f>
        <v>73441280</v>
      </c>
      <c r="E43" s="284">
        <f>D43/C43*100</f>
        <v>24.654652880354504</v>
      </c>
      <c r="F43" s="250">
        <f t="shared" si="6"/>
        <v>224438720</v>
      </c>
      <c r="G43" s="327">
        <f>F43/C43*100</f>
        <v>75.345347119645496</v>
      </c>
    </row>
    <row r="44" spans="1:7" x14ac:dyDescent="0.3">
      <c r="A44" s="450" t="s">
        <v>542</v>
      </c>
      <c r="B44" s="220" t="s">
        <v>543</v>
      </c>
      <c r="C44" s="225">
        <f>SUM('PER BULAN'!F226)</f>
        <v>30000000</v>
      </c>
      <c r="D44" s="225">
        <v>0</v>
      </c>
      <c r="E44" s="283">
        <f>D44/C44*100</f>
        <v>0</v>
      </c>
      <c r="F44" s="225">
        <f t="shared" si="6"/>
        <v>30000000</v>
      </c>
      <c r="G44" s="329">
        <v>0</v>
      </c>
    </row>
    <row r="45" spans="1:7" x14ac:dyDescent="0.3">
      <c r="A45" s="450"/>
      <c r="B45" s="220" t="s">
        <v>591</v>
      </c>
      <c r="C45" s="225">
        <v>0</v>
      </c>
      <c r="D45" s="225">
        <v>0</v>
      </c>
      <c r="E45" s="283">
        <f>IFERROR(D45/C45*100,0)</f>
        <v>0</v>
      </c>
      <c r="F45" s="225">
        <f t="shared" si="6"/>
        <v>0</v>
      </c>
      <c r="G45" s="329">
        <v>0</v>
      </c>
    </row>
    <row r="46" spans="1:7" x14ac:dyDescent="0.3">
      <c r="A46" s="450"/>
      <c r="B46" s="247" t="s">
        <v>4657</v>
      </c>
      <c r="C46" s="250">
        <f>SUM(C44:C45)</f>
        <v>30000000</v>
      </c>
      <c r="D46" s="250">
        <f>SUM(D44:D45)</f>
        <v>0</v>
      </c>
      <c r="E46" s="285">
        <f>D46/C46*100</f>
        <v>0</v>
      </c>
      <c r="F46" s="250">
        <f t="shared" si="6"/>
        <v>30000000</v>
      </c>
      <c r="G46" s="327">
        <f>F46/C46*100</f>
        <v>100</v>
      </c>
    </row>
    <row r="47" spans="1:7" x14ac:dyDescent="0.3">
      <c r="A47" s="450" t="s">
        <v>531</v>
      </c>
      <c r="B47" s="220" t="s">
        <v>532</v>
      </c>
      <c r="C47" s="253">
        <v>0</v>
      </c>
      <c r="D47" s="225">
        <v>0</v>
      </c>
      <c r="E47" s="283">
        <f>IFERROR(D47/C47*100,0)</f>
        <v>0</v>
      </c>
      <c r="F47" s="225">
        <f t="shared" ref="F47:F53" si="7">C47-D47</f>
        <v>0</v>
      </c>
      <c r="G47" s="329">
        <f>IFERROR(F47/C47*100,0)</f>
        <v>0</v>
      </c>
    </row>
    <row r="48" spans="1:7" x14ac:dyDescent="0.3">
      <c r="A48" s="450"/>
      <c r="B48" s="220" t="s">
        <v>534</v>
      </c>
      <c r="C48" s="225">
        <v>0</v>
      </c>
      <c r="D48" s="225">
        <v>0</v>
      </c>
      <c r="E48" s="283">
        <f>IFERROR(D48/C48*100,0)</f>
        <v>0</v>
      </c>
      <c r="F48" s="225">
        <f t="shared" si="7"/>
        <v>0</v>
      </c>
      <c r="G48" s="329">
        <f>IFERROR(F48/C48*100,0)</f>
        <v>0</v>
      </c>
    </row>
    <row r="49" spans="1:7" x14ac:dyDescent="0.3">
      <c r="A49" s="450"/>
      <c r="B49" s="247" t="s">
        <v>4658</v>
      </c>
      <c r="C49" s="250">
        <f>SUM(C47:C48)</f>
        <v>0</v>
      </c>
      <c r="D49" s="250">
        <f>SUM(D47:D48)</f>
        <v>0</v>
      </c>
      <c r="E49" s="284">
        <v>0</v>
      </c>
      <c r="F49" s="250">
        <f t="shared" si="7"/>
        <v>0</v>
      </c>
      <c r="G49" s="330">
        <f>IFERROR(F49/C49*100,0)</f>
        <v>0</v>
      </c>
    </row>
    <row r="50" spans="1:7" x14ac:dyDescent="0.3">
      <c r="A50" s="450" t="s">
        <v>535</v>
      </c>
      <c r="B50" s="220" t="s">
        <v>536</v>
      </c>
      <c r="C50" s="225">
        <f>SUM('PER BULAN'!F38+'PER BULAN'!F46)</f>
        <v>8000000</v>
      </c>
      <c r="D50" s="225">
        <v>0</v>
      </c>
      <c r="E50" s="283">
        <f>D50/C50*100</f>
        <v>0</v>
      </c>
      <c r="F50" s="225">
        <f t="shared" si="7"/>
        <v>8000000</v>
      </c>
      <c r="G50" s="326">
        <f>F50/C50*100</f>
        <v>100</v>
      </c>
    </row>
    <row r="51" spans="1:7" x14ac:dyDescent="0.3">
      <c r="A51" s="450"/>
      <c r="B51" s="220" t="s">
        <v>538</v>
      </c>
      <c r="C51" s="225">
        <f>SUM('PER BULAN'!F58+'PER BULAN'!F106)</f>
        <v>13000000</v>
      </c>
      <c r="D51" s="225">
        <v>0</v>
      </c>
      <c r="E51" s="283">
        <f>D51/C51*100</f>
        <v>0</v>
      </c>
      <c r="F51" s="225">
        <f t="shared" si="7"/>
        <v>13000000</v>
      </c>
      <c r="G51" s="326">
        <f>F51/C51*100</f>
        <v>100</v>
      </c>
    </row>
    <row r="52" spans="1:7" x14ac:dyDescent="0.3">
      <c r="A52" s="450"/>
      <c r="B52" s="247" t="s">
        <v>4659</v>
      </c>
      <c r="C52" s="250">
        <f>SUM(C50:C51)</f>
        <v>21000000</v>
      </c>
      <c r="D52" s="250">
        <f>SUM(D50:D51)</f>
        <v>0</v>
      </c>
      <c r="E52" s="285">
        <f>D52/C52*100</f>
        <v>0</v>
      </c>
      <c r="F52" s="250">
        <f t="shared" si="7"/>
        <v>21000000</v>
      </c>
      <c r="G52" s="327">
        <f>F52/C52*100</f>
        <v>100</v>
      </c>
    </row>
    <row r="53" spans="1:7" x14ac:dyDescent="0.3">
      <c r="A53" s="449" t="s">
        <v>4655</v>
      </c>
      <c r="B53" s="449"/>
      <c r="C53" s="232">
        <f>C43+C46+C49+C52</f>
        <v>348880000</v>
      </c>
      <c r="D53" s="232">
        <f>D43+D46+D49+D52</f>
        <v>73441280</v>
      </c>
      <c r="E53" s="286">
        <f>D53/C53*100</f>
        <v>21.050584728273332</v>
      </c>
      <c r="F53" s="232">
        <f t="shared" si="7"/>
        <v>275438720</v>
      </c>
      <c r="G53" s="328">
        <f>F53/C53*100</f>
        <v>78.949415271726664</v>
      </c>
    </row>
    <row r="54" spans="1:7" x14ac:dyDescent="0.3">
      <c r="A54" s="449" t="s">
        <v>4656</v>
      </c>
      <c r="B54" s="449"/>
      <c r="C54" s="449"/>
      <c r="D54" s="232">
        <f>D53</f>
        <v>73441280</v>
      </c>
      <c r="E54" s="286">
        <f>E53</f>
        <v>21.050584728273332</v>
      </c>
      <c r="F54" s="232">
        <f>F53</f>
        <v>275438720</v>
      </c>
      <c r="G54" s="328">
        <f>G53</f>
        <v>78.949415271726664</v>
      </c>
    </row>
  </sheetData>
  <mergeCells count="23">
    <mergeCell ref="D27:E27"/>
    <mergeCell ref="F27:G27"/>
    <mergeCell ref="A1:G1"/>
    <mergeCell ref="A3:G3"/>
    <mergeCell ref="A50:A52"/>
    <mergeCell ref="A36:B36"/>
    <mergeCell ref="A37:B37"/>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s>
  <pageMargins left="0.7" right="0.7" top="0.75" bottom="0.75" header="0.3" footer="0.3"/>
  <pageSetup paperSize="9" scale="63" fitToHeight="0" orientation="portrait" horizontalDpi="0" verticalDpi="0" r:id="rId1"/>
  <ignoredErrors>
    <ignoredError sqref="E42 E45:E46 E35" formula="1"/>
    <ignoredError sqref="C29" formulaRange="1"/>
  </ignoredError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AB34" sqref="AB34"/>
    </sheetView>
  </sheetViews>
  <sheetFormatPr defaultRowHeight="14.4" x14ac:dyDescent="0.3"/>
  <sheetData>
    <row r="1" spans="2:16" x14ac:dyDescent="0.3">
      <c r="B1" s="460" t="str">
        <f>PERSUBBID!A1</f>
        <v>REALISASI TANPA GAJI</v>
      </c>
      <c r="C1" s="460"/>
      <c r="D1" s="460"/>
      <c r="E1" s="460"/>
      <c r="F1" s="460"/>
      <c r="G1" s="460"/>
      <c r="H1" s="460"/>
      <c r="I1" s="460"/>
      <c r="J1" s="460"/>
      <c r="K1" s="460"/>
      <c r="L1" s="460"/>
      <c r="M1" s="460"/>
      <c r="N1" s="460"/>
      <c r="O1" s="460"/>
      <c r="P1" s="460"/>
    </row>
    <row r="2" spans="2:16" ht="15.6" x14ac:dyDescent="0.3">
      <c r="B2" s="451" t="str">
        <f>PERSUBBID!A2</f>
        <v>Berdasarkan DIPA Revisi 1 POK 2 TA. 2022 (Tanggal 22 Maret 2022)</v>
      </c>
      <c r="C2" s="451"/>
      <c r="D2" s="451"/>
      <c r="E2" s="451"/>
      <c r="F2" s="451"/>
      <c r="G2" s="451"/>
      <c r="H2" s="451"/>
      <c r="I2" s="451"/>
      <c r="J2" s="451"/>
      <c r="K2" s="451"/>
      <c r="L2" s="451"/>
      <c r="M2" s="451"/>
      <c r="N2" s="451"/>
      <c r="O2" s="451"/>
      <c r="P2" s="451"/>
    </row>
    <row r="3" spans="2:16" ht="15.6" x14ac:dyDescent="0.3">
      <c r="B3" s="451" t="str">
        <f>PERSUBBID!A3</f>
        <v>SAMPAI DENGAN 15 JUNI 2022</v>
      </c>
      <c r="C3" s="451"/>
      <c r="D3" s="451"/>
      <c r="E3" s="451"/>
      <c r="F3" s="451"/>
      <c r="G3" s="451"/>
      <c r="H3" s="451"/>
      <c r="I3" s="451"/>
      <c r="J3" s="451"/>
      <c r="K3" s="451"/>
      <c r="L3" s="451"/>
      <c r="M3" s="451"/>
      <c r="N3" s="451"/>
      <c r="O3" s="451"/>
      <c r="P3" s="451"/>
    </row>
  </sheetData>
  <mergeCells count="3">
    <mergeCell ref="B1:P1"/>
    <mergeCell ref="B2:P2"/>
    <mergeCell ref="B3:P3"/>
  </mergeCells>
  <pageMargins left="0.7" right="0.7" top="0.75" bottom="0.75" header="0.3" footer="0.3"/>
  <pageSetup paperSize="9" scale="67"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0" zoomScale="85" zoomScaleNormal="85" workbookViewId="0">
      <selection activeCell="P19" sqref="P19"/>
    </sheetView>
  </sheetViews>
  <sheetFormatPr defaultRowHeight="14.4" x14ac:dyDescent="0.3"/>
  <cols>
    <col min="1" max="1" width="16.5546875" customWidth="1"/>
    <col min="2" max="2" width="58" customWidth="1"/>
    <col min="3" max="3" width="15.33203125" bestFit="1" customWidth="1"/>
    <col min="4" max="4" width="14.33203125" bestFit="1" customWidth="1"/>
    <col min="6" max="6" width="15.33203125" bestFit="1" customWidth="1"/>
    <col min="7" max="7" width="10.6640625" style="341" customWidth="1"/>
    <col min="9" max="9" width="11.5546875" style="274" customWidth="1"/>
    <col min="10" max="10" width="23.109375" customWidth="1"/>
    <col min="11" max="12" width="14.33203125" bestFit="1" customWidth="1"/>
    <col min="13" max="13" width="10.5546875" bestFit="1" customWidth="1"/>
    <col min="15" max="15" width="14.33203125" style="274" bestFit="1" customWidth="1"/>
  </cols>
  <sheetData>
    <row r="1" spans="1:10" ht="15.6" x14ac:dyDescent="0.3">
      <c r="A1" s="451" t="s">
        <v>5177</v>
      </c>
      <c r="B1" s="451"/>
      <c r="C1" s="451"/>
      <c r="D1" s="451"/>
      <c r="E1" s="451"/>
      <c r="F1" s="451"/>
      <c r="G1" s="451"/>
    </row>
    <row r="2" spans="1:10" ht="15.6" x14ac:dyDescent="0.3">
      <c r="A2" s="451" t="str">
        <f>'PER BULAN'!B5</f>
        <v>Berdasarkan DIPA Revisi 1 POK 2 TA. 2022 (Tanggal 22 Maret 2022)</v>
      </c>
      <c r="B2" s="451"/>
      <c r="C2" s="451"/>
      <c r="D2" s="451"/>
      <c r="E2" s="451"/>
      <c r="F2" s="451"/>
      <c r="G2" s="451"/>
    </row>
    <row r="3" spans="1:10" ht="15.6" x14ac:dyDescent="0.3">
      <c r="A3" s="451" t="str">
        <f>PERSUBBID!A3</f>
        <v>SAMPAI DENGAN 15 JUNI 2022</v>
      </c>
      <c r="B3" s="451"/>
      <c r="C3" s="451"/>
      <c r="D3" s="451"/>
      <c r="E3" s="451"/>
      <c r="F3" s="451"/>
      <c r="G3" s="451"/>
    </row>
    <row r="4" spans="1:10" ht="15.6" x14ac:dyDescent="0.3">
      <c r="A4" s="451"/>
      <c r="B4" s="451"/>
      <c r="C4" s="451"/>
      <c r="D4" s="451"/>
      <c r="E4" s="451"/>
      <c r="F4" s="451"/>
      <c r="G4" s="451"/>
    </row>
    <row r="5" spans="1:10" x14ac:dyDescent="0.3">
      <c r="A5" s="260" t="s">
        <v>4817</v>
      </c>
    </row>
    <row r="6" spans="1:10" x14ac:dyDescent="0.3">
      <c r="A6" s="252" t="s">
        <v>592</v>
      </c>
      <c r="B6" s="252" t="s">
        <v>500</v>
      </c>
      <c r="C6" s="252" t="s">
        <v>4650</v>
      </c>
      <c r="D6" s="252" t="s">
        <v>4651</v>
      </c>
      <c r="E6" s="252" t="s">
        <v>4648</v>
      </c>
      <c r="F6" s="252" t="s">
        <v>4652</v>
      </c>
      <c r="G6" s="252" t="s">
        <v>4648</v>
      </c>
    </row>
    <row r="7" spans="1:10" x14ac:dyDescent="0.3">
      <c r="A7" s="452" t="s">
        <v>576</v>
      </c>
      <c r="B7" s="282" t="s">
        <v>560</v>
      </c>
      <c r="C7" s="225">
        <f>SUM('PER BULAN'!F78+'PER BULAN'!F82+'PER BULAN'!F86+'PER BULAN'!F91+'PER BULAN'!F95)</f>
        <v>1186502000</v>
      </c>
      <c r="D7" s="225">
        <f>SUM('PER BULAN'!AQ78+'PER BULAN'!AQ82+'PER BULAN'!AQ86+'PER BULAN'!AQ91+'PER BULAN'!AQ95)</f>
        <v>390447219</v>
      </c>
      <c r="E7" s="224">
        <f t="shared" ref="E7:E15" si="0">D7/C7*100</f>
        <v>32.907421900679481</v>
      </c>
      <c r="F7" s="225">
        <f t="shared" ref="F7:F15" si="1">C7-D7</f>
        <v>796054781</v>
      </c>
      <c r="G7" s="326">
        <f t="shared" ref="G7:G15" si="2">F7/C7*100</f>
        <v>67.092578099320519</v>
      </c>
    </row>
    <row r="8" spans="1:10" x14ac:dyDescent="0.3">
      <c r="A8" s="453"/>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3">
      <c r="A9" s="453"/>
      <c r="B9" s="251" t="s">
        <v>4660</v>
      </c>
      <c r="C9" s="225">
        <f>SUM('PER BULAN'!F137)</f>
        <v>100000000</v>
      </c>
      <c r="D9" s="225">
        <f>SUM('PER BULAN'!AQ137)</f>
        <v>0</v>
      </c>
      <c r="E9" s="224">
        <f t="shared" si="0"/>
        <v>0</v>
      </c>
      <c r="F9" s="225">
        <f t="shared" si="1"/>
        <v>100000000</v>
      </c>
      <c r="G9" s="326">
        <f t="shared" si="2"/>
        <v>100</v>
      </c>
    </row>
    <row r="10" spans="1:10" x14ac:dyDescent="0.3">
      <c r="A10" s="453"/>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s="274" customFormat="1" x14ac:dyDescent="0.3">
      <c r="A11" s="453"/>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c r="H11"/>
      <c r="J11"/>
    </row>
    <row r="12" spans="1:10" s="274" customFormat="1" x14ac:dyDescent="0.3">
      <c r="A12" s="453"/>
      <c r="B12" s="345" t="s">
        <v>5026</v>
      </c>
      <c r="C12" s="253">
        <f>[5]cuk!$F$233</f>
        <v>6155047000</v>
      </c>
      <c r="D12" s="225">
        <f>[5]cuk!$AQ$233</f>
        <v>2939763957</v>
      </c>
      <c r="E12" s="224">
        <f t="shared" si="0"/>
        <v>47.761844174382425</v>
      </c>
      <c r="F12" s="225">
        <f t="shared" si="1"/>
        <v>3215283043</v>
      </c>
      <c r="G12" s="326">
        <f t="shared" si="2"/>
        <v>52.238155825617582</v>
      </c>
      <c r="H12"/>
      <c r="J12"/>
    </row>
    <row r="13" spans="1:10" s="274" customFormat="1" x14ac:dyDescent="0.3">
      <c r="A13" s="453"/>
      <c r="B13" s="345" t="s">
        <v>5027</v>
      </c>
      <c r="C13" s="253">
        <f>[5]cuk!$F$245</f>
        <v>323949000</v>
      </c>
      <c r="D13" s="225">
        <f>[5]cuk!$AQ$245</f>
        <v>0</v>
      </c>
      <c r="E13" s="224">
        <f t="shared" si="0"/>
        <v>0</v>
      </c>
      <c r="F13" s="225">
        <f t="shared" si="1"/>
        <v>323949000</v>
      </c>
      <c r="G13" s="326">
        <f t="shared" si="2"/>
        <v>100</v>
      </c>
      <c r="H13"/>
      <c r="J13"/>
    </row>
    <row r="14" spans="1:10" s="274" customFormat="1" x14ac:dyDescent="0.3">
      <c r="A14" s="454"/>
      <c r="B14" s="247" t="s">
        <v>4653</v>
      </c>
      <c r="C14" s="250">
        <f>SUM(C7:C13)</f>
        <v>10807010000</v>
      </c>
      <c r="D14" s="250">
        <f>SUM(D7:D12)</f>
        <v>4784281337</v>
      </c>
      <c r="E14" s="249">
        <f t="shared" si="0"/>
        <v>44.270166651090356</v>
      </c>
      <c r="F14" s="250">
        <f t="shared" si="1"/>
        <v>6022728663</v>
      </c>
      <c r="G14" s="327">
        <f t="shared" si="2"/>
        <v>55.729833348909644</v>
      </c>
      <c r="H14" s="245"/>
      <c r="J14"/>
    </row>
    <row r="15" spans="1:10" s="274" customFormat="1" ht="15" customHeight="1" x14ac:dyDescent="0.3">
      <c r="A15" s="452" t="s">
        <v>542</v>
      </c>
      <c r="B15" s="282" t="s">
        <v>543</v>
      </c>
      <c r="C15" s="225">
        <f>SUM('PER BULAN'!F70+'PER BULAN'!F149+'PER BULAN'!F154+'PER BULAN'!F160)</f>
        <v>768918000</v>
      </c>
      <c r="D15" s="225">
        <f>SUM('PER BULAN'!AQ70+'PER BULAN'!AQ149+'PER BULAN'!AQ154+'PER BULAN'!AQ160)</f>
        <v>130677295</v>
      </c>
      <c r="E15" s="224">
        <f t="shared" si="0"/>
        <v>16.994958500126149</v>
      </c>
      <c r="F15" s="225">
        <f t="shared" si="1"/>
        <v>638240705</v>
      </c>
      <c r="G15" s="326">
        <f t="shared" si="2"/>
        <v>83.00504149987384</v>
      </c>
      <c r="H15"/>
      <c r="J15"/>
    </row>
    <row r="16" spans="1:10" s="274" customFormat="1" x14ac:dyDescent="0.3">
      <c r="A16" s="453"/>
      <c r="B16" s="251" t="s">
        <v>4729</v>
      </c>
      <c r="C16" s="225">
        <f>SUM('PER BULAN'!F208+'PER BULAN'!F215+'PER BULAN'!F221+'PER BULAN'!F225+'PER BULAN'!F228)</f>
        <v>8582500000</v>
      </c>
      <c r="D16" s="225">
        <f>SUM('PER BULAN'!AQ208+'PER BULAN'!AQ215+'PER BULAN'!AQ221+'PER BULAN'!AQ225+'PER BULAN'!AQ228)</f>
        <v>3476713912</v>
      </c>
      <c r="E16" s="224">
        <f>D16/C16*100</f>
        <v>40.509337745412175</v>
      </c>
      <c r="F16" s="225">
        <f>C16-D16</f>
        <v>5105786088</v>
      </c>
      <c r="G16" s="326">
        <f>F16/C16*100</f>
        <v>59.490662254587825</v>
      </c>
      <c r="H16"/>
      <c r="J16"/>
    </row>
    <row r="17" spans="1:10" s="274" customFormat="1" x14ac:dyDescent="0.3">
      <c r="A17" s="453"/>
      <c r="B17" s="282" t="s">
        <v>591</v>
      </c>
      <c r="C17" s="225">
        <f>SUM('PER BULAN'!F167+'PER BULAN'!F171+'PER BULAN'!F178)</f>
        <v>633732000</v>
      </c>
      <c r="D17" s="225">
        <f>SUM('PER BULAN'!AQ167+'PER BULAN'!AQ171+'PER BULAN'!AQ178)</f>
        <v>105796297</v>
      </c>
      <c r="E17" s="224">
        <f t="shared" ref="E17:E24" si="3">D17/C17*100</f>
        <v>16.694169933031628</v>
      </c>
      <c r="F17" s="225">
        <f t="shared" ref="F17:F24" si="4">C17-D17</f>
        <v>527935703</v>
      </c>
      <c r="G17" s="326">
        <f t="shared" ref="G17:G24" si="5">F17/C17*100</f>
        <v>83.305830066968369</v>
      </c>
      <c r="H17"/>
      <c r="J17"/>
    </row>
    <row r="18" spans="1:10" s="274" customFormat="1" x14ac:dyDescent="0.3">
      <c r="A18" s="454"/>
      <c r="B18" s="247" t="s">
        <v>4657</v>
      </c>
      <c r="C18" s="250">
        <f>SUM(C15:C17)</f>
        <v>9985150000</v>
      </c>
      <c r="D18" s="250">
        <f>SUM(D15:D17)</f>
        <v>3713187504</v>
      </c>
      <c r="E18" s="249">
        <f t="shared" si="3"/>
        <v>37.187097880352319</v>
      </c>
      <c r="F18" s="250">
        <f t="shared" si="4"/>
        <v>6271962496</v>
      </c>
      <c r="G18" s="327">
        <f t="shared" si="5"/>
        <v>62.812902119647674</v>
      </c>
      <c r="H18"/>
      <c r="I18" s="274" t="s">
        <v>4644</v>
      </c>
      <c r="J18"/>
    </row>
    <row r="19" spans="1:10" ht="15" customHeight="1" x14ac:dyDescent="0.3">
      <c r="A19" s="452" t="s">
        <v>531</v>
      </c>
      <c r="B19" s="282" t="s">
        <v>532</v>
      </c>
      <c r="C19" s="225">
        <f>SUM('PER BULAN'!F20+'PER BULAN'!F24+'PER BULAN'!F108)</f>
        <v>474100000</v>
      </c>
      <c r="D19" s="225">
        <f>SUM('PER BULAN'!AQ20+'PER BULAN'!AQ24+'PER BULAN'!AQ108)</f>
        <v>133815590</v>
      </c>
      <c r="E19" s="224">
        <f t="shared" si="3"/>
        <v>28.225182450959714</v>
      </c>
      <c r="F19" s="225">
        <f t="shared" si="4"/>
        <v>340284410</v>
      </c>
      <c r="G19" s="326">
        <f t="shared" si="5"/>
        <v>71.774817549040279</v>
      </c>
    </row>
    <row r="20" spans="1:10" x14ac:dyDescent="0.3">
      <c r="A20" s="453"/>
      <c r="B20" s="282" t="s">
        <v>534</v>
      </c>
      <c r="C20" s="225">
        <f>SUM('PER BULAN'!F29+'PER BULAN'!F113+'PER BULAN'!F118)</f>
        <v>804500000</v>
      </c>
      <c r="D20" s="225">
        <f>SUM('PER BULAN'!AQ29+'PER BULAN'!AQ113+'PER BULAN'!AQ118)</f>
        <v>73365500</v>
      </c>
      <c r="E20" s="224">
        <f t="shared" si="3"/>
        <v>9.1193909260410191</v>
      </c>
      <c r="F20" s="225">
        <f t="shared" si="4"/>
        <v>731134500</v>
      </c>
      <c r="G20" s="326">
        <f t="shared" si="5"/>
        <v>90.880609073958979</v>
      </c>
      <c r="J20" s="276"/>
    </row>
    <row r="21" spans="1:10" x14ac:dyDescent="0.3">
      <c r="A21" s="454"/>
      <c r="B21" s="247" t="s">
        <v>4658</v>
      </c>
      <c r="C21" s="250">
        <f>SUM(C19:C20)</f>
        <v>1278600000</v>
      </c>
      <c r="D21" s="250">
        <f>SUM(D19:D20)</f>
        <v>207181090</v>
      </c>
      <c r="E21" s="249">
        <f t="shared" si="3"/>
        <v>16.203745502893792</v>
      </c>
      <c r="F21" s="250">
        <f t="shared" si="4"/>
        <v>1071418910</v>
      </c>
      <c r="G21" s="327">
        <f t="shared" si="5"/>
        <v>83.796254497106219</v>
      </c>
    </row>
    <row r="22" spans="1:10" ht="15" customHeight="1" x14ac:dyDescent="0.3">
      <c r="A22" s="452" t="s">
        <v>535</v>
      </c>
      <c r="B22" s="282" t="s">
        <v>536</v>
      </c>
      <c r="C22" s="225">
        <f>SUM('PER BULAN'!F33+'PER BULAN'!F41+'PER BULAN'!F48)</f>
        <v>686300000</v>
      </c>
      <c r="D22" s="225">
        <f>SUM('PER BULAN'!AQ33+'PER BULAN'!AQ41+'PER BULAN'!AQ48)</f>
        <v>214180240</v>
      </c>
      <c r="E22" s="224">
        <f t="shared" si="3"/>
        <v>31.207961532857354</v>
      </c>
      <c r="F22" s="225">
        <f t="shared" si="4"/>
        <v>472119760</v>
      </c>
      <c r="G22" s="326">
        <f t="shared" si="5"/>
        <v>68.792038467142646</v>
      </c>
    </row>
    <row r="23" spans="1:10" x14ac:dyDescent="0.3">
      <c r="A23" s="453"/>
      <c r="B23" s="282" t="s">
        <v>538</v>
      </c>
      <c r="C23" s="225">
        <f>SUM('PER BULAN'!F54+'PER BULAN'!F102)</f>
        <v>585100000</v>
      </c>
      <c r="D23" s="225">
        <f>SUM('PER BULAN'!AQ54+'PER BULAN'!AQ102)</f>
        <v>88256718</v>
      </c>
      <c r="E23" s="224">
        <f t="shared" si="3"/>
        <v>15.084039993163561</v>
      </c>
      <c r="F23" s="225">
        <f t="shared" si="4"/>
        <v>496843282</v>
      </c>
      <c r="G23" s="326">
        <f t="shared" si="5"/>
        <v>84.915960006836428</v>
      </c>
    </row>
    <row r="24" spans="1:10" x14ac:dyDescent="0.3">
      <c r="A24" s="454"/>
      <c r="B24" s="247" t="s">
        <v>4659</v>
      </c>
      <c r="C24" s="250">
        <f>SUM(C22:C23)</f>
        <v>1271400000</v>
      </c>
      <c r="D24" s="250">
        <f>SUM(D22:D23)</f>
        <v>302436958</v>
      </c>
      <c r="E24" s="249">
        <f t="shared" si="3"/>
        <v>23.787711027214094</v>
      </c>
      <c r="F24" s="250">
        <f t="shared" si="4"/>
        <v>968963042</v>
      </c>
      <c r="G24" s="327">
        <f t="shared" si="5"/>
        <v>76.212288972785899</v>
      </c>
    </row>
    <row r="25" spans="1:10" x14ac:dyDescent="0.3">
      <c r="A25" s="449" t="s">
        <v>4655</v>
      </c>
      <c r="B25" s="449"/>
      <c r="C25" s="232">
        <f>C14++C18+C21+C24</f>
        <v>23342160000</v>
      </c>
      <c r="D25" s="232">
        <f>D14++D18+D21+D24</f>
        <v>9007086889</v>
      </c>
      <c r="E25" s="231">
        <f>D25/C25*100</f>
        <v>38.587203964843013</v>
      </c>
      <c r="F25" s="232">
        <f>C25-D25</f>
        <v>14335073111</v>
      </c>
      <c r="G25" s="328">
        <f>F25/C25*100</f>
        <v>61.412796035156994</v>
      </c>
    </row>
    <row r="26" spans="1:10" x14ac:dyDescent="0.3">
      <c r="A26" s="449" t="s">
        <v>4656</v>
      </c>
      <c r="B26" s="449"/>
      <c r="C26" s="449"/>
      <c r="D26" s="232">
        <f>D25</f>
        <v>9007086889</v>
      </c>
      <c r="E26" s="231">
        <f>D26/C25*100</f>
        <v>38.587203964843013</v>
      </c>
      <c r="F26" s="232">
        <f>C25-D26</f>
        <v>14335073111</v>
      </c>
      <c r="G26" s="328">
        <f>F26/C25*100</f>
        <v>61.412796035156994</v>
      </c>
    </row>
    <row r="28" spans="1:10" x14ac:dyDescent="0.3">
      <c r="A28" s="260" t="s">
        <v>5176</v>
      </c>
    </row>
    <row r="29" spans="1:10" x14ac:dyDescent="0.3">
      <c r="A29" s="455" t="s">
        <v>4807</v>
      </c>
      <c r="B29" s="455" t="s">
        <v>4808</v>
      </c>
      <c r="C29" s="455" t="s">
        <v>4809</v>
      </c>
      <c r="D29" s="459" t="s">
        <v>4647</v>
      </c>
      <c r="E29" s="459"/>
      <c r="F29" s="459" t="s">
        <v>4810</v>
      </c>
      <c r="G29" s="459"/>
    </row>
    <row r="30" spans="1:10" x14ac:dyDescent="0.3">
      <c r="A30" s="456"/>
      <c r="B30" s="456"/>
      <c r="C30" s="456"/>
      <c r="D30" s="271" t="s">
        <v>4811</v>
      </c>
      <c r="E30" s="342" t="s">
        <v>4648</v>
      </c>
      <c r="F30" s="271" t="s">
        <v>4811</v>
      </c>
      <c r="G30" s="271" t="s">
        <v>4648</v>
      </c>
    </row>
    <row r="31" spans="1:10" x14ac:dyDescent="0.3">
      <c r="A31" s="261">
        <v>1</v>
      </c>
      <c r="B31" s="262" t="s">
        <v>4812</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3">
      <c r="A32" s="270"/>
      <c r="B32" s="266" t="s">
        <v>4813</v>
      </c>
      <c r="C32" s="267">
        <v>2095658000</v>
      </c>
      <c r="D32" s="267">
        <f>D8</f>
        <v>663321641</v>
      </c>
      <c r="E32" s="268">
        <f>D32/C32*100</f>
        <v>31.652189479390241</v>
      </c>
      <c r="F32" s="269">
        <f>C32-D32</f>
        <v>1432336359</v>
      </c>
      <c r="G32" s="268">
        <f>F32/C32*100</f>
        <v>68.347810520609755</v>
      </c>
      <c r="J32" s="412">
        <f>D31</f>
        <v>5413122932</v>
      </c>
    </row>
    <row r="33" spans="1:13" x14ac:dyDescent="0.3">
      <c r="A33" s="270"/>
      <c r="B33" s="266" t="s">
        <v>4818</v>
      </c>
      <c r="C33" s="267">
        <v>100000000</v>
      </c>
      <c r="D33" s="267">
        <f>D9</f>
        <v>0</v>
      </c>
      <c r="E33" s="268">
        <f>D33/C33*100</f>
        <v>0</v>
      </c>
      <c r="F33" s="269">
        <f>C33-D33</f>
        <v>100000000</v>
      </c>
      <c r="G33" s="268">
        <f>F33/C33*100</f>
        <v>100</v>
      </c>
      <c r="J33" s="413">
        <f>J31-J32</f>
        <v>0</v>
      </c>
    </row>
    <row r="34" spans="1:13" x14ac:dyDescent="0.3">
      <c r="A34" s="270"/>
      <c r="B34" s="266" t="s">
        <v>4819</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3">
      <c r="A35" s="270">
        <v>2</v>
      </c>
      <c r="B35" s="346" t="s">
        <v>5028</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3">
      <c r="A36" s="270"/>
      <c r="B36" s="266" t="s">
        <v>5029</v>
      </c>
      <c r="C36" s="267">
        <f>C12</f>
        <v>6155047000</v>
      </c>
      <c r="D36" s="267">
        <f>D12</f>
        <v>2939763957</v>
      </c>
      <c r="E36" s="268">
        <f t="shared" si="6"/>
        <v>47.761844174382425</v>
      </c>
      <c r="F36" s="269">
        <f t="shared" si="7"/>
        <v>3215283043</v>
      </c>
      <c r="G36" s="268">
        <f t="shared" si="8"/>
        <v>52.238155825617582</v>
      </c>
      <c r="J36" s="413">
        <f>J34-J35</f>
        <v>0</v>
      </c>
      <c r="M36" s="276"/>
    </row>
    <row r="37" spans="1:13" x14ac:dyDescent="0.3">
      <c r="A37" s="270"/>
      <c r="B37" s="266" t="s">
        <v>5030</v>
      </c>
      <c r="C37" s="267">
        <f>C13</f>
        <v>323949000</v>
      </c>
      <c r="D37" s="267"/>
      <c r="E37" s="268">
        <f t="shared" si="6"/>
        <v>0</v>
      </c>
      <c r="F37" s="269">
        <f t="shared" si="7"/>
        <v>323949000</v>
      </c>
      <c r="G37" s="268">
        <f t="shared" si="8"/>
        <v>100</v>
      </c>
      <c r="J37" s="225">
        <f>'SP2D ON'!O9</f>
        <v>654200000</v>
      </c>
    </row>
    <row r="38" spans="1:13" x14ac:dyDescent="0.3">
      <c r="A38" s="261">
        <v>2</v>
      </c>
      <c r="B38" s="262" t="s">
        <v>4814</v>
      </c>
      <c r="C38" s="263">
        <v>655934000</v>
      </c>
      <c r="D38" s="263">
        <f>D10</f>
        <v>654200000</v>
      </c>
      <c r="E38" s="264">
        <f>IFERROR(D38/C38*100,0)</f>
        <v>99.735644134928208</v>
      </c>
      <c r="F38" s="265">
        <f>C38-D38</f>
        <v>1734000</v>
      </c>
      <c r="G38" s="264">
        <f>IFERROR(F38/C38*100,0)</f>
        <v>0.26435586507179076</v>
      </c>
      <c r="J38" s="412">
        <f>D38</f>
        <v>654200000</v>
      </c>
    </row>
    <row r="39" spans="1:13" x14ac:dyDescent="0.3">
      <c r="A39" s="261"/>
      <c r="B39" s="262"/>
      <c r="C39" s="263"/>
      <c r="D39" s="263"/>
      <c r="E39" s="264"/>
      <c r="F39" s="265"/>
      <c r="G39" s="264"/>
      <c r="J39" s="413">
        <f>J37-J38</f>
        <v>0</v>
      </c>
    </row>
    <row r="40" spans="1:13" x14ac:dyDescent="0.3">
      <c r="A40" s="457" t="s">
        <v>611</v>
      </c>
      <c r="B40" s="458"/>
      <c r="C40" s="272">
        <f>SUM(C31,C38,C35)</f>
        <v>23342160000</v>
      </c>
      <c r="D40" s="272">
        <f>SUM(D31,D38,D35)</f>
        <v>9007086889</v>
      </c>
      <c r="E40" s="273">
        <f>D40/C40*100</f>
        <v>38.587203964843013</v>
      </c>
      <c r="F40" s="272">
        <f>SUM(F31,F38)</f>
        <v>10795841068</v>
      </c>
      <c r="G40" s="273">
        <f>F40/C40*100</f>
        <v>46.250394427936406</v>
      </c>
    </row>
    <row r="41" spans="1:13" x14ac:dyDescent="0.3">
      <c r="A41" s="457" t="s">
        <v>4815</v>
      </c>
      <c r="B41" s="458"/>
      <c r="C41" s="272"/>
      <c r="D41" s="272"/>
      <c r="E41" s="273"/>
      <c r="F41" s="272"/>
      <c r="G41" s="273"/>
      <c r="J41" s="276"/>
    </row>
    <row r="42" spans="1:13" x14ac:dyDescent="0.3">
      <c r="A42" s="457" t="s">
        <v>4816</v>
      </c>
      <c r="B42" s="458"/>
      <c r="C42" s="272">
        <f>C40</f>
        <v>23342160000</v>
      </c>
      <c r="D42" s="272">
        <f>D40-D41</f>
        <v>9007086889</v>
      </c>
      <c r="E42" s="273">
        <f>D42/C42*100</f>
        <v>38.587203964843013</v>
      </c>
      <c r="F42" s="272">
        <f>C42-D42</f>
        <v>14335073111</v>
      </c>
      <c r="G42" s="273">
        <f>F42/C42*100</f>
        <v>61.412796035156994</v>
      </c>
      <c r="J42" s="396"/>
    </row>
    <row r="43" spans="1:13" x14ac:dyDescent="0.3">
      <c r="J43" s="276"/>
    </row>
    <row r="44" spans="1:13" x14ac:dyDescent="0.3">
      <c r="A44" s="280" t="s">
        <v>4838</v>
      </c>
    </row>
    <row r="45" spans="1:13" x14ac:dyDescent="0.3">
      <c r="A45" s="252" t="s">
        <v>592</v>
      </c>
      <c r="B45" s="252" t="s">
        <v>500</v>
      </c>
      <c r="C45" s="252" t="s">
        <v>4650</v>
      </c>
      <c r="D45" s="252" t="s">
        <v>4651</v>
      </c>
      <c r="E45" s="252" t="s">
        <v>4648</v>
      </c>
      <c r="F45" s="252" t="s">
        <v>4652</v>
      </c>
      <c r="G45" s="252" t="s">
        <v>4648</v>
      </c>
    </row>
    <row r="46" spans="1:13" x14ac:dyDescent="0.3">
      <c r="A46" s="450" t="s">
        <v>576</v>
      </c>
      <c r="B46" s="220" t="s">
        <v>560</v>
      </c>
      <c r="C46" s="225">
        <f>SUM('PER BULAN'!F84+'PER BULAN'!F97+'PER BULAN'!F99)</f>
        <v>297880000</v>
      </c>
      <c r="D46" s="225">
        <f>SUM('PER BULAN'!AQ84+'PER BULAN'!AQ97+'PER BULAN'!AQ99)</f>
        <v>73441280</v>
      </c>
      <c r="E46" s="283">
        <f>D46/C46*100</f>
        <v>24.654652880354504</v>
      </c>
      <c r="F46" s="225">
        <f t="shared" ref="F46:F58" si="9">C46-D46</f>
        <v>224438720</v>
      </c>
      <c r="G46" s="326">
        <f>F46/C46*100</f>
        <v>75.345347119645496</v>
      </c>
      <c r="J46" s="396"/>
    </row>
    <row r="47" spans="1:13" x14ac:dyDescent="0.3">
      <c r="A47" s="450"/>
      <c r="B47" s="220" t="s">
        <v>546</v>
      </c>
      <c r="C47" s="225">
        <v>0</v>
      </c>
      <c r="D47" s="225">
        <v>0</v>
      </c>
      <c r="E47" s="283">
        <f>IFERROR(D47/C47*100,0)</f>
        <v>0</v>
      </c>
      <c r="F47" s="225">
        <f t="shared" si="9"/>
        <v>0</v>
      </c>
      <c r="G47" s="329">
        <v>0</v>
      </c>
    </row>
    <row r="48" spans="1:13" x14ac:dyDescent="0.3">
      <c r="A48" s="450"/>
      <c r="B48" s="247" t="s">
        <v>4653</v>
      </c>
      <c r="C48" s="250">
        <f>SUM(C46:C47)</f>
        <v>297880000</v>
      </c>
      <c r="D48" s="250">
        <f>SUM(D46:D47)</f>
        <v>73441280</v>
      </c>
      <c r="E48" s="284">
        <f>D48/C48*100</f>
        <v>24.654652880354504</v>
      </c>
      <c r="F48" s="250">
        <f t="shared" si="9"/>
        <v>224438720</v>
      </c>
      <c r="G48" s="327">
        <f>F48/C48*100</f>
        <v>75.345347119645496</v>
      </c>
    </row>
    <row r="49" spans="1:7" x14ac:dyDescent="0.3">
      <c r="A49" s="450" t="s">
        <v>542</v>
      </c>
      <c r="B49" s="220" t="s">
        <v>543</v>
      </c>
      <c r="C49" s="225">
        <f>SUM('PER BULAN'!F226)</f>
        <v>30000000</v>
      </c>
      <c r="D49" s="225">
        <v>0</v>
      </c>
      <c r="E49" s="283">
        <f>D49/C49*100</f>
        <v>0</v>
      </c>
      <c r="F49" s="225">
        <f t="shared" si="9"/>
        <v>30000000</v>
      </c>
      <c r="G49" s="329">
        <v>0</v>
      </c>
    </row>
    <row r="50" spans="1:7" x14ac:dyDescent="0.3">
      <c r="A50" s="450"/>
      <c r="B50" s="220" t="s">
        <v>591</v>
      </c>
      <c r="C50" s="225">
        <v>0</v>
      </c>
      <c r="D50" s="225">
        <v>0</v>
      </c>
      <c r="E50" s="283">
        <f>IFERROR(D50/C50*100,0)</f>
        <v>0</v>
      </c>
      <c r="F50" s="225">
        <f t="shared" si="9"/>
        <v>0</v>
      </c>
      <c r="G50" s="329">
        <v>0</v>
      </c>
    </row>
    <row r="51" spans="1:7" x14ac:dyDescent="0.3">
      <c r="A51" s="450"/>
      <c r="B51" s="247" t="s">
        <v>4657</v>
      </c>
      <c r="C51" s="250">
        <f>SUM(C49:C50)</f>
        <v>30000000</v>
      </c>
      <c r="D51" s="250">
        <f>SUM(D49:D50)</f>
        <v>0</v>
      </c>
      <c r="E51" s="285">
        <f>D51/C51*100</f>
        <v>0</v>
      </c>
      <c r="F51" s="250">
        <f t="shared" si="9"/>
        <v>30000000</v>
      </c>
      <c r="G51" s="327">
        <f>F51/C51*100</f>
        <v>100</v>
      </c>
    </row>
    <row r="52" spans="1:7" x14ac:dyDescent="0.3">
      <c r="A52" s="450" t="s">
        <v>531</v>
      </c>
      <c r="B52" s="220" t="s">
        <v>532</v>
      </c>
      <c r="C52" s="253">
        <v>0</v>
      </c>
      <c r="D52" s="225">
        <v>0</v>
      </c>
      <c r="E52" s="283">
        <f>IFERROR(D52/C52*100,0)</f>
        <v>0</v>
      </c>
      <c r="F52" s="225">
        <f t="shared" si="9"/>
        <v>0</v>
      </c>
      <c r="G52" s="329">
        <f>IFERROR(F52/C52*100,0)</f>
        <v>0</v>
      </c>
    </row>
    <row r="53" spans="1:7" x14ac:dyDescent="0.3">
      <c r="A53" s="450"/>
      <c r="B53" s="220" t="s">
        <v>534</v>
      </c>
      <c r="C53" s="225">
        <v>0</v>
      </c>
      <c r="D53" s="225">
        <v>0</v>
      </c>
      <c r="E53" s="283">
        <f>IFERROR(D53/C53*100,0)</f>
        <v>0</v>
      </c>
      <c r="F53" s="225">
        <f t="shared" si="9"/>
        <v>0</v>
      </c>
      <c r="G53" s="329">
        <f>IFERROR(F53/C53*100,0)</f>
        <v>0</v>
      </c>
    </row>
    <row r="54" spans="1:7" x14ac:dyDescent="0.3">
      <c r="A54" s="450"/>
      <c r="B54" s="247" t="s">
        <v>4658</v>
      </c>
      <c r="C54" s="250">
        <f>SUM(C52:C53)</f>
        <v>0</v>
      </c>
      <c r="D54" s="250">
        <f>SUM(D52:D53)</f>
        <v>0</v>
      </c>
      <c r="E54" s="284">
        <v>0</v>
      </c>
      <c r="F54" s="250">
        <f t="shared" si="9"/>
        <v>0</v>
      </c>
      <c r="G54" s="330">
        <f>IFERROR(F54/C54*100,0)</f>
        <v>0</v>
      </c>
    </row>
    <row r="55" spans="1:7" x14ac:dyDescent="0.3">
      <c r="A55" s="450" t="s">
        <v>535</v>
      </c>
      <c r="B55" s="220" t="s">
        <v>536</v>
      </c>
      <c r="C55" s="225">
        <f>SUM('PER BULAN'!F38+'PER BULAN'!F46)</f>
        <v>8000000</v>
      </c>
      <c r="D55" s="225">
        <v>0</v>
      </c>
      <c r="E55" s="283">
        <f>D55/C55*100</f>
        <v>0</v>
      </c>
      <c r="F55" s="225">
        <f t="shared" si="9"/>
        <v>8000000</v>
      </c>
      <c r="G55" s="326">
        <f>F55/C55*100</f>
        <v>100</v>
      </c>
    </row>
    <row r="56" spans="1:7" x14ac:dyDescent="0.3">
      <c r="A56" s="450"/>
      <c r="B56" s="220" t="s">
        <v>538</v>
      </c>
      <c r="C56" s="225">
        <f>SUM('PER BULAN'!F58+'PER BULAN'!F106)</f>
        <v>13000000</v>
      </c>
      <c r="D56" s="225">
        <v>0</v>
      </c>
      <c r="E56" s="283">
        <f>D56/C56*100</f>
        <v>0</v>
      </c>
      <c r="F56" s="225">
        <f t="shared" si="9"/>
        <v>13000000</v>
      </c>
      <c r="G56" s="326">
        <f>F56/C56*100</f>
        <v>100</v>
      </c>
    </row>
    <row r="57" spans="1:7" x14ac:dyDescent="0.3">
      <c r="A57" s="450"/>
      <c r="B57" s="247" t="s">
        <v>4659</v>
      </c>
      <c r="C57" s="250">
        <f>SUM(C55:C56)</f>
        <v>21000000</v>
      </c>
      <c r="D57" s="250">
        <f>SUM(D55:D56)</f>
        <v>0</v>
      </c>
      <c r="E57" s="285">
        <f>D57/C57*100</f>
        <v>0</v>
      </c>
      <c r="F57" s="250">
        <f t="shared" si="9"/>
        <v>21000000</v>
      </c>
      <c r="G57" s="327">
        <f>F57/C57*100</f>
        <v>100</v>
      </c>
    </row>
    <row r="58" spans="1:7" x14ac:dyDescent="0.3">
      <c r="A58" s="449" t="s">
        <v>4655</v>
      </c>
      <c r="B58" s="449"/>
      <c r="C58" s="232">
        <f>C48+C51+C54+C57</f>
        <v>348880000</v>
      </c>
      <c r="D58" s="232">
        <f>D48+D51+D54+D57</f>
        <v>73441280</v>
      </c>
      <c r="E58" s="286">
        <f>D58/C58*100</f>
        <v>21.050584728273332</v>
      </c>
      <c r="F58" s="232">
        <f t="shared" si="9"/>
        <v>275438720</v>
      </c>
      <c r="G58" s="328">
        <f>F58/C58*100</f>
        <v>78.949415271726664</v>
      </c>
    </row>
    <row r="59" spans="1:7" x14ac:dyDescent="0.3">
      <c r="A59" s="449" t="s">
        <v>4656</v>
      </c>
      <c r="B59" s="449"/>
      <c r="C59" s="449"/>
      <c r="D59" s="232">
        <f>D58</f>
        <v>73441280</v>
      </c>
      <c r="E59" s="286">
        <f>E58</f>
        <v>21.050584728273332</v>
      </c>
      <c r="F59" s="232">
        <f>F58</f>
        <v>275438720</v>
      </c>
      <c r="G59" s="328">
        <f>G58</f>
        <v>78.949415271726664</v>
      </c>
    </row>
  </sheetData>
  <mergeCells count="24">
    <mergeCell ref="A49:A51"/>
    <mergeCell ref="A52:A54"/>
    <mergeCell ref="A55:A57"/>
    <mergeCell ref="A58:B58"/>
    <mergeCell ref="A59:C59"/>
    <mergeCell ref="D29:E29"/>
    <mergeCell ref="F29:G29"/>
    <mergeCell ref="A40:B40"/>
    <mergeCell ref="A41:B41"/>
    <mergeCell ref="A42:B42"/>
    <mergeCell ref="A46:A48"/>
    <mergeCell ref="A22:A24"/>
    <mergeCell ref="A25:B25"/>
    <mergeCell ref="A26:C26"/>
    <mergeCell ref="A29:A30"/>
    <mergeCell ref="B29:B30"/>
    <mergeCell ref="C29:C30"/>
    <mergeCell ref="A19:A21"/>
    <mergeCell ref="A1:G1"/>
    <mergeCell ref="A2:G2"/>
    <mergeCell ref="A3:G3"/>
    <mergeCell ref="A7:A14"/>
    <mergeCell ref="A15:A18"/>
    <mergeCell ref="A4:G4"/>
  </mergeCells>
  <pageMargins left="0.7" right="0.7" top="0.75" bottom="0.75" header="0.3" footer="0.3"/>
  <pageSetup paperSize="9" scale="62" fitToHeight="0" orientation="portrait" horizontalDpi="0" verticalDpi="0" r:id="rId1"/>
  <ignoredErrors>
    <ignoredError sqref="E47:E51" 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U18" sqref="U18"/>
    </sheetView>
  </sheetViews>
  <sheetFormatPr defaultRowHeight="14.4" x14ac:dyDescent="0.3"/>
  <cols>
    <col min="16" max="16" width="7" customWidth="1"/>
    <col min="17" max="17" width="5.5546875" customWidth="1"/>
  </cols>
  <sheetData/>
  <pageMargins left="0.7" right="0.7" top="0.75" bottom="0.75" header="0.3" footer="0.3"/>
  <pageSetup paperSize="9" scale="68" fitToHeight="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63</vt:i4>
      </vt:variant>
    </vt:vector>
  </HeadingPairs>
  <TitlesOfParts>
    <vt:vector size="79"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PERSUBBID</vt:lpstr>
      <vt:lpstr>TANPA GAJI</vt:lpstr>
      <vt:lpstr>PERSUBBID GAJI</vt:lpstr>
      <vt:lpstr>DENGAN GAJI</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2022-06-15T02:21:43Z</cp:lastPrinted>
  <dcterms:created xsi:type="dcterms:W3CDTF">2021-07-27T04:05:22Z</dcterms:created>
  <dcterms:modified xsi:type="dcterms:W3CDTF">2022-06-15T02:40:45Z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38c34c84-2065-47a8-80ed-05f8ef8d22a4</vt:lpwstr>
  </property>
</Properties>
</file>